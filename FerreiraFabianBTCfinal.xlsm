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slicers/slicer3.xml" ContentType="application/vnd.ms-excel.slicer+xml"/>
  <Override PartName="/xl/timelines/timeline3.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slicers/slicer4.xml" ContentType="application/vnd.ms-excel.slicer+xml"/>
  <Override PartName="/xl/timelines/timeline4.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9.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0.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Users\Usuario\Desktop\"/>
    </mc:Choice>
  </mc:AlternateContent>
  <xr:revisionPtr revIDLastSave="0" documentId="13_ncr:1_{74008EED-95AB-4A9A-99F2-0F6838BBB870}" xr6:coauthVersionLast="47" xr6:coauthVersionMax="47" xr10:uidLastSave="{00000000-0000-0000-0000-000000000000}"/>
  <bookViews>
    <workbookView xWindow="-120" yWindow="-120" windowWidth="21840" windowHeight="13140" tabRatio="582" activeTab="2" xr2:uid="{33603FAB-E3DD-4B99-B605-24267554C1B2}"/>
  </bookViews>
  <sheets>
    <sheet name="Dashboard" sheetId="41" r:id="rId1"/>
    <sheet name="LEAME" sheetId="22" r:id="rId2"/>
    <sheet name="Preguntas Importantes" sheetId="40" r:id="rId3"/>
    <sheet name="Operaciones en BTC (Macro)" sheetId="23" r:id="rId4"/>
    <sheet name="Tabla Base" sheetId="1" r:id="rId5"/>
    <sheet name="Grafico IRX-index" sheetId="21" r:id="rId6"/>
    <sheet name="Grafico BTC-GOLD" sheetId="15" r:id="rId7"/>
    <sheet name="Grafico BTC-index" sheetId="16" r:id="rId8"/>
    <sheet name="IRX-index" sheetId="20" r:id="rId9"/>
    <sheet name="BTC-index sentimiento" sheetId="7" r:id="rId10"/>
    <sheet name="BTC-GOLD" sheetId="9" r:id="rId11"/>
  </sheets>
  <definedNames>
    <definedName name="_xleta.BASE" hidden="1" xlm="1">#NAME?</definedName>
    <definedName name="NativeTimeline_fecha1">#N/A</definedName>
    <definedName name="SegmentaciónDeDatos_categoria1">#N/A</definedName>
    <definedName name="SegmentaciónDeDatos_index1">#N/A</definedName>
  </definedNames>
  <calcPr calcId="191029"/>
  <pivotCaches>
    <pivotCache cacheId="0" r:id="rId12"/>
    <pivotCache cacheId="1"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5" l="1"/>
  <c r="G11" i="23"/>
  <c r="H11" i="23"/>
  <c r="I11" i="23" s="1"/>
  <c r="G12" i="23"/>
  <c r="H12" i="23" s="1"/>
  <c r="I12" i="23" s="1"/>
  <c r="G13" i="23"/>
  <c r="H13" i="23" s="1"/>
  <c r="I13" i="23" s="1"/>
  <c r="G15" i="23"/>
  <c r="H15" i="23" s="1"/>
  <c r="I15" i="23" s="1"/>
  <c r="G16" i="23"/>
  <c r="H16" i="23" s="1"/>
  <c r="I16" i="23" s="1"/>
  <c r="J2" i="21"/>
  <c r="F2" i="21"/>
  <c r="B2" i="21"/>
  <c r="J7" i="21"/>
  <c r="F7" i="21"/>
  <c r="B7" i="21"/>
  <c r="J7" i="16"/>
  <c r="F7" i="16"/>
  <c r="B7" i="16"/>
  <c r="J2" i="16"/>
  <c r="F2" i="16"/>
  <c r="B2" i="16"/>
  <c r="J12" i="15"/>
  <c r="F12" i="15"/>
  <c r="B12" i="15"/>
  <c r="J7" i="15"/>
  <c r="F7" i="15"/>
  <c r="B7" i="15"/>
  <c r="J2" i="15"/>
  <c r="F2" i="15"/>
  <c r="A58" i="41"/>
  <c r="C58" i="41"/>
  <c r="J8" i="16"/>
  <c r="F8" i="16"/>
  <c r="J3" i="16"/>
  <c r="J8" i="15"/>
  <c r="J3" i="15"/>
  <c r="B8" i="15"/>
  <c r="F13" i="15"/>
  <c r="F8" i="15"/>
  <c r="B3" i="21"/>
  <c r="F3" i="15"/>
  <c r="J8" i="21"/>
  <c r="F3" i="21"/>
  <c r="F8" i="21"/>
  <c r="B3" i="16"/>
  <c r="B8" i="21"/>
  <c r="F3" i="16"/>
  <c r="J3" i="21"/>
  <c r="J13" i="15"/>
  <c r="B8" i="16"/>
  <c r="B3" i="15"/>
  <c r="B13" i="15"/>
  <c r="G14" i="23" l="1"/>
  <c r="H14" i="23" s="1"/>
  <c r="I14" i="23" s="1"/>
  <c r="G10" i="23"/>
  <c r="H10" i="23" s="1"/>
  <c r="I10" i="23" s="1"/>
</calcChain>
</file>

<file path=xl/sharedStrings.xml><?xml version="1.0" encoding="utf-8"?>
<sst xmlns="http://schemas.openxmlformats.org/spreadsheetml/2006/main" count="5115" uniqueCount="139">
  <si>
    <t>id_fecha</t>
  </si>
  <si>
    <t>fecha</t>
  </si>
  <si>
    <t>dia_semana</t>
  </si>
  <si>
    <t>mercado_abierto</t>
  </si>
  <si>
    <t>categoria</t>
  </si>
  <si>
    <t>index</t>
  </si>
  <si>
    <t>id_noticia</t>
  </si>
  <si>
    <t>cierre IRX</t>
  </si>
  <si>
    <t>cierre GOLD</t>
  </si>
  <si>
    <t>cierre BTC</t>
  </si>
  <si>
    <t>volumen</t>
  </si>
  <si>
    <t>cierra % btc</t>
  </si>
  <si>
    <t>lunes</t>
  </si>
  <si>
    <t>Cerrado</t>
  </si>
  <si>
    <t>Miedo Extremo</t>
  </si>
  <si>
    <t>martes</t>
  </si>
  <si>
    <t xml:space="preserve"> Abierto</t>
  </si>
  <si>
    <t>-</t>
  </si>
  <si>
    <t>miércoles</t>
  </si>
  <si>
    <t>jueves</t>
  </si>
  <si>
    <t>viernes</t>
  </si>
  <si>
    <t>sábado</t>
  </si>
  <si>
    <t>domingo</t>
  </si>
  <si>
    <t>Miedo</t>
  </si>
  <si>
    <t>Codicia</t>
  </si>
  <si>
    <t>Codicia Extrema</t>
  </si>
  <si>
    <t>mes/ año</t>
  </si>
  <si>
    <t>jul/22</t>
  </si>
  <si>
    <t>ago/22</t>
  </si>
  <si>
    <t>sep/22</t>
  </si>
  <si>
    <t>oct/22</t>
  </si>
  <si>
    <t>nov/22</t>
  </si>
  <si>
    <t>dic/22</t>
  </si>
  <si>
    <t>ene/23</t>
  </si>
  <si>
    <t>feb/23</t>
  </si>
  <si>
    <t>mar/23</t>
  </si>
  <si>
    <t>abr/23</t>
  </si>
  <si>
    <t>may/23</t>
  </si>
  <si>
    <t>jun/23</t>
  </si>
  <si>
    <t>jul/23</t>
  </si>
  <si>
    <t>ago/23</t>
  </si>
  <si>
    <t>sep/23</t>
  </si>
  <si>
    <t>oct/23</t>
  </si>
  <si>
    <t>nov/23</t>
  </si>
  <si>
    <t>dic/23</t>
  </si>
  <si>
    <t>ene/24</t>
  </si>
  <si>
    <t>feb/24</t>
  </si>
  <si>
    <t>mar/24</t>
  </si>
  <si>
    <t>abr/24</t>
  </si>
  <si>
    <t>may/24</t>
  </si>
  <si>
    <t>jun/24</t>
  </si>
  <si>
    <t>jul/24</t>
  </si>
  <si>
    <t>ago/24</t>
  </si>
  <si>
    <t>sep/24</t>
  </si>
  <si>
    <t>oct/24</t>
  </si>
  <si>
    <t>nov/24</t>
  </si>
  <si>
    <t>dic/24</t>
  </si>
  <si>
    <t>ene/25</t>
  </si>
  <si>
    <t>feb/25</t>
  </si>
  <si>
    <t>mar/25</t>
  </si>
  <si>
    <t>Etiquetas de fila</t>
  </si>
  <si>
    <t>Total general</t>
  </si>
  <si>
    <t>Promedio de cierre BTC</t>
  </si>
  <si>
    <t>Promedio de index</t>
  </si>
  <si>
    <t>Promedio de cierre GOLD</t>
  </si>
  <si>
    <t>Promedio de cierre IRX</t>
  </si>
  <si>
    <t>Fecha</t>
  </si>
  <si>
    <t>Mín. de cierre BTC</t>
  </si>
  <si>
    <t>Mín. de cierre GOLD</t>
  </si>
  <si>
    <t>Máx. de cierre BTC</t>
  </si>
  <si>
    <t>Máx. de cierre GOLD</t>
  </si>
  <si>
    <t>Mín. de index</t>
  </si>
  <si>
    <t>Máx. de index</t>
  </si>
  <si>
    <t>Tabla de grafico BTC-GOLD</t>
  </si>
  <si>
    <t>Tabla de KPI grafico BTC-GOLD</t>
  </si>
  <si>
    <t>Tabla grafico BTC-index</t>
  </si>
  <si>
    <t>KPI grafico BTC-index</t>
  </si>
  <si>
    <t>Mín. de cierre IRX</t>
  </si>
  <si>
    <t>Máx. de cierre IRX</t>
  </si>
  <si>
    <t>fecha inicio</t>
  </si>
  <si>
    <t>fecha final</t>
  </si>
  <si>
    <t>BTC Precio inicial</t>
  </si>
  <si>
    <t>BTC Precio final</t>
  </si>
  <si>
    <t>monto inicial</t>
  </si>
  <si>
    <t>Monto final</t>
  </si>
  <si>
    <t>Beneficio %</t>
  </si>
  <si>
    <t xml:space="preserve">Beneficio </t>
  </si>
  <si>
    <t>BUSCARV</t>
  </si>
  <si>
    <t>FORMULA</t>
  </si>
  <si>
    <t>Comprar BTC</t>
  </si>
  <si>
    <t>Alumno: Ferreira Fabián. Turno mañana</t>
  </si>
  <si>
    <t>LEAME</t>
  </si>
  <si>
    <t>Operaciones en BTC (Macro)</t>
  </si>
  <si>
    <t>Tabla Base</t>
  </si>
  <si>
    <t>IRX-index</t>
  </si>
  <si>
    <t>BTC-GOLD</t>
  </si>
  <si>
    <t>BTC-index</t>
  </si>
  <si>
    <t>Preguntas Importantes</t>
  </si>
  <si>
    <t>Grafico que compara el BTC contra el Oro. En una segunda hoja su tabla.</t>
  </si>
  <si>
    <t>Grafico que compara el BTC contra el Indice de Miedo y Codicia. En una segunda hoja su tabla.</t>
  </si>
  <si>
    <t>CONCEPTOS CLAVE</t>
  </si>
  <si>
    <t>IRX</t>
  </si>
  <si>
    <t>BTC</t>
  </si>
  <si>
    <t>GOLD</t>
  </si>
  <si>
    <t>Index sentimiento</t>
  </si>
  <si>
    <t>Metal precioso, refugio de valor.</t>
  </si>
  <si>
    <t>Indicador de sentimiento que mide el nivel de miedo o codicia en los mercados financieros.</t>
  </si>
  <si>
    <t>Índice de Rendimiento de Letras del Tesoro a 13 semanas en EE.UU. Indicador de tasas de interés a corto plazo en la economía.</t>
  </si>
  <si>
    <t>Activo digital, criptomoneda.</t>
  </si>
  <si>
    <t>ESTRUCTURA</t>
  </si>
  <si>
    <t>En estas descripciones se explicará que función cumple cada gráfico y como ayuda a nuestra operativa.</t>
  </si>
  <si>
    <t>Gráfico IRX-index</t>
  </si>
  <si>
    <t>Gráfico BTC-GOLD</t>
  </si>
  <si>
    <t>Gráfico BTC-index</t>
  </si>
  <si>
    <t xml:space="preserve">"Análisis de BTC según el sentimiento de mercado" es un archivo de Excel estructurado con tablas y gráficos dinámicos.  </t>
  </si>
  <si>
    <t>Hoja donde se encuentran los datos principales.</t>
  </si>
  <si>
    <t>Descripción para leer e interpretar este archivo.(Hoja actual)</t>
  </si>
  <si>
    <t>Grafico que compara el IRX contra el Índice de Miedo y Codicia. En una segunda hoja su tabla.</t>
  </si>
  <si>
    <t>Preguntas resueltas sobre el análisis.</t>
  </si>
  <si>
    <r>
      <rPr>
        <b/>
        <i/>
        <sz val="16"/>
        <color theme="1"/>
        <rFont val="Aptos Narrow"/>
        <family val="2"/>
        <scheme val="minor"/>
      </rPr>
      <t>Descripción:</t>
    </r>
    <r>
      <rPr>
        <sz val="16"/>
        <color theme="1"/>
        <rFont val="Aptos Narrow"/>
        <family val="2"/>
        <scheme val="minor"/>
      </rPr>
      <t xml:space="preserve"> El Gráfico IRX-índex compara en los valores del IRX con el Índice de miedo y codicia. En un análisis preliminar se podría concluir que el IRX se mantiene más estable en sus valores, mientras que el Índice de miedo es más volátil (se podría decir que más susceptible a manipulación institucional). El IRX parece como si marcara una media móvil sobre el Índice de miedo, marcando un extremo en los valores del Índice que no exceden por mucho tiempo los valores del IRX. 
</t>
    </r>
    <r>
      <rPr>
        <b/>
        <i/>
        <sz val="16"/>
        <color theme="1"/>
        <rFont val="Aptos Narrow"/>
        <family val="2"/>
        <scheme val="minor"/>
      </rPr>
      <t xml:space="preserve">Operativa: </t>
    </r>
    <r>
      <rPr>
        <sz val="16"/>
        <color theme="1"/>
        <rFont val="Aptos Narrow"/>
        <family val="2"/>
        <scheme val="minor"/>
      </rPr>
      <t xml:space="preserve">el IRX sirve para medir el nivel de liquidez y aversión al riesgo en el mercado.
Cuando el IRX sube mucho, suele indicar que:
•	Hay más interés en inversiones súper seguras (como T-Bills).
•	Hay menos apetito por activos riesgosos (como acciones o criptomonedas).
Puede afectar a BTC indirectamente, porque si el dinero "fácil" se va a bonos seguros, puede salir de activos de riesgo como BTC.
</t>
    </r>
    <r>
      <rPr>
        <b/>
        <i/>
        <sz val="16"/>
        <color theme="1"/>
        <rFont val="Aptos Narrow"/>
        <family val="2"/>
        <scheme val="minor"/>
      </rPr>
      <t>Conclusión operativa:</t>
    </r>
    <r>
      <rPr>
        <sz val="16"/>
        <color theme="1"/>
        <rFont val="Aptos Narrow"/>
        <family val="2"/>
        <scheme val="minor"/>
      </rPr>
      <t xml:space="preserve"> 
IRX alto: Es momento de tomar beneficios en BTC y esperar mejores momentos para reincorporarse. 
IRX en extremo bajos: Son momentos propicios para acumular, al igual que con el Índice de miedo y codicia. En la tabla se establece un color según la operativa, siendo verde= “comprar”, amarillo= “mantener” y rojo= “vender”. </t>
    </r>
  </si>
  <si>
    <t xml:space="preserve">Se activan las funciones de BUSCARV y traen el precio de BTC para el rango de fechas estipulado. </t>
  </si>
  <si>
    <r>
      <rPr>
        <b/>
        <i/>
        <sz val="12"/>
        <color theme="1"/>
        <rFont val="Aptos Narrow"/>
        <family val="2"/>
        <scheme val="minor"/>
      </rPr>
      <t xml:space="preserve">Descripción: </t>
    </r>
    <r>
      <rPr>
        <sz val="12"/>
        <color theme="1"/>
        <rFont val="Aptos Narrow"/>
        <family val="2"/>
        <scheme val="minor"/>
      </rPr>
      <t xml:space="preserve">Esta hoja es para practicar operaciones, utilizando la función macro, se completa el registro con monto, fecha inicial y final. </t>
    </r>
  </si>
  <si>
    <t xml:space="preserve">Cada hoja con gráfico contiene una pequeña descripción, será fácilmente reconocible por el fondo color blanco. </t>
  </si>
  <si>
    <t xml:space="preserve">Todos los datos fueron extraídos con Python, usando librerías como “yfinance” de Yahoo! Con la guía y paciencia de ChatGPT.  </t>
  </si>
  <si>
    <t>fecha inicial: 4/7/2022.</t>
  </si>
  <si>
    <t>fecha final: 30/3/2025.</t>
  </si>
  <si>
    <r>
      <rPr>
        <b/>
        <i/>
        <sz val="11"/>
        <color theme="1"/>
        <rFont val="Aptos Narrow"/>
        <family val="2"/>
        <scheme val="minor"/>
      </rPr>
      <t>Descripción de la Tabla Base:</t>
    </r>
    <r>
      <rPr>
        <sz val="11"/>
        <color theme="1"/>
        <rFont val="Aptos Narrow"/>
        <family val="2"/>
        <scheme val="minor"/>
      </rPr>
      <t xml:space="preserve"> Registro de 1000 días, 1 registro por fecha. </t>
    </r>
  </si>
  <si>
    <r>
      <t>Se calculan los beneficios sobre el monto inicial, se muestran los resultados en la tabla.</t>
    </r>
    <r>
      <rPr>
        <i/>
        <sz val="12"/>
        <color theme="1"/>
        <rFont val="Aptos Narrow"/>
        <family val="2"/>
        <scheme val="minor"/>
      </rPr>
      <t xml:space="preserve"> Mucha suerte con tu operativa!  </t>
    </r>
  </si>
  <si>
    <t xml:space="preserve">Los gráficos están segmentados por fecha, índex y categoría de índex. Su modificación se refleja en todos los gráficos por su conexión de informes. </t>
  </si>
  <si>
    <r>
      <rPr>
        <b/>
        <i/>
        <sz val="24"/>
        <color theme="1"/>
        <rFont val="Aptos Narrow"/>
        <family val="2"/>
        <scheme val="minor"/>
      </rPr>
      <t>Descripción:</t>
    </r>
    <r>
      <rPr>
        <sz val="24"/>
        <color theme="1"/>
        <rFont val="Aptos Narrow"/>
        <family val="2"/>
        <scheme val="minor"/>
      </rPr>
      <t xml:space="preserve"> En el Gráfico de BTC comparado al oro, vemos en azul el precio del BTC y naranja para el precio del oro. Con líneas de tendencias que se observan modificaciones en 2022 y 2025, donde la tendencia de azul pasa a la baja y cruza la tendencia naranja. 
</t>
    </r>
    <r>
      <rPr>
        <b/>
        <i/>
        <sz val="24"/>
        <color theme="1"/>
        <rFont val="Aptos Narrow"/>
        <family val="2"/>
        <scheme val="minor"/>
      </rPr>
      <t>Operativa:</t>
    </r>
    <r>
      <rPr>
        <sz val="24"/>
        <color theme="1"/>
        <rFont val="Aptos Narrow"/>
        <family val="2"/>
        <scheme val="minor"/>
      </rPr>
      <t xml:space="preserve"> Se podría observar un patrón cuando BTC entra en tendencia bajista (2022) y (2025) el oro se ve revalorizado y BTC da lugar a pequeñas compras a largo plazo. Cruzando la información segmentando por las categorías de Índice de miedo, se concluye que los mejores precios para acumular BTC y Oro se dan en los contextos de más bajo valor del índice, en la categoría de “miedo extremo” 
</t>
    </r>
    <r>
      <rPr>
        <b/>
        <i/>
        <sz val="24"/>
        <color theme="1"/>
        <rFont val="Aptos Narrow"/>
        <family val="2"/>
        <scheme val="minor"/>
      </rPr>
      <t>Conclusión operativa:</t>
    </r>
    <r>
      <rPr>
        <sz val="24"/>
        <color theme="1"/>
        <rFont val="Aptos Narrow"/>
        <family val="2"/>
        <scheme val="minor"/>
      </rPr>
      <t xml:space="preserve"> En momentos de “miedo extremo” acumular BTC, en momentos donde BTC rompe la tendencia el refugio de nuestra ganancia es el oro, hasta encontrar mejores puntos para SPOT en BTC.</t>
    </r>
  </si>
  <si>
    <r>
      <rPr>
        <b/>
        <i/>
        <sz val="18"/>
        <color theme="1"/>
        <rFont val="Aptos Narrow"/>
        <family val="2"/>
        <scheme val="minor"/>
      </rPr>
      <t>Descripción:</t>
    </r>
    <r>
      <rPr>
        <sz val="18"/>
        <color theme="1"/>
        <rFont val="Aptos Narrow"/>
        <family val="2"/>
        <scheme val="minor"/>
      </rPr>
      <t xml:space="preserve"> En el Gráfico de BTC comparado con el índex de sentimiento se observa el BTC en azul y el índice con colores invertidos en escala de verde a rojo, facilitando la operativa. Por lo general las tendencias van en la misma dirección. En momentos donde las tendencias se cruzan, a las semanas se dan los precios máximos y se comienza una tendencia bajista, siendo el índice adelantado al movimiento. 
</t>
    </r>
    <r>
      <rPr>
        <b/>
        <i/>
        <sz val="18"/>
        <color theme="1"/>
        <rFont val="Aptos Narrow"/>
        <family val="2"/>
        <scheme val="minor"/>
      </rPr>
      <t xml:space="preserve">Operativa: </t>
    </r>
    <r>
      <rPr>
        <sz val="18"/>
        <color theme="1"/>
        <rFont val="Aptos Narrow"/>
        <family val="2"/>
        <scheme val="minor"/>
      </rPr>
      <t xml:space="preserve">Dependiendo el tiempo limite del inversor, hay que concluir que el mercado es cíclico y tienden a subir. Si los ciclos de liquides mundial son cada cuatro años, para asegurar los mejores beneficios hay que pensar la operativa en ese tiempo, en este análisis no cuentan con la cantidad de registros como para perfeccionar la operativa. Aun así, se podría Operar en corto y mediano plazo, entendiendo el contexto negativo como ofertas en activos con futuro.
</t>
    </r>
    <r>
      <rPr>
        <b/>
        <i/>
        <sz val="18"/>
        <color theme="1"/>
        <rFont val="Aptos Narrow"/>
        <family val="2"/>
        <scheme val="minor"/>
      </rPr>
      <t xml:space="preserve">Conclusión operativa:  </t>
    </r>
    <r>
      <rPr>
        <sz val="18"/>
        <color theme="1"/>
        <rFont val="Aptos Narrow"/>
        <family val="2"/>
        <scheme val="minor"/>
      </rPr>
      <t>Acumular en Spot BTC cuando el Índice entra en categoría de “miedo extremo”. Tomar ganancia cuando la categoría es “codicia extrema”. 
En categorías intermedias se puede pensar en pequeñas operaciones en Spot o futuros en ambas direcciones.</t>
    </r>
  </si>
  <si>
    <t>Hoja principal donde comienza nuestro análisis, nos ayudara a desplazarnos por las hojas.</t>
  </si>
  <si>
    <t xml:space="preserve">Preguntas Importantes
¿Cuál fue el punto más bajo en los valores de índice de miedo y codicia? Indique valor del índice y valor de cierre de BTC.
¿Cuál fue el menor precio de BTC en 2023? ¿Y en 2024? ¿Y en todos los registros? Indique precio de cierre de BTC.
¿Cuál fue el precio promedio de BTC con respecto a todos los registros? Indique precio promedio de BTC, precio promedio del Oro (GOLD), promedio de índice de miedo y codicia y promedio de IRX. 
¿Cuál fue el precio máximo del Oro? Indique precio máximo, fecha, valor de IRX, valor de índice de miedo y codicia, precio de BTC en esa fecha.
¿Cuál es el sentimiento promedio? ¿Cuántos días en cada categoría existen en todos los registros?
¿Cuáles son los mejores momentos para invertir en BTC? ¿Y en el oro? Indique periodo de tiempo, valores mínimos de estos periodos en ambos activos.
</t>
  </si>
  <si>
    <t>Cuenta de id_fecha</t>
  </si>
  <si>
    <t>Dashboard</t>
  </si>
  <si>
    <t>Precio</t>
  </si>
  <si>
    <t>Operación</t>
  </si>
  <si>
    <t xml:space="preserve">Simulador de operativa en Spot de BTC utilizando entorno Macro. </t>
  </si>
  <si>
    <t>La estructura del archivo se divide en hojas conectadas a la hoja "Dashboard" mediante flechas negras en cada hoja.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</si>
</sst>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 #,##0.00_-;\-&quot;$&quot;\ * #,##0.00_-;_-&quot;$&quot;\ * &quot;-&quot;??_-;_-@_-"/>
  </numFmts>
  <fonts count="16" x14ac:knownFonts="1">
    <font>
      <sz val="11"/>
      <color theme="1"/>
      <name val="Aptos Narrow"/>
      <family val="2"/>
      <scheme val="minor"/>
    </font>
    <font>
      <sz val="11"/>
      <color theme="1"/>
      <name val="Aptos Narrow"/>
      <family val="2"/>
      <scheme val="minor"/>
    </font>
    <font>
      <sz val="26"/>
      <color theme="1"/>
      <name val="Aptos Narrow"/>
      <family val="2"/>
      <scheme val="minor"/>
    </font>
    <font>
      <b/>
      <i/>
      <u/>
      <sz val="11"/>
      <color theme="1"/>
      <name val="Aptos Narrow"/>
      <family val="2"/>
      <scheme val="minor"/>
    </font>
    <font>
      <sz val="14"/>
      <color theme="1"/>
      <name val="Aptos Narrow"/>
      <family val="2"/>
      <scheme val="minor"/>
    </font>
    <font>
      <sz val="12"/>
      <color theme="1"/>
      <name val="Aptos Narrow"/>
      <family val="2"/>
      <scheme val="minor"/>
    </font>
    <font>
      <sz val="16"/>
      <color theme="1"/>
      <name val="Aptos Narrow"/>
      <family val="2"/>
      <scheme val="minor"/>
    </font>
    <font>
      <b/>
      <i/>
      <sz val="16"/>
      <color theme="1"/>
      <name val="Aptos Narrow"/>
      <family val="2"/>
      <scheme val="minor"/>
    </font>
    <font>
      <sz val="18"/>
      <color theme="1"/>
      <name val="Aptos Narrow"/>
      <family val="2"/>
      <scheme val="minor"/>
    </font>
    <font>
      <sz val="24"/>
      <color theme="1"/>
      <name val="Aptos Narrow"/>
      <family val="2"/>
      <scheme val="minor"/>
    </font>
    <font>
      <b/>
      <i/>
      <sz val="12"/>
      <color theme="1"/>
      <name val="Aptos Narrow"/>
      <family val="2"/>
      <scheme val="minor"/>
    </font>
    <font>
      <b/>
      <i/>
      <sz val="11"/>
      <color theme="1"/>
      <name val="Aptos Narrow"/>
      <family val="2"/>
      <scheme val="minor"/>
    </font>
    <font>
      <i/>
      <sz val="12"/>
      <color theme="1"/>
      <name val="Aptos Narrow"/>
      <family val="2"/>
      <scheme val="minor"/>
    </font>
    <font>
      <b/>
      <i/>
      <sz val="24"/>
      <color theme="1"/>
      <name val="Aptos Narrow"/>
      <family val="2"/>
      <scheme val="minor"/>
    </font>
    <font>
      <b/>
      <i/>
      <sz val="18"/>
      <color theme="1"/>
      <name val="Aptos Narrow"/>
      <family val="2"/>
      <scheme val="minor"/>
    </font>
    <font>
      <sz val="28"/>
      <color theme="1"/>
      <name val="Aptos Narrow"/>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4" tint="0.39997558519241921"/>
        <bgColor indexed="64"/>
      </patternFill>
    </fill>
    <fill>
      <patternFill patternType="solid">
        <fgColor theme="1"/>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5" tint="0.79998168889431442"/>
        <bgColor indexed="64"/>
      </patternFill>
    </fill>
    <fill>
      <patternFill patternType="solid">
        <fgColor theme="7" tint="0.59999389629810485"/>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138">
    <xf numFmtId="0" fontId="0" fillId="0" borderId="0" xfId="0"/>
    <xf numFmtId="0" fontId="0" fillId="2" borderId="0" xfId="0" applyFill="1"/>
    <xf numFmtId="0" fontId="0" fillId="3" borderId="0" xfId="0" applyFill="1"/>
    <xf numFmtId="0" fontId="0" fillId="4" borderId="0" xfId="0" applyFill="1"/>
    <xf numFmtId="44" fontId="0" fillId="4" borderId="0" xfId="0" applyNumberFormat="1" applyFill="1"/>
    <xf numFmtId="0" fontId="0" fillId="4" borderId="3" xfId="0" applyFill="1" applyBorder="1"/>
    <xf numFmtId="0" fontId="0" fillId="4" borderId="4" xfId="0" applyFill="1" applyBorder="1"/>
    <xf numFmtId="14" fontId="0" fillId="4" borderId="5" xfId="0" applyNumberFormat="1" applyFill="1" applyBorder="1" applyAlignment="1">
      <alignment horizontal="left"/>
    </xf>
    <xf numFmtId="44" fontId="0" fillId="4" borderId="6" xfId="0" applyNumberFormat="1" applyFill="1" applyBorder="1"/>
    <xf numFmtId="44" fontId="0" fillId="4" borderId="8" xfId="0" applyNumberFormat="1" applyFill="1" applyBorder="1"/>
    <xf numFmtId="44" fontId="0" fillId="4" borderId="9" xfId="0" applyNumberFormat="1" applyFill="1" applyBorder="1"/>
    <xf numFmtId="44" fontId="0" fillId="4" borderId="2" xfId="0" applyNumberFormat="1" applyFill="1" applyBorder="1"/>
    <xf numFmtId="44" fontId="0" fillId="4" borderId="4" xfId="0" applyNumberFormat="1" applyFill="1" applyBorder="1"/>
    <xf numFmtId="44" fontId="0" fillId="4" borderId="5" xfId="0" applyNumberFormat="1" applyFill="1" applyBorder="1"/>
    <xf numFmtId="44" fontId="0" fillId="4" borderId="7" xfId="0" applyNumberFormat="1" applyFill="1" applyBorder="1"/>
    <xf numFmtId="0" fontId="0" fillId="4" borderId="1" xfId="0" applyFill="1" applyBorder="1"/>
    <xf numFmtId="14" fontId="0" fillId="4" borderId="13" xfId="0" applyNumberFormat="1" applyFill="1" applyBorder="1" applyAlignment="1">
      <alignment horizontal="left"/>
    </xf>
    <xf numFmtId="14" fontId="0" fillId="4" borderId="14" xfId="0" applyNumberFormat="1" applyFill="1" applyBorder="1" applyAlignment="1">
      <alignment horizontal="left"/>
    </xf>
    <xf numFmtId="14" fontId="0" fillId="4" borderId="15" xfId="0" applyNumberFormat="1" applyFill="1" applyBorder="1" applyAlignment="1">
      <alignment horizontal="left"/>
    </xf>
    <xf numFmtId="14" fontId="0" fillId="4" borderId="1" xfId="0" applyNumberFormat="1" applyFill="1" applyBorder="1" applyAlignment="1">
      <alignment horizontal="left"/>
    </xf>
    <xf numFmtId="0" fontId="0" fillId="4" borderId="10" xfId="0" applyFill="1" applyBorder="1"/>
    <xf numFmtId="0" fontId="0" fillId="4" borderId="12" xfId="0" applyFill="1" applyBorder="1"/>
    <xf numFmtId="44" fontId="0" fillId="4" borderId="3" xfId="0" applyNumberFormat="1" applyFill="1" applyBorder="1"/>
    <xf numFmtId="2" fontId="0" fillId="4" borderId="0" xfId="0" applyNumberFormat="1" applyFill="1"/>
    <xf numFmtId="2" fontId="0" fillId="4" borderId="6" xfId="0" applyNumberFormat="1" applyFill="1" applyBorder="1"/>
    <xf numFmtId="2" fontId="0" fillId="4" borderId="9" xfId="0" applyNumberFormat="1" applyFill="1" applyBorder="1"/>
    <xf numFmtId="2" fontId="0" fillId="4" borderId="4" xfId="0" applyNumberFormat="1" applyFill="1" applyBorder="1"/>
    <xf numFmtId="0" fontId="0" fillId="4" borderId="0" xfId="0" applyFill="1" applyAlignment="1">
      <alignment horizontal="center" vertical="center"/>
    </xf>
    <xf numFmtId="2" fontId="2" fillId="4" borderId="0" xfId="0" applyNumberFormat="1" applyFont="1" applyFill="1" applyAlignment="1">
      <alignment vertical="center"/>
    </xf>
    <xf numFmtId="0" fontId="0" fillId="4" borderId="0" xfId="0" applyFill="1" applyAlignment="1">
      <alignment vertical="center"/>
    </xf>
    <xf numFmtId="0" fontId="0" fillId="4" borderId="11" xfId="0" applyFill="1" applyBorder="1"/>
    <xf numFmtId="2" fontId="0" fillId="4" borderId="8" xfId="0" applyNumberFormat="1" applyFill="1" applyBorder="1"/>
    <xf numFmtId="2" fontId="0" fillId="4" borderId="3" xfId="0" applyNumberFormat="1" applyFill="1" applyBorder="1"/>
    <xf numFmtId="14" fontId="0" fillId="4" borderId="0" xfId="0" applyNumberFormat="1" applyFill="1"/>
    <xf numFmtId="0" fontId="0" fillId="8" borderId="0" xfId="0" applyFill="1"/>
    <xf numFmtId="44" fontId="0" fillId="8" borderId="0" xfId="0" applyNumberFormat="1" applyFill="1"/>
    <xf numFmtId="2" fontId="0" fillId="8" borderId="0" xfId="0" applyNumberFormat="1" applyFill="1"/>
    <xf numFmtId="2" fontId="0" fillId="4" borderId="0" xfId="1" applyNumberFormat="1" applyFont="1" applyFill="1"/>
    <xf numFmtId="0" fontId="0" fillId="10" borderId="0" xfId="0" applyFill="1"/>
    <xf numFmtId="0" fontId="0" fillId="11" borderId="0" xfId="0" applyFill="1"/>
    <xf numFmtId="14" fontId="0" fillId="8" borderId="0" xfId="0" applyNumberFormat="1" applyFill="1" applyAlignment="1">
      <alignment horizontal="center" vertical="center"/>
    </xf>
    <xf numFmtId="44" fontId="0" fillId="8" borderId="0" xfId="0" applyNumberFormat="1" applyFill="1" applyAlignment="1">
      <alignment horizontal="center" vertical="center"/>
    </xf>
    <xf numFmtId="0" fontId="0" fillId="12" borderId="0" xfId="0" applyFill="1"/>
    <xf numFmtId="0" fontId="0" fillId="8" borderId="0" xfId="0" applyFill="1" applyAlignment="1">
      <alignment vertical="top"/>
    </xf>
    <xf numFmtId="0" fontId="0" fillId="8" borderId="4" xfId="0" applyFill="1" applyBorder="1" applyAlignment="1">
      <alignment vertical="top"/>
    </xf>
    <xf numFmtId="0" fontId="0" fillId="8" borderId="6" xfId="0" applyFill="1" applyBorder="1" applyAlignment="1">
      <alignment vertical="top"/>
    </xf>
    <xf numFmtId="0" fontId="0" fillId="8" borderId="9" xfId="0" applyFill="1" applyBorder="1" applyAlignment="1">
      <alignment vertical="top"/>
    </xf>
    <xf numFmtId="0" fontId="0" fillId="8" borderId="12" xfId="0" applyFill="1" applyBorder="1" applyAlignment="1">
      <alignment vertical="top"/>
    </xf>
    <xf numFmtId="0" fontId="0" fillId="2" borderId="0" xfId="0" applyFill="1" applyAlignment="1">
      <alignment vertical="top"/>
    </xf>
    <xf numFmtId="0" fontId="6" fillId="4" borderId="0" xfId="0" applyFont="1" applyFill="1" applyAlignment="1">
      <alignment vertical="top"/>
    </xf>
    <xf numFmtId="0" fontId="5" fillId="4" borderId="0" xfId="0" applyFont="1" applyFill="1" applyAlignment="1">
      <alignment vertical="top"/>
    </xf>
    <xf numFmtId="0" fontId="6" fillId="4" borderId="0" xfId="0" applyFont="1" applyFill="1" applyAlignment="1">
      <alignment horizontal="center" vertical="top"/>
    </xf>
    <xf numFmtId="0" fontId="6" fillId="8" borderId="0" xfId="0" applyFont="1" applyFill="1" applyAlignment="1">
      <alignment horizontal="left" vertical="center"/>
    </xf>
    <xf numFmtId="0" fontId="0" fillId="0" borderId="0" xfId="0" pivotButton="1"/>
    <xf numFmtId="0" fontId="0" fillId="4" borderId="6" xfId="0" applyFill="1" applyBorder="1"/>
    <xf numFmtId="0" fontId="0" fillId="4" borderId="8" xfId="0" applyFill="1" applyBorder="1"/>
    <xf numFmtId="0" fontId="0" fillId="4" borderId="9" xfId="0" applyFill="1" applyBorder="1"/>
    <xf numFmtId="0" fontId="0" fillId="4" borderId="2" xfId="0" applyFill="1" applyBorder="1"/>
    <xf numFmtId="0" fontId="0" fillId="4" borderId="5" xfId="0" applyFill="1" applyBorder="1"/>
    <xf numFmtId="0" fontId="0" fillId="4" borderId="7" xfId="0" applyFill="1" applyBorder="1"/>
    <xf numFmtId="0" fontId="0" fillId="0" borderId="0" xfId="0" applyAlignment="1">
      <alignment horizontal="left"/>
    </xf>
    <xf numFmtId="0" fontId="0" fillId="14" borderId="0" xfId="0" applyFill="1"/>
    <xf numFmtId="0" fontId="9" fillId="14" borderId="0" xfId="0" applyFont="1" applyFill="1" applyAlignment="1">
      <alignment horizontal="center" vertical="center"/>
    </xf>
    <xf numFmtId="0" fontId="15" fillId="8" borderId="0" xfId="0" applyFont="1" applyFill="1" applyAlignment="1">
      <alignment horizontal="center"/>
    </xf>
    <xf numFmtId="44" fontId="9" fillId="14" borderId="0" xfId="0" applyNumberFormat="1" applyFont="1" applyFill="1" applyAlignment="1">
      <alignment horizontal="center" vertical="center"/>
    </xf>
    <xf numFmtId="0" fontId="0" fillId="8" borderId="0" xfId="0" applyFill="1" applyAlignment="1">
      <alignment horizontal="center" vertical="center"/>
    </xf>
    <xf numFmtId="0" fontId="0" fillId="8" borderId="5" xfId="0" applyFill="1" applyBorder="1" applyAlignment="1">
      <alignment horizontal="center" vertical="top"/>
    </xf>
    <xf numFmtId="0" fontId="0" fillId="8" borderId="6" xfId="0" applyFill="1" applyBorder="1" applyAlignment="1">
      <alignment horizontal="center" vertical="top"/>
    </xf>
    <xf numFmtId="0" fontId="0" fillId="8" borderId="0" xfId="0" applyFill="1" applyAlignment="1">
      <alignment horizontal="left" vertical="top"/>
    </xf>
    <xf numFmtId="0" fontId="0" fillId="8" borderId="0" xfId="0" applyFill="1" applyAlignment="1">
      <alignment horizontal="left"/>
    </xf>
    <xf numFmtId="0" fontId="0" fillId="2" borderId="0" xfId="0" applyFill="1" applyAlignment="1">
      <alignment horizontal="left" vertical="top"/>
    </xf>
    <xf numFmtId="0" fontId="0" fillId="8" borderId="7" xfId="0" applyFill="1" applyBorder="1" applyAlignment="1">
      <alignment horizontal="left"/>
    </xf>
    <xf numFmtId="0" fontId="0" fillId="8" borderId="8" xfId="0" applyFill="1" applyBorder="1" applyAlignment="1">
      <alignment horizontal="left"/>
    </xf>
    <xf numFmtId="0" fontId="0" fillId="8" borderId="9" xfId="0" applyFill="1" applyBorder="1" applyAlignment="1">
      <alignment horizontal="left"/>
    </xf>
    <xf numFmtId="0" fontId="0" fillId="12" borderId="0" xfId="0" applyFill="1" applyAlignment="1">
      <alignment horizontal="center" vertical="center"/>
    </xf>
    <xf numFmtId="0" fontId="0" fillId="2" borderId="0" xfId="0" applyFill="1" applyAlignment="1">
      <alignment horizontal="center" vertical="center"/>
    </xf>
    <xf numFmtId="0" fontId="0" fillId="8" borderId="10" xfId="0" applyFill="1" applyBorder="1" applyAlignment="1">
      <alignment horizontal="left" vertical="top"/>
    </xf>
    <xf numFmtId="0" fontId="0" fillId="8" borderId="11" xfId="0" applyFill="1" applyBorder="1" applyAlignment="1">
      <alignment horizontal="left" vertical="top"/>
    </xf>
    <xf numFmtId="0" fontId="0" fillId="8" borderId="8" xfId="0" applyFill="1" applyBorder="1" applyAlignment="1">
      <alignment horizontal="left" vertical="top"/>
    </xf>
    <xf numFmtId="0" fontId="0" fillId="8" borderId="9" xfId="0" applyFill="1" applyBorder="1" applyAlignment="1">
      <alignment horizontal="left" vertical="top"/>
    </xf>
    <xf numFmtId="0" fontId="0" fillId="8" borderId="10" xfId="0" applyFill="1" applyBorder="1" applyAlignment="1">
      <alignment horizontal="center" vertical="center"/>
    </xf>
    <xf numFmtId="0" fontId="0" fillId="8" borderId="11" xfId="0" applyFill="1" applyBorder="1" applyAlignment="1">
      <alignment horizontal="center" vertical="center"/>
    </xf>
    <xf numFmtId="0" fontId="0" fillId="8" borderId="12" xfId="0" applyFill="1" applyBorder="1" applyAlignment="1">
      <alignment horizontal="center" vertical="center"/>
    </xf>
    <xf numFmtId="0" fontId="0" fillId="8" borderId="6" xfId="0" applyFill="1" applyBorder="1" applyAlignment="1">
      <alignment horizontal="left" vertical="top"/>
    </xf>
    <xf numFmtId="0" fontId="0" fillId="8" borderId="7" xfId="0" applyFill="1" applyBorder="1" applyAlignment="1">
      <alignment horizontal="left" vertical="top"/>
    </xf>
    <xf numFmtId="0" fontId="0" fillId="8" borderId="10" xfId="0" applyFill="1" applyBorder="1" applyAlignment="1">
      <alignment horizontal="center"/>
    </xf>
    <xf numFmtId="0" fontId="0" fillId="8" borderId="11" xfId="0" applyFill="1" applyBorder="1" applyAlignment="1">
      <alignment horizontal="center"/>
    </xf>
    <xf numFmtId="0" fontId="0" fillId="8" borderId="12" xfId="0" applyFill="1" applyBorder="1" applyAlignment="1">
      <alignment horizontal="center"/>
    </xf>
    <xf numFmtId="0" fontId="0" fillId="8" borderId="2" xfId="0" applyFill="1" applyBorder="1" applyAlignment="1">
      <alignment horizontal="center" vertical="top"/>
    </xf>
    <xf numFmtId="0" fontId="0" fillId="8" borderId="4" xfId="0" applyFill="1" applyBorder="1" applyAlignment="1">
      <alignment horizontal="center" vertical="top"/>
    </xf>
    <xf numFmtId="0" fontId="0" fillId="2" borderId="0" xfId="0" applyFill="1" applyAlignment="1">
      <alignment horizont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8" borderId="3" xfId="0" applyFill="1" applyBorder="1" applyAlignment="1">
      <alignment horizontal="left" vertical="top"/>
    </xf>
    <xf numFmtId="0" fontId="0" fillId="8" borderId="4" xfId="0" applyFill="1" applyBorder="1" applyAlignment="1">
      <alignment horizontal="left" vertical="top"/>
    </xf>
    <xf numFmtId="0" fontId="0" fillId="8" borderId="5" xfId="0" applyFill="1" applyBorder="1" applyAlignment="1">
      <alignment horizontal="center" vertical="center"/>
    </xf>
    <xf numFmtId="0" fontId="0" fillId="8" borderId="2" xfId="0" applyFill="1" applyBorder="1" applyAlignment="1">
      <alignment horizontal="left" vertical="top"/>
    </xf>
    <xf numFmtId="0" fontId="0" fillId="8" borderId="5" xfId="0" applyFill="1" applyBorder="1" applyAlignment="1">
      <alignment horizontal="left" vertical="top"/>
    </xf>
    <xf numFmtId="0" fontId="0" fillId="8" borderId="7" xfId="0" applyFill="1" applyBorder="1" applyAlignment="1">
      <alignment horizontal="center"/>
    </xf>
    <xf numFmtId="0" fontId="0" fillId="8" borderId="9" xfId="0" applyFill="1" applyBorder="1" applyAlignment="1">
      <alignment horizontal="center"/>
    </xf>
    <xf numFmtId="0" fontId="4" fillId="13" borderId="0" xfId="0" applyFont="1" applyFill="1" applyAlignment="1">
      <alignment horizontal="left" vertical="top" wrapText="1"/>
    </xf>
    <xf numFmtId="0" fontId="0" fillId="9" borderId="0" xfId="0" applyFill="1" applyAlignment="1">
      <alignment horizontal="center"/>
    </xf>
    <xf numFmtId="0" fontId="5" fillId="8" borderId="0" xfId="0" applyFont="1" applyFill="1" applyAlignment="1">
      <alignment horizontal="left" vertical="center"/>
    </xf>
    <xf numFmtId="0" fontId="6" fillId="8" borderId="0" xfId="0" applyFont="1" applyFill="1" applyAlignment="1">
      <alignment horizontal="left" vertical="top" wrapText="1"/>
    </xf>
    <xf numFmtId="0" fontId="0" fillId="5" borderId="10" xfId="0" applyFill="1" applyBorder="1" applyAlignment="1">
      <alignment horizontal="center" vertical="center"/>
    </xf>
    <xf numFmtId="0" fontId="0" fillId="5" borderId="11" xfId="0" applyFill="1" applyBorder="1" applyAlignment="1">
      <alignment horizontal="center" vertical="center"/>
    </xf>
    <xf numFmtId="0" fontId="0" fillId="5" borderId="12"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2" fontId="2" fillId="4" borderId="2" xfId="0" applyNumberFormat="1" applyFont="1" applyFill="1" applyBorder="1" applyAlignment="1">
      <alignment horizontal="center" vertical="center"/>
    </xf>
    <xf numFmtId="2" fontId="2" fillId="4" borderId="3" xfId="0" applyNumberFormat="1" applyFont="1" applyFill="1" applyBorder="1" applyAlignment="1">
      <alignment horizontal="center" vertical="center"/>
    </xf>
    <xf numFmtId="2" fontId="2" fillId="4" borderId="4" xfId="0" applyNumberFormat="1" applyFont="1" applyFill="1" applyBorder="1" applyAlignment="1">
      <alignment horizontal="center" vertical="center"/>
    </xf>
    <xf numFmtId="2" fontId="2" fillId="4" borderId="5" xfId="0" applyNumberFormat="1" applyFont="1" applyFill="1" applyBorder="1" applyAlignment="1">
      <alignment horizontal="center" vertical="center"/>
    </xf>
    <xf numFmtId="2" fontId="2" fillId="4" borderId="0" xfId="0" applyNumberFormat="1" applyFont="1" applyFill="1" applyAlignment="1">
      <alignment horizontal="center" vertical="center"/>
    </xf>
    <xf numFmtId="2" fontId="2" fillId="4" borderId="6" xfId="0" applyNumberFormat="1" applyFont="1" applyFill="1" applyBorder="1" applyAlignment="1">
      <alignment horizontal="center" vertical="center"/>
    </xf>
    <xf numFmtId="2" fontId="2" fillId="4" borderId="7" xfId="0" applyNumberFormat="1" applyFont="1" applyFill="1" applyBorder="1" applyAlignment="1">
      <alignment horizontal="center" vertical="center"/>
    </xf>
    <xf numFmtId="2" fontId="2" fillId="4" borderId="8" xfId="0" applyNumberFormat="1" applyFont="1" applyFill="1" applyBorder="1" applyAlignment="1">
      <alignment horizontal="center" vertical="center"/>
    </xf>
    <xf numFmtId="2" fontId="2" fillId="4" borderId="9" xfId="0" applyNumberFormat="1" applyFont="1" applyFill="1" applyBorder="1" applyAlignment="1">
      <alignment horizontal="center" vertical="center"/>
    </xf>
    <xf numFmtId="0" fontId="9" fillId="8" borderId="0" xfId="0" applyFont="1" applyFill="1" applyAlignment="1">
      <alignment horizontal="left" vertical="top" wrapText="1"/>
    </xf>
    <xf numFmtId="0" fontId="9" fillId="8" borderId="0" xfId="0" applyFont="1" applyFill="1" applyAlignment="1">
      <alignment horizontal="left" vertical="top"/>
    </xf>
    <xf numFmtId="44" fontId="2" fillId="4" borderId="2" xfId="0" applyNumberFormat="1" applyFont="1" applyFill="1" applyBorder="1" applyAlignment="1">
      <alignment horizontal="center" vertical="center"/>
    </xf>
    <xf numFmtId="44" fontId="2" fillId="4" borderId="3" xfId="0" applyNumberFormat="1" applyFont="1" applyFill="1" applyBorder="1" applyAlignment="1">
      <alignment horizontal="center" vertical="center"/>
    </xf>
    <xf numFmtId="44" fontId="2" fillId="4" borderId="4" xfId="0" applyNumberFormat="1" applyFont="1" applyFill="1" applyBorder="1" applyAlignment="1">
      <alignment horizontal="center" vertical="center"/>
    </xf>
    <xf numFmtId="44" fontId="2" fillId="4" borderId="5" xfId="0" applyNumberFormat="1" applyFont="1" applyFill="1" applyBorder="1" applyAlignment="1">
      <alignment horizontal="center" vertical="center"/>
    </xf>
    <xf numFmtId="44" fontId="2" fillId="4" borderId="0" xfId="0" applyNumberFormat="1" applyFont="1" applyFill="1" applyAlignment="1">
      <alignment horizontal="center" vertical="center"/>
    </xf>
    <xf numFmtId="44" fontId="2" fillId="4" borderId="6" xfId="0" applyNumberFormat="1" applyFont="1" applyFill="1" applyBorder="1" applyAlignment="1">
      <alignment horizontal="center" vertical="center"/>
    </xf>
    <xf numFmtId="44" fontId="2" fillId="4" borderId="7" xfId="0" applyNumberFormat="1" applyFont="1" applyFill="1" applyBorder="1" applyAlignment="1">
      <alignment horizontal="center" vertical="center"/>
    </xf>
    <xf numFmtId="44" fontId="2" fillId="4" borderId="8" xfId="0" applyNumberFormat="1" applyFont="1" applyFill="1" applyBorder="1" applyAlignment="1">
      <alignment horizontal="center" vertical="center"/>
    </xf>
    <xf numFmtId="44" fontId="2" fillId="4" borderId="9" xfId="0" applyNumberFormat="1" applyFont="1" applyFill="1" applyBorder="1" applyAlignment="1">
      <alignment horizontal="center" vertical="center"/>
    </xf>
    <xf numFmtId="0" fontId="8" fillId="8" borderId="0" xfId="0" applyFont="1" applyFill="1" applyAlignment="1">
      <alignment horizontal="left" vertical="top" wrapText="1"/>
    </xf>
    <xf numFmtId="0" fontId="8" fillId="8" borderId="0" xfId="0" applyFont="1" applyFill="1" applyAlignment="1">
      <alignment horizontal="left" vertical="top"/>
    </xf>
    <xf numFmtId="0" fontId="3" fillId="4" borderId="10" xfId="0" applyFont="1" applyFill="1" applyBorder="1" applyAlignment="1">
      <alignment horizontal="center"/>
    </xf>
    <xf numFmtId="0" fontId="3" fillId="4" borderId="11" xfId="0" applyFont="1" applyFill="1" applyBorder="1" applyAlignment="1">
      <alignment horizontal="center"/>
    </xf>
    <xf numFmtId="0" fontId="3" fillId="4" borderId="12" xfId="0" applyFont="1" applyFill="1" applyBorder="1" applyAlignment="1">
      <alignment horizontal="center"/>
    </xf>
  </cellXfs>
  <cellStyles count="2">
    <cellStyle name="Normal" xfId="0" builtinId="0"/>
    <cellStyle name="Porcentaje" xfId="1" builtinId="5"/>
  </cellStyles>
  <dxfs count="269">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fill>
        <patternFill patternType="solid">
          <bgColor theme="3" tint="0.89999084444715716"/>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fgColor indexed="64"/>
          <bgColor theme="3" tint="0.89999084444715716"/>
        </patternFill>
      </fill>
    </dxf>
    <dxf>
      <numFmt numFmtId="34" formatCode="_-&quot;$&quot;\ * #,##0.00_-;\-&quot;$&quot;\ * #,##0.00_-;_-&quot;$&quot;\ * &quot;-&quot;??_-;_-@_-"/>
      <fill>
        <patternFill patternType="solid">
          <fgColor indexed="64"/>
          <bgColor theme="3" tint="0.89999084444715716"/>
        </patternFill>
      </fill>
    </dxf>
    <dxf>
      <numFmt numFmtId="34" formatCode="_-&quot;$&quot;\ * #,##0.00_-;\-&quot;$&quot;\ * #,##0.00_-;_-&quot;$&quot;\ * &quot;-&quot;??_-;_-@_-"/>
      <fill>
        <patternFill patternType="solid">
          <fgColor indexed="64"/>
          <bgColor theme="3" tint="0.89999084444715716"/>
        </patternFill>
      </fill>
    </dxf>
    <dxf>
      <numFmt numFmtId="34" formatCode="_-&quot;$&quot;\ * #,##0.00_-;\-&quot;$&quot;\ * #,##0.00_-;_-&quot;$&quot;\ * &quot;-&quot;??_-;_-@_-"/>
      <fill>
        <patternFill patternType="solid">
          <fgColor indexed="64"/>
          <bgColor theme="3" tint="0.89999084444715716"/>
        </patternFill>
      </fill>
    </dxf>
    <dxf>
      <numFmt numFmtId="2" formatCode="0.00"/>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numFmt numFmtId="19" formatCode="d/m/yyyy"/>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fill>
        <patternFill patternType="solid">
          <fgColor indexed="64"/>
          <bgColor theme="3" tint="0.89999084444715716"/>
        </patternFill>
      </fill>
    </dxf>
    <dxf>
      <numFmt numFmtId="34" formatCode="_-&quot;$&quot;\ * #,##0.00_-;\-&quot;$&quot;\ * #,##0.00_-;_-&quot;$&quot;\ * &quot;-&quot;??_-;_-@_-"/>
      <fill>
        <patternFill patternType="solid">
          <fgColor indexed="64"/>
          <bgColor theme="3" tint="0.89999084444715716"/>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79998168889431442"/>
        </patternFill>
      </fill>
    </dxf>
    <dxf>
      <fill>
        <patternFill>
          <bgColor theme="9" tint="-0.24994659260841701"/>
        </patternFill>
      </fill>
    </dxf>
    <dxf>
      <fill>
        <patternFill>
          <bgColor rgb="FF00B0F0"/>
        </patternFill>
      </fill>
    </dxf>
  </dxfs>
  <tableStyles count="3" defaultTableStyle="TableStyleMedium2" defaultPivotStyle="PivotStyleLight16">
    <tableStyle name="Estilo de segmentación de datos 1" pivot="0" table="0" count="1" xr9:uid="{B2178274-47C9-4DA4-9422-B5A5C7B26CD9}"/>
    <tableStyle name="Estilo de segmentación de datos 2" pivot="0" table="0" count="10" xr9:uid="{0CE706AF-ABA5-4BF1-948E-0EFFCF7188C9}">
      <tableStyleElement type="wholeTable" dxfId="268"/>
      <tableStyleElement type="headerRow" dxfId="267"/>
    </tableStyle>
    <tableStyle name="Estilo de segmentación de datos 3" pivot="0" table="0" count="1" xr9:uid="{041C34B6-25E9-4F6C-A44F-187B8B5C41E9}">
      <tableStyleElement type="wholeTable" dxfId="266"/>
    </tableStyle>
  </tableStyles>
  <extLst>
    <ext xmlns:x14="http://schemas.microsoft.com/office/spreadsheetml/2009/9/main" uri="{46F421CA-312F-682f-3DD2-61675219B42D}">
      <x14:dxfs count="9">
        <dxf>
          <fill>
            <patternFill>
              <bgColor theme="8" tint="0.59996337778862885"/>
            </patternFill>
          </fill>
        </dxf>
        <dxf>
          <fill>
            <patternFill>
              <bgColor theme="6" tint="0.79998168889431442"/>
            </patternFill>
          </fill>
        </dxf>
        <dxf>
          <fill>
            <patternFill>
              <bgColor theme="1"/>
            </patternFill>
          </fill>
        </dxf>
        <dxf>
          <fill>
            <patternFill>
              <bgColor theme="8" tint="0.79998168889431442"/>
            </patternFill>
          </fill>
        </dxf>
        <dxf>
          <fill>
            <patternFill>
              <bgColor rgb="FFFFFF00"/>
            </patternFill>
          </fill>
        </dxf>
        <dxf>
          <font>
            <sz val="10"/>
          </font>
          <fill>
            <patternFill>
              <bgColor rgb="FFFF0000"/>
            </patternFill>
          </fill>
        </dxf>
        <dxf>
          <fill>
            <patternFill>
              <bgColor theme="4" tint="0.59996337778862885"/>
            </patternFill>
          </fill>
        </dxf>
        <dxf>
          <fill>
            <patternFill>
              <bgColor rgb="FF7030A0"/>
            </patternFill>
          </fill>
        </dxf>
        <dxf>
          <font>
            <sz val="8"/>
          </font>
          <fill>
            <patternFill>
              <bgColor rgb="FFFF0000"/>
            </patternFill>
          </fill>
        </dxf>
      </x14:dxfs>
    </ext>
    <ext xmlns:x14="http://schemas.microsoft.com/office/spreadsheetml/2009/9/main" uri="{EB79DEF2-80B8-43e5-95BD-54CBDDF9020C}">
      <x14:slicerStyles defaultSlicerStyle="SlicerStyleLight1">
        <x14:slicerStyle name="Estilo de segmentación de datos 1">
          <x14:slicerStyleElements>
            <x14:slicerStyleElement type="selectedItemWithData" dxfId="8"/>
          </x14:slicerStyleElements>
        </x14:slicerStyle>
        <x14:slicerStyle name="Estilo de segmentación de datos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Estilo de segmentación de datos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[FerreiraFabianBTCfinal.xlsm]IRX-index!TablaDinámica10</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Gráfico IRX-índex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'IRX-index'!$C$3</c:f>
              <c:strCache>
                <c:ptCount val="1"/>
                <c:pt idx="0">
                  <c:v>Promedio de index</c:v>
                </c:pt>
              </c:strCache>
            </c:strRef>
          </c:tx>
          <c:spPr>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cat>
            <c:strRef>
              <c:f>'IRX-index'!$B$4:$B$1005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'IRX-index'!$C$4:$C$1005</c:f>
              <c:numCache>
                <c:formatCode>General</c:formatCode>
                <c:ptCount val="1001"/>
                <c:pt idx="0">
                  <c:v>14</c:v>
                </c:pt>
                <c:pt idx="1">
                  <c:v>19</c:v>
                </c:pt>
                <c:pt idx="2">
                  <c:v>18</c:v>
                </c:pt>
                <c:pt idx="3">
                  <c:v>18</c:v>
                </c:pt>
                <c:pt idx="4">
                  <c:v>20</c:v>
                </c:pt>
                <c:pt idx="5">
                  <c:v>24</c:v>
                </c:pt>
                <c:pt idx="6">
                  <c:v>24</c:v>
                </c:pt>
                <c:pt idx="7">
                  <c:v>22</c:v>
                </c:pt>
                <c:pt idx="8">
                  <c:v>16</c:v>
                </c:pt>
                <c:pt idx="9">
                  <c:v>15</c:v>
                </c:pt>
                <c:pt idx="10">
                  <c:v>18</c:v>
                </c:pt>
                <c:pt idx="11">
                  <c:v>15</c:v>
                </c:pt>
                <c:pt idx="12">
                  <c:v>21</c:v>
                </c:pt>
                <c:pt idx="13">
                  <c:v>24</c:v>
                </c:pt>
                <c:pt idx="14">
                  <c:v>20</c:v>
                </c:pt>
                <c:pt idx="15">
                  <c:v>30</c:v>
                </c:pt>
                <c:pt idx="16">
                  <c:v>31</c:v>
                </c:pt>
                <c:pt idx="17">
                  <c:v>34</c:v>
                </c:pt>
                <c:pt idx="18">
                  <c:v>33</c:v>
                </c:pt>
                <c:pt idx="19">
                  <c:v>31</c:v>
                </c:pt>
                <c:pt idx="20">
                  <c:v>30</c:v>
                </c:pt>
                <c:pt idx="21">
                  <c:v>30</c:v>
                </c:pt>
                <c:pt idx="22">
                  <c:v>26</c:v>
                </c:pt>
                <c:pt idx="23">
                  <c:v>28</c:v>
                </c:pt>
                <c:pt idx="24">
                  <c:v>32</c:v>
                </c:pt>
                <c:pt idx="25">
                  <c:v>39</c:v>
                </c:pt>
                <c:pt idx="26">
                  <c:v>42</c:v>
                </c:pt>
                <c:pt idx="27">
                  <c:v>39</c:v>
                </c:pt>
                <c:pt idx="28">
                  <c:v>33</c:v>
                </c:pt>
                <c:pt idx="29">
                  <c:v>31</c:v>
                </c:pt>
                <c:pt idx="30">
                  <c:v>34</c:v>
                </c:pt>
                <c:pt idx="31">
                  <c:v>30</c:v>
                </c:pt>
                <c:pt idx="32">
                  <c:v>31</c:v>
                </c:pt>
                <c:pt idx="33">
                  <c:v>31</c:v>
                </c:pt>
                <c:pt idx="34">
                  <c:v>30</c:v>
                </c:pt>
                <c:pt idx="35">
                  <c:v>30</c:v>
                </c:pt>
                <c:pt idx="36">
                  <c:v>42</c:v>
                </c:pt>
                <c:pt idx="37">
                  <c:v>31</c:v>
                </c:pt>
                <c:pt idx="38">
                  <c:v>41</c:v>
                </c:pt>
                <c:pt idx="39">
                  <c:v>42</c:v>
                </c:pt>
                <c:pt idx="40">
                  <c:v>46</c:v>
                </c:pt>
                <c:pt idx="41">
                  <c:v>47</c:v>
                </c:pt>
                <c:pt idx="42">
                  <c:v>45</c:v>
                </c:pt>
                <c:pt idx="43">
                  <c:v>44</c:v>
                </c:pt>
                <c:pt idx="44">
                  <c:v>41</c:v>
                </c:pt>
                <c:pt idx="45">
                  <c:v>30</c:v>
                </c:pt>
                <c:pt idx="46">
                  <c:v>33</c:v>
                </c:pt>
                <c:pt idx="47">
                  <c:v>29</c:v>
                </c:pt>
                <c:pt idx="48">
                  <c:v>27</c:v>
                </c:pt>
                <c:pt idx="49">
                  <c:v>29</c:v>
                </c:pt>
                <c:pt idx="50">
                  <c:v>28</c:v>
                </c:pt>
                <c:pt idx="51">
                  <c:v>25</c:v>
                </c:pt>
                <c:pt idx="52">
                  <c:v>25</c:v>
                </c:pt>
                <c:pt idx="53">
                  <c:v>27</c:v>
                </c:pt>
                <c:pt idx="54">
                  <c:v>28</c:v>
                </c:pt>
                <c:pt idx="55">
                  <c:v>28</c:v>
                </c:pt>
                <c:pt idx="56">
                  <c:v>24</c:v>
                </c:pt>
                <c:pt idx="57">
                  <c:v>27</c:v>
                </c:pt>
                <c:pt idx="58">
                  <c:v>23</c:v>
                </c:pt>
                <c:pt idx="59">
                  <c:v>20</c:v>
                </c:pt>
                <c:pt idx="60">
                  <c:v>25</c:v>
                </c:pt>
                <c:pt idx="61">
                  <c:v>21</c:v>
                </c:pt>
                <c:pt idx="62">
                  <c:v>20</c:v>
                </c:pt>
                <c:pt idx="63">
                  <c:v>23</c:v>
                </c:pt>
                <c:pt idx="64">
                  <c:v>22</c:v>
                </c:pt>
                <c:pt idx="65">
                  <c:v>24</c:v>
                </c:pt>
                <c:pt idx="66">
                  <c:v>20</c:v>
                </c:pt>
                <c:pt idx="67">
                  <c:v>22</c:v>
                </c:pt>
                <c:pt idx="68">
                  <c:v>28</c:v>
                </c:pt>
                <c:pt idx="69">
                  <c:v>26</c:v>
                </c:pt>
                <c:pt idx="70">
                  <c:v>25</c:v>
                </c:pt>
                <c:pt idx="71">
                  <c:v>34</c:v>
                </c:pt>
                <c:pt idx="72">
                  <c:v>27</c:v>
                </c:pt>
                <c:pt idx="73">
                  <c:v>28</c:v>
                </c:pt>
                <c:pt idx="74">
                  <c:v>20</c:v>
                </c:pt>
                <c:pt idx="75">
                  <c:v>22</c:v>
                </c:pt>
                <c:pt idx="76">
                  <c:v>27</c:v>
                </c:pt>
                <c:pt idx="77">
                  <c:v>21</c:v>
                </c:pt>
                <c:pt idx="78">
                  <c:v>23</c:v>
                </c:pt>
                <c:pt idx="79">
                  <c:v>23</c:v>
                </c:pt>
                <c:pt idx="80">
                  <c:v>22</c:v>
                </c:pt>
                <c:pt idx="81">
                  <c:v>20</c:v>
                </c:pt>
                <c:pt idx="82">
                  <c:v>24</c:v>
                </c:pt>
                <c:pt idx="83">
                  <c:v>24</c:v>
                </c:pt>
                <c:pt idx="84">
                  <c:v>21</c:v>
                </c:pt>
                <c:pt idx="85">
                  <c:v>20</c:v>
                </c:pt>
                <c:pt idx="86">
                  <c:v>20</c:v>
                </c:pt>
                <c:pt idx="87">
                  <c:v>22</c:v>
                </c:pt>
                <c:pt idx="88">
                  <c:v>21</c:v>
                </c:pt>
                <c:pt idx="89">
                  <c:v>20</c:v>
                </c:pt>
                <c:pt idx="90">
                  <c:v>24</c:v>
                </c:pt>
                <c:pt idx="91">
                  <c:v>24</c:v>
                </c:pt>
                <c:pt idx="92">
                  <c:v>20</c:v>
                </c:pt>
                <c:pt idx="93">
                  <c:v>25</c:v>
                </c:pt>
                <c:pt idx="94">
                  <c:v>26</c:v>
                </c:pt>
                <c:pt idx="95">
                  <c:v>23</c:v>
                </c:pt>
                <c:pt idx="96">
                  <c:v>24</c:v>
                </c:pt>
                <c:pt idx="97">
                  <c:v>22</c:v>
                </c:pt>
                <c:pt idx="98">
                  <c:v>22</c:v>
                </c:pt>
                <c:pt idx="99">
                  <c:v>24</c:v>
                </c:pt>
                <c:pt idx="100">
                  <c:v>20</c:v>
                </c:pt>
                <c:pt idx="101">
                  <c:v>20</c:v>
                </c:pt>
                <c:pt idx="102">
                  <c:v>24</c:v>
                </c:pt>
                <c:pt idx="103">
                  <c:v>24</c:v>
                </c:pt>
                <c:pt idx="104">
                  <c:v>24</c:v>
                </c:pt>
                <c:pt idx="105">
                  <c:v>20</c:v>
                </c:pt>
                <c:pt idx="106">
                  <c:v>22</c:v>
                </c:pt>
                <c:pt idx="107">
                  <c:v>23</c:v>
                </c:pt>
                <c:pt idx="108">
                  <c:v>23</c:v>
                </c:pt>
                <c:pt idx="109">
                  <c:v>23</c:v>
                </c:pt>
                <c:pt idx="110">
                  <c:v>20</c:v>
                </c:pt>
                <c:pt idx="111">
                  <c:v>23</c:v>
                </c:pt>
                <c:pt idx="112">
                  <c:v>22</c:v>
                </c:pt>
                <c:pt idx="113">
                  <c:v>20</c:v>
                </c:pt>
                <c:pt idx="114">
                  <c:v>33</c:v>
                </c:pt>
                <c:pt idx="115">
                  <c:v>32</c:v>
                </c:pt>
                <c:pt idx="116">
                  <c:v>30</c:v>
                </c:pt>
                <c:pt idx="117">
                  <c:v>34</c:v>
                </c:pt>
                <c:pt idx="118">
                  <c:v>34</c:v>
                </c:pt>
                <c:pt idx="119">
                  <c:v>31</c:v>
                </c:pt>
                <c:pt idx="120">
                  <c:v>30</c:v>
                </c:pt>
                <c:pt idx="121">
                  <c:v>30</c:v>
                </c:pt>
                <c:pt idx="122">
                  <c:v>30</c:v>
                </c:pt>
                <c:pt idx="123">
                  <c:v>30</c:v>
                </c:pt>
                <c:pt idx="124">
                  <c:v>38</c:v>
                </c:pt>
                <c:pt idx="125">
                  <c:v>40</c:v>
                </c:pt>
                <c:pt idx="126">
                  <c:v>33</c:v>
                </c:pt>
                <c:pt idx="127">
                  <c:v>31</c:v>
                </c:pt>
                <c:pt idx="128">
                  <c:v>29</c:v>
                </c:pt>
                <c:pt idx="129">
                  <c:v>22</c:v>
                </c:pt>
                <c:pt idx="130">
                  <c:v>25</c:v>
                </c:pt>
                <c:pt idx="131">
                  <c:v>21</c:v>
                </c:pt>
                <c:pt idx="132">
                  <c:v>22</c:v>
                </c:pt>
                <c:pt idx="133">
                  <c:v>24</c:v>
                </c:pt>
                <c:pt idx="134">
                  <c:v>22</c:v>
                </c:pt>
                <c:pt idx="135">
                  <c:v>23</c:v>
                </c:pt>
                <c:pt idx="136">
                  <c:v>20</c:v>
                </c:pt>
                <c:pt idx="137">
                  <c:v>23</c:v>
                </c:pt>
                <c:pt idx="138">
                  <c:v>23</c:v>
                </c:pt>
                <c:pt idx="139">
                  <c:v>24</c:v>
                </c:pt>
                <c:pt idx="140">
                  <c:v>21</c:v>
                </c:pt>
                <c:pt idx="141">
                  <c:v>22</c:v>
                </c:pt>
                <c:pt idx="142">
                  <c:v>22</c:v>
                </c:pt>
                <c:pt idx="143">
                  <c:v>20</c:v>
                </c:pt>
                <c:pt idx="144">
                  <c:v>20</c:v>
                </c:pt>
                <c:pt idx="145">
                  <c:v>22</c:v>
                </c:pt>
                <c:pt idx="146">
                  <c:v>26</c:v>
                </c:pt>
                <c:pt idx="147">
                  <c:v>28</c:v>
                </c:pt>
                <c:pt idx="148">
                  <c:v>26</c:v>
                </c:pt>
                <c:pt idx="149">
                  <c:v>29</c:v>
                </c:pt>
                <c:pt idx="150">
                  <c:v>27</c:v>
                </c:pt>
                <c:pt idx="151">
                  <c:v>27</c:v>
                </c:pt>
                <c:pt idx="152">
                  <c:v>27</c:v>
                </c:pt>
                <c:pt idx="153">
                  <c:v>26</c:v>
                </c:pt>
                <c:pt idx="154">
                  <c:v>26</c:v>
                </c:pt>
                <c:pt idx="155">
                  <c:v>25</c:v>
                </c:pt>
                <c:pt idx="156">
                  <c:v>29</c:v>
                </c:pt>
                <c:pt idx="157">
                  <c:v>25</c:v>
                </c:pt>
                <c:pt idx="158">
                  <c:v>26</c:v>
                </c:pt>
                <c:pt idx="159">
                  <c:v>27</c:v>
                </c:pt>
                <c:pt idx="160">
                  <c:v>26</c:v>
                </c:pt>
                <c:pt idx="161">
                  <c:v>27</c:v>
                </c:pt>
                <c:pt idx="162">
                  <c:v>27</c:v>
                </c:pt>
                <c:pt idx="163">
                  <c:v>30</c:v>
                </c:pt>
                <c:pt idx="164">
                  <c:v>31</c:v>
                </c:pt>
                <c:pt idx="165">
                  <c:v>29</c:v>
                </c:pt>
                <c:pt idx="166">
                  <c:v>28</c:v>
                </c:pt>
                <c:pt idx="167">
                  <c:v>26</c:v>
                </c:pt>
                <c:pt idx="168">
                  <c:v>29</c:v>
                </c:pt>
                <c:pt idx="169">
                  <c:v>29</c:v>
                </c:pt>
                <c:pt idx="170">
                  <c:v>26</c:v>
                </c:pt>
                <c:pt idx="171">
                  <c:v>28</c:v>
                </c:pt>
                <c:pt idx="172">
                  <c:v>27</c:v>
                </c:pt>
                <c:pt idx="173">
                  <c:v>29</c:v>
                </c:pt>
                <c:pt idx="174">
                  <c:v>29</c:v>
                </c:pt>
                <c:pt idx="175">
                  <c:v>28</c:v>
                </c:pt>
                <c:pt idx="176">
                  <c:v>27</c:v>
                </c:pt>
                <c:pt idx="177">
                  <c:v>28</c:v>
                </c:pt>
                <c:pt idx="178">
                  <c:v>28</c:v>
                </c:pt>
                <c:pt idx="179">
                  <c:v>28</c:v>
                </c:pt>
                <c:pt idx="180">
                  <c:v>25</c:v>
                </c:pt>
                <c:pt idx="181">
                  <c:v>26</c:v>
                </c:pt>
                <c:pt idx="182">
                  <c:v>27</c:v>
                </c:pt>
                <c:pt idx="183">
                  <c:v>26</c:v>
                </c:pt>
                <c:pt idx="184">
                  <c:v>29</c:v>
                </c:pt>
                <c:pt idx="185">
                  <c:v>29</c:v>
                </c:pt>
                <c:pt idx="186">
                  <c:v>26</c:v>
                </c:pt>
                <c:pt idx="187">
                  <c:v>25</c:v>
                </c:pt>
                <c:pt idx="188">
                  <c:v>25</c:v>
                </c:pt>
                <c:pt idx="189">
                  <c:v>25</c:v>
                </c:pt>
                <c:pt idx="190">
                  <c:v>26</c:v>
                </c:pt>
                <c:pt idx="191">
                  <c:v>26</c:v>
                </c:pt>
                <c:pt idx="192">
                  <c:v>30</c:v>
                </c:pt>
                <c:pt idx="193">
                  <c:v>31</c:v>
                </c:pt>
                <c:pt idx="194">
                  <c:v>46</c:v>
                </c:pt>
                <c:pt idx="195">
                  <c:v>52</c:v>
                </c:pt>
                <c:pt idx="196">
                  <c:v>45</c:v>
                </c:pt>
                <c:pt idx="197">
                  <c:v>51</c:v>
                </c:pt>
                <c:pt idx="198">
                  <c:v>52</c:v>
                </c:pt>
                <c:pt idx="199">
                  <c:v>45</c:v>
                </c:pt>
                <c:pt idx="200">
                  <c:v>51</c:v>
                </c:pt>
                <c:pt idx="201">
                  <c:v>53</c:v>
                </c:pt>
                <c:pt idx="202">
                  <c:v>53</c:v>
                </c:pt>
                <c:pt idx="203">
                  <c:v>50</c:v>
                </c:pt>
                <c:pt idx="204">
                  <c:v>52</c:v>
                </c:pt>
                <c:pt idx="205">
                  <c:v>51</c:v>
                </c:pt>
                <c:pt idx="206">
                  <c:v>54</c:v>
                </c:pt>
                <c:pt idx="207">
                  <c:v>55</c:v>
                </c:pt>
                <c:pt idx="208">
                  <c:v>52</c:v>
                </c:pt>
                <c:pt idx="209">
                  <c:v>55</c:v>
                </c:pt>
                <c:pt idx="210">
                  <c:v>61</c:v>
                </c:pt>
                <c:pt idx="211">
                  <c:v>51</c:v>
                </c:pt>
                <c:pt idx="212">
                  <c:v>56</c:v>
                </c:pt>
                <c:pt idx="213">
                  <c:v>60</c:v>
                </c:pt>
                <c:pt idx="214">
                  <c:v>60</c:v>
                </c:pt>
                <c:pt idx="215">
                  <c:v>58</c:v>
                </c:pt>
                <c:pt idx="216">
                  <c:v>58</c:v>
                </c:pt>
                <c:pt idx="217">
                  <c:v>56</c:v>
                </c:pt>
                <c:pt idx="218">
                  <c:v>54</c:v>
                </c:pt>
                <c:pt idx="219">
                  <c:v>58</c:v>
                </c:pt>
                <c:pt idx="220">
                  <c:v>55</c:v>
                </c:pt>
                <c:pt idx="221">
                  <c:v>48</c:v>
                </c:pt>
                <c:pt idx="222">
                  <c:v>49</c:v>
                </c:pt>
                <c:pt idx="223">
                  <c:v>50</c:v>
                </c:pt>
                <c:pt idx="224">
                  <c:v>48</c:v>
                </c:pt>
                <c:pt idx="225">
                  <c:v>50</c:v>
                </c:pt>
                <c:pt idx="226">
                  <c:v>53</c:v>
                </c:pt>
                <c:pt idx="227">
                  <c:v>62</c:v>
                </c:pt>
                <c:pt idx="228">
                  <c:v>61</c:v>
                </c:pt>
                <c:pt idx="229">
                  <c:v>60</c:v>
                </c:pt>
                <c:pt idx="230">
                  <c:v>60</c:v>
                </c:pt>
                <c:pt idx="231">
                  <c:v>58</c:v>
                </c:pt>
                <c:pt idx="232">
                  <c:v>60</c:v>
                </c:pt>
                <c:pt idx="233">
                  <c:v>59</c:v>
                </c:pt>
                <c:pt idx="234">
                  <c:v>56</c:v>
                </c:pt>
                <c:pt idx="235">
                  <c:v>53</c:v>
                </c:pt>
                <c:pt idx="236">
                  <c:v>52</c:v>
                </c:pt>
                <c:pt idx="237">
                  <c:v>51</c:v>
                </c:pt>
                <c:pt idx="238">
                  <c:v>50</c:v>
                </c:pt>
                <c:pt idx="239">
                  <c:v>53</c:v>
                </c:pt>
                <c:pt idx="240">
                  <c:v>50</c:v>
                </c:pt>
                <c:pt idx="241">
                  <c:v>51</c:v>
                </c:pt>
                <c:pt idx="242">
                  <c:v>50</c:v>
                </c:pt>
                <c:pt idx="243">
                  <c:v>50</c:v>
                </c:pt>
                <c:pt idx="244">
                  <c:v>47</c:v>
                </c:pt>
                <c:pt idx="245">
                  <c:v>48</c:v>
                </c:pt>
                <c:pt idx="246">
                  <c:v>49</c:v>
                </c:pt>
                <c:pt idx="247">
                  <c:v>50</c:v>
                </c:pt>
                <c:pt idx="248">
                  <c:v>44</c:v>
                </c:pt>
                <c:pt idx="249">
                  <c:v>34</c:v>
                </c:pt>
                <c:pt idx="250">
                  <c:v>33</c:v>
                </c:pt>
                <c:pt idx="251">
                  <c:v>33</c:v>
                </c:pt>
                <c:pt idx="252">
                  <c:v>49</c:v>
                </c:pt>
                <c:pt idx="253">
                  <c:v>56</c:v>
                </c:pt>
                <c:pt idx="254">
                  <c:v>50</c:v>
                </c:pt>
                <c:pt idx="255">
                  <c:v>52</c:v>
                </c:pt>
                <c:pt idx="256">
                  <c:v>51</c:v>
                </c:pt>
                <c:pt idx="257">
                  <c:v>64</c:v>
                </c:pt>
                <c:pt idx="258">
                  <c:v>63</c:v>
                </c:pt>
                <c:pt idx="259">
                  <c:v>66</c:v>
                </c:pt>
                <c:pt idx="260">
                  <c:v>68</c:v>
                </c:pt>
                <c:pt idx="261">
                  <c:v>62</c:v>
                </c:pt>
                <c:pt idx="262">
                  <c:v>57</c:v>
                </c:pt>
                <c:pt idx="263">
                  <c:v>61</c:v>
                </c:pt>
                <c:pt idx="264">
                  <c:v>64</c:v>
                </c:pt>
                <c:pt idx="265">
                  <c:v>64</c:v>
                </c:pt>
                <c:pt idx="266">
                  <c:v>64</c:v>
                </c:pt>
                <c:pt idx="267">
                  <c:v>59</c:v>
                </c:pt>
                <c:pt idx="268">
                  <c:v>57</c:v>
                </c:pt>
                <c:pt idx="269">
                  <c:v>60</c:v>
                </c:pt>
                <c:pt idx="270">
                  <c:v>63</c:v>
                </c:pt>
                <c:pt idx="271">
                  <c:v>61</c:v>
                </c:pt>
                <c:pt idx="272">
                  <c:v>63</c:v>
                </c:pt>
                <c:pt idx="273">
                  <c:v>63</c:v>
                </c:pt>
                <c:pt idx="274">
                  <c:v>62</c:v>
                </c:pt>
                <c:pt idx="275">
                  <c:v>62</c:v>
                </c:pt>
                <c:pt idx="276">
                  <c:v>63</c:v>
                </c:pt>
                <c:pt idx="277">
                  <c:v>64</c:v>
                </c:pt>
                <c:pt idx="278">
                  <c:v>61</c:v>
                </c:pt>
                <c:pt idx="279">
                  <c:v>61</c:v>
                </c:pt>
                <c:pt idx="280">
                  <c:v>62</c:v>
                </c:pt>
                <c:pt idx="281">
                  <c:v>68</c:v>
                </c:pt>
                <c:pt idx="282">
                  <c:v>65</c:v>
                </c:pt>
                <c:pt idx="283">
                  <c:v>61</c:v>
                </c:pt>
                <c:pt idx="284">
                  <c:v>68</c:v>
                </c:pt>
                <c:pt idx="285">
                  <c:v>68</c:v>
                </c:pt>
                <c:pt idx="286">
                  <c:v>68</c:v>
                </c:pt>
                <c:pt idx="287">
                  <c:v>69</c:v>
                </c:pt>
                <c:pt idx="288">
                  <c:v>58</c:v>
                </c:pt>
                <c:pt idx="289">
                  <c:v>63</c:v>
                </c:pt>
                <c:pt idx="290">
                  <c:v>52</c:v>
                </c:pt>
                <c:pt idx="291">
                  <c:v>50</c:v>
                </c:pt>
                <c:pt idx="292">
                  <c:v>53</c:v>
                </c:pt>
                <c:pt idx="293">
                  <c:v>56</c:v>
                </c:pt>
                <c:pt idx="294">
                  <c:v>53</c:v>
                </c:pt>
                <c:pt idx="295">
                  <c:v>53</c:v>
                </c:pt>
                <c:pt idx="296">
                  <c:v>56</c:v>
                </c:pt>
                <c:pt idx="297">
                  <c:v>59</c:v>
                </c:pt>
                <c:pt idx="298">
                  <c:v>64</c:v>
                </c:pt>
                <c:pt idx="299">
                  <c:v>64</c:v>
                </c:pt>
                <c:pt idx="300">
                  <c:v>60</c:v>
                </c:pt>
                <c:pt idx="301">
                  <c:v>63</c:v>
                </c:pt>
                <c:pt idx="302">
                  <c:v>55</c:v>
                </c:pt>
                <c:pt idx="303">
                  <c:v>64</c:v>
                </c:pt>
                <c:pt idx="304">
                  <c:v>64</c:v>
                </c:pt>
                <c:pt idx="305">
                  <c:v>61</c:v>
                </c:pt>
                <c:pt idx="306">
                  <c:v>60</c:v>
                </c:pt>
                <c:pt idx="307">
                  <c:v>64</c:v>
                </c:pt>
                <c:pt idx="308">
                  <c:v>60</c:v>
                </c:pt>
                <c:pt idx="309">
                  <c:v>51</c:v>
                </c:pt>
                <c:pt idx="310">
                  <c:v>52</c:v>
                </c:pt>
                <c:pt idx="311">
                  <c:v>52</c:v>
                </c:pt>
                <c:pt idx="312">
                  <c:v>49</c:v>
                </c:pt>
                <c:pt idx="313">
                  <c:v>48</c:v>
                </c:pt>
                <c:pt idx="314">
                  <c:v>48</c:v>
                </c:pt>
                <c:pt idx="315">
                  <c:v>50</c:v>
                </c:pt>
                <c:pt idx="316">
                  <c:v>54</c:v>
                </c:pt>
                <c:pt idx="317">
                  <c:v>50</c:v>
                </c:pt>
                <c:pt idx="318">
                  <c:v>51</c:v>
                </c:pt>
                <c:pt idx="319">
                  <c:v>48</c:v>
                </c:pt>
                <c:pt idx="320">
                  <c:v>48</c:v>
                </c:pt>
                <c:pt idx="321">
                  <c:v>52</c:v>
                </c:pt>
                <c:pt idx="322">
                  <c:v>49</c:v>
                </c:pt>
                <c:pt idx="323">
                  <c:v>50</c:v>
                </c:pt>
                <c:pt idx="324">
                  <c:v>50</c:v>
                </c:pt>
                <c:pt idx="325">
                  <c:v>51</c:v>
                </c:pt>
                <c:pt idx="326">
                  <c:v>49</c:v>
                </c:pt>
                <c:pt idx="327">
                  <c:v>48</c:v>
                </c:pt>
                <c:pt idx="328">
                  <c:v>50</c:v>
                </c:pt>
                <c:pt idx="329">
                  <c:v>52</c:v>
                </c:pt>
                <c:pt idx="330">
                  <c:v>51</c:v>
                </c:pt>
                <c:pt idx="331">
                  <c:v>51</c:v>
                </c:pt>
                <c:pt idx="332">
                  <c:v>52</c:v>
                </c:pt>
                <c:pt idx="333">
                  <c:v>50</c:v>
                </c:pt>
                <c:pt idx="334">
                  <c:v>53</c:v>
                </c:pt>
                <c:pt idx="335">
                  <c:v>52</c:v>
                </c:pt>
                <c:pt idx="336">
                  <c:v>53</c:v>
                </c:pt>
                <c:pt idx="337">
                  <c:v>44</c:v>
                </c:pt>
                <c:pt idx="338">
                  <c:v>53</c:v>
                </c:pt>
                <c:pt idx="339">
                  <c:v>50</c:v>
                </c:pt>
                <c:pt idx="340">
                  <c:v>50</c:v>
                </c:pt>
                <c:pt idx="341">
                  <c:v>49</c:v>
                </c:pt>
                <c:pt idx="342">
                  <c:v>47</c:v>
                </c:pt>
                <c:pt idx="343">
                  <c:v>47</c:v>
                </c:pt>
                <c:pt idx="344">
                  <c:v>45</c:v>
                </c:pt>
                <c:pt idx="345">
                  <c:v>46</c:v>
                </c:pt>
                <c:pt idx="346">
                  <c:v>41</c:v>
                </c:pt>
                <c:pt idx="347">
                  <c:v>47</c:v>
                </c:pt>
                <c:pt idx="348">
                  <c:v>47</c:v>
                </c:pt>
                <c:pt idx="349">
                  <c:v>49</c:v>
                </c:pt>
                <c:pt idx="350">
                  <c:v>47</c:v>
                </c:pt>
                <c:pt idx="351">
                  <c:v>49</c:v>
                </c:pt>
                <c:pt idx="352">
                  <c:v>59</c:v>
                </c:pt>
                <c:pt idx="353">
                  <c:v>65</c:v>
                </c:pt>
                <c:pt idx="354">
                  <c:v>65</c:v>
                </c:pt>
                <c:pt idx="355">
                  <c:v>62</c:v>
                </c:pt>
                <c:pt idx="356">
                  <c:v>64</c:v>
                </c:pt>
                <c:pt idx="357">
                  <c:v>55</c:v>
                </c:pt>
                <c:pt idx="358">
                  <c:v>59</c:v>
                </c:pt>
                <c:pt idx="359">
                  <c:v>62</c:v>
                </c:pt>
                <c:pt idx="360">
                  <c:v>54</c:v>
                </c:pt>
                <c:pt idx="361">
                  <c:v>56</c:v>
                </c:pt>
                <c:pt idx="362">
                  <c:v>59</c:v>
                </c:pt>
                <c:pt idx="363">
                  <c:v>63</c:v>
                </c:pt>
                <c:pt idx="364">
                  <c:v>62</c:v>
                </c:pt>
                <c:pt idx="365">
                  <c:v>64</c:v>
                </c:pt>
                <c:pt idx="366">
                  <c:v>61</c:v>
                </c:pt>
                <c:pt idx="367">
                  <c:v>56</c:v>
                </c:pt>
                <c:pt idx="368">
                  <c:v>55</c:v>
                </c:pt>
                <c:pt idx="369">
                  <c:v>58</c:v>
                </c:pt>
                <c:pt idx="370">
                  <c:v>55</c:v>
                </c:pt>
                <c:pt idx="371">
                  <c:v>56</c:v>
                </c:pt>
                <c:pt idx="372">
                  <c:v>57</c:v>
                </c:pt>
                <c:pt idx="373">
                  <c:v>64</c:v>
                </c:pt>
                <c:pt idx="374">
                  <c:v>57</c:v>
                </c:pt>
                <c:pt idx="375">
                  <c:v>60</c:v>
                </c:pt>
                <c:pt idx="376">
                  <c:v>56</c:v>
                </c:pt>
                <c:pt idx="377">
                  <c:v>57</c:v>
                </c:pt>
                <c:pt idx="378">
                  <c:v>54</c:v>
                </c:pt>
                <c:pt idx="379">
                  <c:v>56</c:v>
                </c:pt>
                <c:pt idx="380">
                  <c:v>50</c:v>
                </c:pt>
                <c:pt idx="381">
                  <c:v>56</c:v>
                </c:pt>
                <c:pt idx="382">
                  <c:v>50</c:v>
                </c:pt>
                <c:pt idx="383">
                  <c:v>52</c:v>
                </c:pt>
                <c:pt idx="384">
                  <c:v>54</c:v>
                </c:pt>
                <c:pt idx="385">
                  <c:v>55</c:v>
                </c:pt>
                <c:pt idx="386">
                  <c:v>50</c:v>
                </c:pt>
                <c:pt idx="387">
                  <c:v>51</c:v>
                </c:pt>
                <c:pt idx="388">
                  <c:v>51</c:v>
                </c:pt>
                <c:pt idx="389">
                  <c:v>52</c:v>
                </c:pt>
                <c:pt idx="390">
                  <c:v>52</c:v>
                </c:pt>
                <c:pt idx="391">
                  <c:v>52</c:v>
                </c:pt>
                <c:pt idx="392">
                  <c:v>50</c:v>
                </c:pt>
                <c:pt idx="393">
                  <c:v>53</c:v>
                </c:pt>
                <c:pt idx="394">
                  <c:v>53</c:v>
                </c:pt>
                <c:pt idx="395">
                  <c:v>52</c:v>
                </c:pt>
                <c:pt idx="396">
                  <c:v>54</c:v>
                </c:pt>
                <c:pt idx="397">
                  <c:v>50</c:v>
                </c:pt>
                <c:pt idx="398">
                  <c:v>49</c:v>
                </c:pt>
                <c:pt idx="399">
                  <c:v>49</c:v>
                </c:pt>
                <c:pt idx="400">
                  <c:v>54</c:v>
                </c:pt>
                <c:pt idx="401">
                  <c:v>50</c:v>
                </c:pt>
                <c:pt idx="402">
                  <c:v>53</c:v>
                </c:pt>
                <c:pt idx="403">
                  <c:v>51</c:v>
                </c:pt>
                <c:pt idx="404">
                  <c:v>54</c:v>
                </c:pt>
                <c:pt idx="405">
                  <c:v>54</c:v>
                </c:pt>
                <c:pt idx="406">
                  <c:v>50</c:v>
                </c:pt>
                <c:pt idx="407">
                  <c:v>53</c:v>
                </c:pt>
                <c:pt idx="408">
                  <c:v>52</c:v>
                </c:pt>
                <c:pt idx="409">
                  <c:v>50</c:v>
                </c:pt>
                <c:pt idx="410">
                  <c:v>37</c:v>
                </c:pt>
                <c:pt idx="411">
                  <c:v>39</c:v>
                </c:pt>
                <c:pt idx="412">
                  <c:v>37</c:v>
                </c:pt>
                <c:pt idx="413">
                  <c:v>38</c:v>
                </c:pt>
                <c:pt idx="414">
                  <c:v>37</c:v>
                </c:pt>
                <c:pt idx="415">
                  <c:v>37</c:v>
                </c:pt>
                <c:pt idx="416">
                  <c:v>41</c:v>
                </c:pt>
                <c:pt idx="417">
                  <c:v>39</c:v>
                </c:pt>
                <c:pt idx="418">
                  <c:v>38</c:v>
                </c:pt>
                <c:pt idx="419">
                  <c:v>38</c:v>
                </c:pt>
                <c:pt idx="420">
                  <c:v>39</c:v>
                </c:pt>
                <c:pt idx="421">
                  <c:v>39</c:v>
                </c:pt>
                <c:pt idx="422">
                  <c:v>49</c:v>
                </c:pt>
                <c:pt idx="423">
                  <c:v>52</c:v>
                </c:pt>
                <c:pt idx="424">
                  <c:v>40</c:v>
                </c:pt>
                <c:pt idx="425">
                  <c:v>39</c:v>
                </c:pt>
                <c:pt idx="426">
                  <c:v>40</c:v>
                </c:pt>
                <c:pt idx="427">
                  <c:v>40</c:v>
                </c:pt>
                <c:pt idx="428">
                  <c:v>40</c:v>
                </c:pt>
                <c:pt idx="429">
                  <c:v>42</c:v>
                </c:pt>
                <c:pt idx="430">
                  <c:v>41</c:v>
                </c:pt>
                <c:pt idx="431">
                  <c:v>46</c:v>
                </c:pt>
                <c:pt idx="432">
                  <c:v>41</c:v>
                </c:pt>
                <c:pt idx="433">
                  <c:v>40</c:v>
                </c:pt>
                <c:pt idx="434">
                  <c:v>40</c:v>
                </c:pt>
                <c:pt idx="435">
                  <c:v>30</c:v>
                </c:pt>
                <c:pt idx="436">
                  <c:v>41</c:v>
                </c:pt>
                <c:pt idx="437">
                  <c:v>45</c:v>
                </c:pt>
                <c:pt idx="438">
                  <c:v>45</c:v>
                </c:pt>
                <c:pt idx="439">
                  <c:v>43</c:v>
                </c:pt>
                <c:pt idx="440">
                  <c:v>46</c:v>
                </c:pt>
                <c:pt idx="441">
                  <c:v>46</c:v>
                </c:pt>
                <c:pt idx="442">
                  <c:v>46</c:v>
                </c:pt>
                <c:pt idx="443">
                  <c:v>47</c:v>
                </c:pt>
                <c:pt idx="444">
                  <c:v>47</c:v>
                </c:pt>
                <c:pt idx="445">
                  <c:v>43</c:v>
                </c:pt>
                <c:pt idx="446">
                  <c:v>47</c:v>
                </c:pt>
                <c:pt idx="447">
                  <c:v>44</c:v>
                </c:pt>
                <c:pt idx="448">
                  <c:v>47</c:v>
                </c:pt>
                <c:pt idx="449">
                  <c:v>46</c:v>
                </c:pt>
                <c:pt idx="450">
                  <c:v>44</c:v>
                </c:pt>
                <c:pt idx="451">
                  <c:v>46</c:v>
                </c:pt>
                <c:pt idx="452">
                  <c:v>48</c:v>
                </c:pt>
                <c:pt idx="453">
                  <c:v>47</c:v>
                </c:pt>
                <c:pt idx="454">
                  <c:v>48</c:v>
                </c:pt>
                <c:pt idx="455">
                  <c:v>50</c:v>
                </c:pt>
                <c:pt idx="456">
                  <c:v>50</c:v>
                </c:pt>
                <c:pt idx="457">
                  <c:v>49</c:v>
                </c:pt>
                <c:pt idx="458">
                  <c:v>48</c:v>
                </c:pt>
                <c:pt idx="459">
                  <c:v>50</c:v>
                </c:pt>
                <c:pt idx="460">
                  <c:v>49</c:v>
                </c:pt>
                <c:pt idx="461">
                  <c:v>50</c:v>
                </c:pt>
                <c:pt idx="462">
                  <c:v>50</c:v>
                </c:pt>
                <c:pt idx="463">
                  <c:v>50</c:v>
                </c:pt>
                <c:pt idx="464">
                  <c:v>47</c:v>
                </c:pt>
                <c:pt idx="465">
                  <c:v>45</c:v>
                </c:pt>
                <c:pt idx="466">
                  <c:v>44</c:v>
                </c:pt>
                <c:pt idx="467">
                  <c:v>47</c:v>
                </c:pt>
                <c:pt idx="468">
                  <c:v>45</c:v>
                </c:pt>
                <c:pt idx="469">
                  <c:v>47</c:v>
                </c:pt>
                <c:pt idx="470">
                  <c:v>52</c:v>
                </c:pt>
                <c:pt idx="471">
                  <c:v>50</c:v>
                </c:pt>
                <c:pt idx="472">
                  <c:v>52</c:v>
                </c:pt>
                <c:pt idx="473">
                  <c:v>53</c:v>
                </c:pt>
                <c:pt idx="474">
                  <c:v>63</c:v>
                </c:pt>
                <c:pt idx="475">
                  <c:v>53</c:v>
                </c:pt>
                <c:pt idx="476">
                  <c:v>53</c:v>
                </c:pt>
                <c:pt idx="477">
                  <c:v>66</c:v>
                </c:pt>
                <c:pt idx="478">
                  <c:v>72</c:v>
                </c:pt>
                <c:pt idx="479">
                  <c:v>71</c:v>
                </c:pt>
                <c:pt idx="480">
                  <c:v>70</c:v>
                </c:pt>
                <c:pt idx="481">
                  <c:v>65</c:v>
                </c:pt>
                <c:pt idx="482">
                  <c:v>72</c:v>
                </c:pt>
                <c:pt idx="483">
                  <c:v>68</c:v>
                </c:pt>
                <c:pt idx="484">
                  <c:v>66</c:v>
                </c:pt>
                <c:pt idx="485">
                  <c:v>66</c:v>
                </c:pt>
                <c:pt idx="486">
                  <c:v>72</c:v>
                </c:pt>
                <c:pt idx="487">
                  <c:v>65</c:v>
                </c:pt>
                <c:pt idx="488">
                  <c:v>68</c:v>
                </c:pt>
                <c:pt idx="489">
                  <c:v>70</c:v>
                </c:pt>
                <c:pt idx="490">
                  <c:v>74</c:v>
                </c:pt>
                <c:pt idx="491">
                  <c:v>68</c:v>
                </c:pt>
                <c:pt idx="492">
                  <c:v>66</c:v>
                </c:pt>
                <c:pt idx="493">
                  <c:v>69</c:v>
                </c:pt>
                <c:pt idx="494">
                  <c:v>70</c:v>
                </c:pt>
                <c:pt idx="495">
                  <c:v>70</c:v>
                </c:pt>
                <c:pt idx="496">
                  <c:v>73</c:v>
                </c:pt>
                <c:pt idx="497">
                  <c:v>72</c:v>
                </c:pt>
                <c:pt idx="498">
                  <c:v>69</c:v>
                </c:pt>
                <c:pt idx="499">
                  <c:v>60</c:v>
                </c:pt>
                <c:pt idx="500">
                  <c:v>70</c:v>
                </c:pt>
                <c:pt idx="501">
                  <c:v>63</c:v>
                </c:pt>
                <c:pt idx="502">
                  <c:v>69</c:v>
                </c:pt>
                <c:pt idx="503">
                  <c:v>66</c:v>
                </c:pt>
                <c:pt idx="504">
                  <c:v>69</c:v>
                </c:pt>
                <c:pt idx="505">
                  <c:v>71</c:v>
                </c:pt>
                <c:pt idx="506">
                  <c:v>62</c:v>
                </c:pt>
                <c:pt idx="507">
                  <c:v>66</c:v>
                </c:pt>
                <c:pt idx="508">
                  <c:v>66</c:v>
                </c:pt>
                <c:pt idx="509">
                  <c:v>73</c:v>
                </c:pt>
                <c:pt idx="510">
                  <c:v>73</c:v>
                </c:pt>
                <c:pt idx="511">
                  <c:v>66</c:v>
                </c:pt>
                <c:pt idx="512">
                  <c:v>68</c:v>
                </c:pt>
                <c:pt idx="513">
                  <c:v>72</c:v>
                </c:pt>
                <c:pt idx="514">
                  <c:v>74</c:v>
                </c:pt>
                <c:pt idx="515">
                  <c:v>71</c:v>
                </c:pt>
                <c:pt idx="516">
                  <c:v>74</c:v>
                </c:pt>
                <c:pt idx="517">
                  <c:v>73</c:v>
                </c:pt>
                <c:pt idx="518">
                  <c:v>74</c:v>
                </c:pt>
                <c:pt idx="519">
                  <c:v>75</c:v>
                </c:pt>
                <c:pt idx="520">
                  <c:v>72</c:v>
                </c:pt>
                <c:pt idx="521">
                  <c:v>72</c:v>
                </c:pt>
                <c:pt idx="522">
                  <c:v>72</c:v>
                </c:pt>
                <c:pt idx="523">
                  <c:v>73</c:v>
                </c:pt>
                <c:pt idx="524">
                  <c:v>74</c:v>
                </c:pt>
                <c:pt idx="525">
                  <c:v>74</c:v>
                </c:pt>
                <c:pt idx="526">
                  <c:v>67</c:v>
                </c:pt>
                <c:pt idx="527">
                  <c:v>65</c:v>
                </c:pt>
                <c:pt idx="528">
                  <c:v>72</c:v>
                </c:pt>
                <c:pt idx="529">
                  <c:v>70</c:v>
                </c:pt>
                <c:pt idx="530">
                  <c:v>67</c:v>
                </c:pt>
                <c:pt idx="531">
                  <c:v>73</c:v>
                </c:pt>
                <c:pt idx="532">
                  <c:v>65</c:v>
                </c:pt>
                <c:pt idx="533">
                  <c:v>73</c:v>
                </c:pt>
                <c:pt idx="534">
                  <c:v>74</c:v>
                </c:pt>
                <c:pt idx="535">
                  <c:v>70</c:v>
                </c:pt>
                <c:pt idx="536">
                  <c:v>74</c:v>
                </c:pt>
                <c:pt idx="537">
                  <c:v>70</c:v>
                </c:pt>
                <c:pt idx="538">
                  <c:v>71</c:v>
                </c:pt>
                <c:pt idx="539">
                  <c:v>73</c:v>
                </c:pt>
                <c:pt idx="540">
                  <c:v>71</c:v>
                </c:pt>
                <c:pt idx="541">
                  <c:v>73</c:v>
                </c:pt>
                <c:pt idx="542">
                  <c:v>73</c:v>
                </c:pt>
                <c:pt idx="543">
                  <c:v>65</c:v>
                </c:pt>
                <c:pt idx="544">
                  <c:v>68</c:v>
                </c:pt>
                <c:pt idx="545">
                  <c:v>67</c:v>
                </c:pt>
                <c:pt idx="546">
                  <c:v>65</c:v>
                </c:pt>
                <c:pt idx="547">
                  <c:v>71</c:v>
                </c:pt>
                <c:pt idx="548">
                  <c:v>70</c:v>
                </c:pt>
                <c:pt idx="549">
                  <c:v>68</c:v>
                </c:pt>
                <c:pt idx="550">
                  <c:v>72</c:v>
                </c:pt>
                <c:pt idx="551">
                  <c:v>70</c:v>
                </c:pt>
                <c:pt idx="552">
                  <c:v>71</c:v>
                </c:pt>
                <c:pt idx="553">
                  <c:v>71</c:v>
                </c:pt>
                <c:pt idx="554">
                  <c:v>76</c:v>
                </c:pt>
                <c:pt idx="555">
                  <c:v>73</c:v>
                </c:pt>
                <c:pt idx="556">
                  <c:v>76</c:v>
                </c:pt>
                <c:pt idx="557">
                  <c:v>71</c:v>
                </c:pt>
                <c:pt idx="558">
                  <c:v>64</c:v>
                </c:pt>
                <c:pt idx="559">
                  <c:v>60</c:v>
                </c:pt>
                <c:pt idx="560">
                  <c:v>52</c:v>
                </c:pt>
                <c:pt idx="561">
                  <c:v>64</c:v>
                </c:pt>
                <c:pt idx="562">
                  <c:v>60</c:v>
                </c:pt>
                <c:pt idx="563">
                  <c:v>63</c:v>
                </c:pt>
                <c:pt idx="564">
                  <c:v>51</c:v>
                </c:pt>
                <c:pt idx="565">
                  <c:v>52</c:v>
                </c:pt>
                <c:pt idx="566">
                  <c:v>56</c:v>
                </c:pt>
                <c:pt idx="567">
                  <c:v>55</c:v>
                </c:pt>
                <c:pt idx="568">
                  <c:v>50</c:v>
                </c:pt>
                <c:pt idx="569">
                  <c:v>48</c:v>
                </c:pt>
                <c:pt idx="570">
                  <c:v>52</c:v>
                </c:pt>
                <c:pt idx="571">
                  <c:v>49</c:v>
                </c:pt>
                <c:pt idx="572">
                  <c:v>55</c:v>
                </c:pt>
                <c:pt idx="573">
                  <c:v>54</c:v>
                </c:pt>
                <c:pt idx="574">
                  <c:v>55</c:v>
                </c:pt>
                <c:pt idx="575">
                  <c:v>61</c:v>
                </c:pt>
                <c:pt idx="576">
                  <c:v>60</c:v>
                </c:pt>
                <c:pt idx="577">
                  <c:v>63</c:v>
                </c:pt>
                <c:pt idx="578">
                  <c:v>63</c:v>
                </c:pt>
                <c:pt idx="579">
                  <c:v>60</c:v>
                </c:pt>
                <c:pt idx="580">
                  <c:v>60</c:v>
                </c:pt>
                <c:pt idx="581">
                  <c:v>60</c:v>
                </c:pt>
                <c:pt idx="582">
                  <c:v>64</c:v>
                </c:pt>
                <c:pt idx="583">
                  <c:v>62</c:v>
                </c:pt>
                <c:pt idx="584">
                  <c:v>66</c:v>
                </c:pt>
                <c:pt idx="585">
                  <c:v>72</c:v>
                </c:pt>
                <c:pt idx="586">
                  <c:v>74</c:v>
                </c:pt>
                <c:pt idx="587">
                  <c:v>71</c:v>
                </c:pt>
                <c:pt idx="588">
                  <c:v>70</c:v>
                </c:pt>
                <c:pt idx="589">
                  <c:v>79</c:v>
                </c:pt>
                <c:pt idx="590">
                  <c:v>74</c:v>
                </c:pt>
                <c:pt idx="591">
                  <c:v>72</c:v>
                </c:pt>
                <c:pt idx="592">
                  <c:v>72</c:v>
                </c:pt>
                <c:pt idx="593">
                  <c:v>76</c:v>
                </c:pt>
                <c:pt idx="594">
                  <c:v>72</c:v>
                </c:pt>
                <c:pt idx="595">
                  <c:v>75</c:v>
                </c:pt>
                <c:pt idx="596">
                  <c:v>72</c:v>
                </c:pt>
                <c:pt idx="597">
                  <c:v>78</c:v>
                </c:pt>
                <c:pt idx="598">
                  <c:v>74</c:v>
                </c:pt>
                <c:pt idx="599">
                  <c:v>76</c:v>
                </c:pt>
                <c:pt idx="600">
                  <c:v>72</c:v>
                </c:pt>
                <c:pt idx="601">
                  <c:v>74</c:v>
                </c:pt>
                <c:pt idx="602">
                  <c:v>72</c:v>
                </c:pt>
                <c:pt idx="603">
                  <c:v>79</c:v>
                </c:pt>
                <c:pt idx="604">
                  <c:v>82</c:v>
                </c:pt>
                <c:pt idx="605">
                  <c:v>80</c:v>
                </c:pt>
                <c:pt idx="606">
                  <c:v>80</c:v>
                </c:pt>
                <c:pt idx="607">
                  <c:v>80</c:v>
                </c:pt>
                <c:pt idx="608">
                  <c:v>83</c:v>
                </c:pt>
                <c:pt idx="609">
                  <c:v>82</c:v>
                </c:pt>
                <c:pt idx="610">
                  <c:v>90</c:v>
                </c:pt>
                <c:pt idx="611">
                  <c:v>75</c:v>
                </c:pt>
                <c:pt idx="612">
                  <c:v>82</c:v>
                </c:pt>
                <c:pt idx="613">
                  <c:v>81</c:v>
                </c:pt>
                <c:pt idx="614">
                  <c:v>84</c:v>
                </c:pt>
                <c:pt idx="615">
                  <c:v>79</c:v>
                </c:pt>
                <c:pt idx="616">
                  <c:v>82</c:v>
                </c:pt>
                <c:pt idx="617">
                  <c:v>81</c:v>
                </c:pt>
                <c:pt idx="618">
                  <c:v>81</c:v>
                </c:pt>
                <c:pt idx="619">
                  <c:v>88</c:v>
                </c:pt>
                <c:pt idx="620">
                  <c:v>83</c:v>
                </c:pt>
                <c:pt idx="621">
                  <c:v>81</c:v>
                </c:pt>
                <c:pt idx="622">
                  <c:v>79</c:v>
                </c:pt>
                <c:pt idx="623">
                  <c:v>77</c:v>
                </c:pt>
                <c:pt idx="624">
                  <c:v>79</c:v>
                </c:pt>
                <c:pt idx="625">
                  <c:v>74</c:v>
                </c:pt>
                <c:pt idx="626">
                  <c:v>78</c:v>
                </c:pt>
                <c:pt idx="627">
                  <c:v>75</c:v>
                </c:pt>
                <c:pt idx="628">
                  <c:v>73</c:v>
                </c:pt>
                <c:pt idx="629">
                  <c:v>74</c:v>
                </c:pt>
                <c:pt idx="630">
                  <c:v>75</c:v>
                </c:pt>
                <c:pt idx="631">
                  <c:v>81</c:v>
                </c:pt>
                <c:pt idx="632">
                  <c:v>83</c:v>
                </c:pt>
                <c:pt idx="633">
                  <c:v>80</c:v>
                </c:pt>
                <c:pt idx="634">
                  <c:v>79</c:v>
                </c:pt>
                <c:pt idx="635">
                  <c:v>75</c:v>
                </c:pt>
                <c:pt idx="636">
                  <c:v>75</c:v>
                </c:pt>
                <c:pt idx="637">
                  <c:v>79</c:v>
                </c:pt>
                <c:pt idx="638">
                  <c:v>79</c:v>
                </c:pt>
                <c:pt idx="639">
                  <c:v>71</c:v>
                </c:pt>
                <c:pt idx="640">
                  <c:v>70</c:v>
                </c:pt>
                <c:pt idx="641">
                  <c:v>79</c:v>
                </c:pt>
                <c:pt idx="642">
                  <c:v>75</c:v>
                </c:pt>
                <c:pt idx="643">
                  <c:v>78</c:v>
                </c:pt>
                <c:pt idx="644">
                  <c:v>76</c:v>
                </c:pt>
                <c:pt idx="645">
                  <c:v>80</c:v>
                </c:pt>
                <c:pt idx="646">
                  <c:v>78</c:v>
                </c:pt>
                <c:pt idx="647">
                  <c:v>76</c:v>
                </c:pt>
                <c:pt idx="648">
                  <c:v>79</c:v>
                </c:pt>
                <c:pt idx="649">
                  <c:v>72</c:v>
                </c:pt>
                <c:pt idx="650">
                  <c:v>72</c:v>
                </c:pt>
                <c:pt idx="651">
                  <c:v>74</c:v>
                </c:pt>
                <c:pt idx="652">
                  <c:v>65</c:v>
                </c:pt>
                <c:pt idx="653">
                  <c:v>67</c:v>
                </c:pt>
                <c:pt idx="654">
                  <c:v>57</c:v>
                </c:pt>
                <c:pt idx="655">
                  <c:v>66</c:v>
                </c:pt>
                <c:pt idx="656">
                  <c:v>66</c:v>
                </c:pt>
                <c:pt idx="657">
                  <c:v>72</c:v>
                </c:pt>
                <c:pt idx="658">
                  <c:v>73</c:v>
                </c:pt>
                <c:pt idx="659">
                  <c:v>71</c:v>
                </c:pt>
                <c:pt idx="660">
                  <c:v>72</c:v>
                </c:pt>
                <c:pt idx="661">
                  <c:v>72</c:v>
                </c:pt>
                <c:pt idx="662">
                  <c:v>70</c:v>
                </c:pt>
                <c:pt idx="663">
                  <c:v>67</c:v>
                </c:pt>
                <c:pt idx="664">
                  <c:v>65</c:v>
                </c:pt>
                <c:pt idx="665">
                  <c:v>67</c:v>
                </c:pt>
                <c:pt idx="666">
                  <c:v>67</c:v>
                </c:pt>
                <c:pt idx="667">
                  <c:v>54</c:v>
                </c:pt>
                <c:pt idx="668">
                  <c:v>43</c:v>
                </c:pt>
                <c:pt idx="669">
                  <c:v>48</c:v>
                </c:pt>
                <c:pt idx="670">
                  <c:v>67</c:v>
                </c:pt>
                <c:pt idx="671">
                  <c:v>69</c:v>
                </c:pt>
                <c:pt idx="672">
                  <c:v>71</c:v>
                </c:pt>
                <c:pt idx="673">
                  <c:v>68</c:v>
                </c:pt>
                <c:pt idx="674">
                  <c:v>64</c:v>
                </c:pt>
                <c:pt idx="675">
                  <c:v>55</c:v>
                </c:pt>
                <c:pt idx="676">
                  <c:v>66</c:v>
                </c:pt>
                <c:pt idx="677">
                  <c:v>53</c:v>
                </c:pt>
                <c:pt idx="678">
                  <c:v>56</c:v>
                </c:pt>
                <c:pt idx="679">
                  <c:v>57</c:v>
                </c:pt>
                <c:pt idx="680">
                  <c:v>66</c:v>
                </c:pt>
                <c:pt idx="681">
                  <c:v>64</c:v>
                </c:pt>
                <c:pt idx="682">
                  <c:v>70</c:v>
                </c:pt>
                <c:pt idx="683">
                  <c:v>74</c:v>
                </c:pt>
                <c:pt idx="684">
                  <c:v>73</c:v>
                </c:pt>
                <c:pt idx="685">
                  <c:v>72</c:v>
                </c:pt>
                <c:pt idx="686">
                  <c:v>70</c:v>
                </c:pt>
                <c:pt idx="687">
                  <c:v>76</c:v>
                </c:pt>
                <c:pt idx="688">
                  <c:v>76</c:v>
                </c:pt>
                <c:pt idx="689">
                  <c:v>76</c:v>
                </c:pt>
                <c:pt idx="690">
                  <c:v>74</c:v>
                </c:pt>
                <c:pt idx="691">
                  <c:v>76</c:v>
                </c:pt>
                <c:pt idx="692">
                  <c:v>75</c:v>
                </c:pt>
                <c:pt idx="693">
                  <c:v>74</c:v>
                </c:pt>
                <c:pt idx="694">
                  <c:v>72</c:v>
                </c:pt>
                <c:pt idx="695">
                  <c:v>72</c:v>
                </c:pt>
                <c:pt idx="696">
                  <c:v>73</c:v>
                </c:pt>
                <c:pt idx="697">
                  <c:v>73</c:v>
                </c:pt>
                <c:pt idx="698">
                  <c:v>72</c:v>
                </c:pt>
                <c:pt idx="699">
                  <c:v>73</c:v>
                </c:pt>
                <c:pt idx="700">
                  <c:v>73</c:v>
                </c:pt>
                <c:pt idx="701">
                  <c:v>73</c:v>
                </c:pt>
                <c:pt idx="702">
                  <c:v>75</c:v>
                </c:pt>
                <c:pt idx="703">
                  <c:v>78</c:v>
                </c:pt>
                <c:pt idx="704">
                  <c:v>77</c:v>
                </c:pt>
                <c:pt idx="705">
                  <c:v>72</c:v>
                </c:pt>
                <c:pt idx="706">
                  <c:v>75</c:v>
                </c:pt>
                <c:pt idx="707">
                  <c:v>72</c:v>
                </c:pt>
                <c:pt idx="708">
                  <c:v>74</c:v>
                </c:pt>
                <c:pt idx="709">
                  <c:v>72</c:v>
                </c:pt>
                <c:pt idx="710">
                  <c:v>70</c:v>
                </c:pt>
                <c:pt idx="711">
                  <c:v>74</c:v>
                </c:pt>
                <c:pt idx="712">
                  <c:v>74</c:v>
                </c:pt>
                <c:pt idx="713">
                  <c:v>71</c:v>
                </c:pt>
                <c:pt idx="714">
                  <c:v>71</c:v>
                </c:pt>
                <c:pt idx="715">
                  <c:v>74</c:v>
                </c:pt>
                <c:pt idx="716">
                  <c:v>64</c:v>
                </c:pt>
                <c:pt idx="717">
                  <c:v>60</c:v>
                </c:pt>
                <c:pt idx="718">
                  <c:v>63</c:v>
                </c:pt>
                <c:pt idx="719">
                  <c:v>53</c:v>
                </c:pt>
                <c:pt idx="720">
                  <c:v>55</c:v>
                </c:pt>
                <c:pt idx="721">
                  <c:v>51</c:v>
                </c:pt>
                <c:pt idx="722">
                  <c:v>30</c:v>
                </c:pt>
                <c:pt idx="723">
                  <c:v>46</c:v>
                </c:pt>
                <c:pt idx="724">
                  <c:v>40</c:v>
                </c:pt>
                <c:pt idx="725">
                  <c:v>47</c:v>
                </c:pt>
                <c:pt idx="726">
                  <c:v>30</c:v>
                </c:pt>
                <c:pt idx="727">
                  <c:v>47</c:v>
                </c:pt>
                <c:pt idx="728">
                  <c:v>53</c:v>
                </c:pt>
                <c:pt idx="729">
                  <c:v>51</c:v>
                </c:pt>
                <c:pt idx="730">
                  <c:v>50</c:v>
                </c:pt>
                <c:pt idx="731">
                  <c:v>44</c:v>
                </c:pt>
                <c:pt idx="732">
                  <c:v>29</c:v>
                </c:pt>
                <c:pt idx="733">
                  <c:v>26</c:v>
                </c:pt>
                <c:pt idx="734">
                  <c:v>29</c:v>
                </c:pt>
                <c:pt idx="735">
                  <c:v>28</c:v>
                </c:pt>
                <c:pt idx="736">
                  <c:v>27</c:v>
                </c:pt>
                <c:pt idx="737">
                  <c:v>28</c:v>
                </c:pt>
                <c:pt idx="738">
                  <c:v>29</c:v>
                </c:pt>
                <c:pt idx="739">
                  <c:v>25</c:v>
                </c:pt>
                <c:pt idx="740">
                  <c:v>25</c:v>
                </c:pt>
                <c:pt idx="741">
                  <c:v>33</c:v>
                </c:pt>
                <c:pt idx="742">
                  <c:v>52</c:v>
                </c:pt>
                <c:pt idx="743">
                  <c:v>65</c:v>
                </c:pt>
                <c:pt idx="744">
                  <c:v>69</c:v>
                </c:pt>
                <c:pt idx="745">
                  <c:v>61</c:v>
                </c:pt>
                <c:pt idx="746">
                  <c:v>60</c:v>
                </c:pt>
                <c:pt idx="747">
                  <c:v>74</c:v>
                </c:pt>
                <c:pt idx="748">
                  <c:v>74</c:v>
                </c:pt>
                <c:pt idx="749">
                  <c:v>70</c:v>
                </c:pt>
                <c:pt idx="750">
                  <c:v>71</c:v>
                </c:pt>
                <c:pt idx="751">
                  <c:v>69</c:v>
                </c:pt>
                <c:pt idx="752">
                  <c:v>68</c:v>
                </c:pt>
                <c:pt idx="753">
                  <c:v>68</c:v>
                </c:pt>
                <c:pt idx="754">
                  <c:v>72</c:v>
                </c:pt>
                <c:pt idx="755">
                  <c:v>71</c:v>
                </c:pt>
                <c:pt idx="756">
                  <c:v>74</c:v>
                </c:pt>
                <c:pt idx="757">
                  <c:v>67</c:v>
                </c:pt>
                <c:pt idx="758">
                  <c:v>61</c:v>
                </c:pt>
                <c:pt idx="759">
                  <c:v>52</c:v>
                </c:pt>
                <c:pt idx="760">
                  <c:v>57</c:v>
                </c:pt>
                <c:pt idx="761">
                  <c:v>37</c:v>
                </c:pt>
                <c:pt idx="762">
                  <c:v>34</c:v>
                </c:pt>
                <c:pt idx="763">
                  <c:v>26</c:v>
                </c:pt>
                <c:pt idx="764">
                  <c:v>17</c:v>
                </c:pt>
                <c:pt idx="765">
                  <c:v>29</c:v>
                </c:pt>
                <c:pt idx="766">
                  <c:v>20</c:v>
                </c:pt>
                <c:pt idx="767">
                  <c:v>48</c:v>
                </c:pt>
                <c:pt idx="768">
                  <c:v>40</c:v>
                </c:pt>
                <c:pt idx="769">
                  <c:v>39</c:v>
                </c:pt>
                <c:pt idx="770">
                  <c:v>25</c:v>
                </c:pt>
                <c:pt idx="771">
                  <c:v>31</c:v>
                </c:pt>
                <c:pt idx="772">
                  <c:v>30</c:v>
                </c:pt>
                <c:pt idx="773">
                  <c:v>29</c:v>
                </c:pt>
                <c:pt idx="774">
                  <c:v>27</c:v>
                </c:pt>
                <c:pt idx="775">
                  <c:v>25</c:v>
                </c:pt>
                <c:pt idx="776">
                  <c:v>31</c:v>
                </c:pt>
                <c:pt idx="777">
                  <c:v>28</c:v>
                </c:pt>
                <c:pt idx="778">
                  <c:v>30</c:v>
                </c:pt>
                <c:pt idx="779">
                  <c:v>26</c:v>
                </c:pt>
                <c:pt idx="780">
                  <c:v>39</c:v>
                </c:pt>
                <c:pt idx="781">
                  <c:v>34</c:v>
                </c:pt>
                <c:pt idx="782">
                  <c:v>56</c:v>
                </c:pt>
                <c:pt idx="783">
                  <c:v>54</c:v>
                </c:pt>
                <c:pt idx="784">
                  <c:v>55</c:v>
                </c:pt>
                <c:pt idx="785">
                  <c:v>48</c:v>
                </c:pt>
                <c:pt idx="786">
                  <c:v>30</c:v>
                </c:pt>
                <c:pt idx="787">
                  <c:v>29</c:v>
                </c:pt>
                <c:pt idx="788">
                  <c:v>34</c:v>
                </c:pt>
                <c:pt idx="789">
                  <c:v>29</c:v>
                </c:pt>
                <c:pt idx="790">
                  <c:v>26</c:v>
                </c:pt>
                <c:pt idx="791">
                  <c:v>26</c:v>
                </c:pt>
                <c:pt idx="792">
                  <c:v>26</c:v>
                </c:pt>
                <c:pt idx="793">
                  <c:v>27</c:v>
                </c:pt>
                <c:pt idx="794">
                  <c:v>29</c:v>
                </c:pt>
                <c:pt idx="795">
                  <c:v>22</c:v>
                </c:pt>
                <c:pt idx="796">
                  <c:v>23</c:v>
                </c:pt>
                <c:pt idx="797">
                  <c:v>29</c:v>
                </c:pt>
                <c:pt idx="798">
                  <c:v>26</c:v>
                </c:pt>
                <c:pt idx="799">
                  <c:v>33</c:v>
                </c:pt>
                <c:pt idx="800">
                  <c:v>37</c:v>
                </c:pt>
                <c:pt idx="801">
                  <c:v>31</c:v>
                </c:pt>
                <c:pt idx="802">
                  <c:v>32</c:v>
                </c:pt>
                <c:pt idx="803">
                  <c:v>50</c:v>
                </c:pt>
                <c:pt idx="804">
                  <c:v>51</c:v>
                </c:pt>
                <c:pt idx="805">
                  <c:v>39</c:v>
                </c:pt>
                <c:pt idx="806">
                  <c:v>33</c:v>
                </c:pt>
                <c:pt idx="807">
                  <c:v>45</c:v>
                </c:pt>
                <c:pt idx="808">
                  <c:v>49</c:v>
                </c:pt>
                <c:pt idx="809">
                  <c:v>54</c:v>
                </c:pt>
                <c:pt idx="810">
                  <c:v>54</c:v>
                </c:pt>
                <c:pt idx="811">
                  <c:v>52</c:v>
                </c:pt>
                <c:pt idx="812">
                  <c:v>50</c:v>
                </c:pt>
                <c:pt idx="813">
                  <c:v>54</c:v>
                </c:pt>
                <c:pt idx="814">
                  <c:v>59</c:v>
                </c:pt>
                <c:pt idx="815">
                  <c:v>50</c:v>
                </c:pt>
                <c:pt idx="816">
                  <c:v>61</c:v>
                </c:pt>
                <c:pt idx="817">
                  <c:v>64</c:v>
                </c:pt>
                <c:pt idx="818">
                  <c:v>63</c:v>
                </c:pt>
                <c:pt idx="819">
                  <c:v>61</c:v>
                </c:pt>
                <c:pt idx="820">
                  <c:v>50</c:v>
                </c:pt>
                <c:pt idx="821">
                  <c:v>42</c:v>
                </c:pt>
                <c:pt idx="822">
                  <c:v>37</c:v>
                </c:pt>
                <c:pt idx="823">
                  <c:v>41</c:v>
                </c:pt>
                <c:pt idx="824">
                  <c:v>49</c:v>
                </c:pt>
                <c:pt idx="825">
                  <c:v>50</c:v>
                </c:pt>
                <c:pt idx="826">
                  <c:v>50</c:v>
                </c:pt>
                <c:pt idx="827">
                  <c:v>49</c:v>
                </c:pt>
                <c:pt idx="828">
                  <c:v>49</c:v>
                </c:pt>
                <c:pt idx="829">
                  <c:v>39</c:v>
                </c:pt>
                <c:pt idx="830">
                  <c:v>32</c:v>
                </c:pt>
                <c:pt idx="831">
                  <c:v>49</c:v>
                </c:pt>
                <c:pt idx="832">
                  <c:v>50</c:v>
                </c:pt>
                <c:pt idx="833">
                  <c:v>48</c:v>
                </c:pt>
                <c:pt idx="834">
                  <c:v>65</c:v>
                </c:pt>
                <c:pt idx="835">
                  <c:v>73</c:v>
                </c:pt>
                <c:pt idx="836">
                  <c:v>71</c:v>
                </c:pt>
                <c:pt idx="837">
                  <c:v>73</c:v>
                </c:pt>
                <c:pt idx="838">
                  <c:v>72</c:v>
                </c:pt>
                <c:pt idx="839">
                  <c:v>73</c:v>
                </c:pt>
                <c:pt idx="840">
                  <c:v>72</c:v>
                </c:pt>
                <c:pt idx="841">
                  <c:v>70</c:v>
                </c:pt>
                <c:pt idx="842">
                  <c:v>71</c:v>
                </c:pt>
                <c:pt idx="843">
                  <c:v>69</c:v>
                </c:pt>
                <c:pt idx="844">
                  <c:v>72</c:v>
                </c:pt>
                <c:pt idx="845">
                  <c:v>73</c:v>
                </c:pt>
                <c:pt idx="846">
                  <c:v>74</c:v>
                </c:pt>
                <c:pt idx="847">
                  <c:v>72</c:v>
                </c:pt>
                <c:pt idx="848">
                  <c:v>72</c:v>
                </c:pt>
                <c:pt idx="849">
                  <c:v>77</c:v>
                </c:pt>
                <c:pt idx="850">
                  <c:v>77</c:v>
                </c:pt>
                <c:pt idx="851">
                  <c:v>75</c:v>
                </c:pt>
                <c:pt idx="852">
                  <c:v>72</c:v>
                </c:pt>
                <c:pt idx="853">
                  <c:v>74</c:v>
                </c:pt>
                <c:pt idx="854">
                  <c:v>70</c:v>
                </c:pt>
                <c:pt idx="855">
                  <c:v>70</c:v>
                </c:pt>
                <c:pt idx="856">
                  <c:v>70</c:v>
                </c:pt>
                <c:pt idx="857">
                  <c:v>77</c:v>
                </c:pt>
                <c:pt idx="858">
                  <c:v>75</c:v>
                </c:pt>
                <c:pt idx="859">
                  <c:v>75</c:v>
                </c:pt>
                <c:pt idx="860">
                  <c:v>78</c:v>
                </c:pt>
                <c:pt idx="861">
                  <c:v>76</c:v>
                </c:pt>
                <c:pt idx="862">
                  <c:v>80</c:v>
                </c:pt>
                <c:pt idx="863">
                  <c:v>84</c:v>
                </c:pt>
                <c:pt idx="864">
                  <c:v>88</c:v>
                </c:pt>
                <c:pt idx="865">
                  <c:v>80</c:v>
                </c:pt>
                <c:pt idx="866">
                  <c:v>86</c:v>
                </c:pt>
                <c:pt idx="867">
                  <c:v>90</c:v>
                </c:pt>
                <c:pt idx="868">
                  <c:v>83</c:v>
                </c:pt>
                <c:pt idx="869">
                  <c:v>90</c:v>
                </c:pt>
                <c:pt idx="870">
                  <c:v>83</c:v>
                </c:pt>
                <c:pt idx="871">
                  <c:v>82</c:v>
                </c:pt>
                <c:pt idx="872">
                  <c:v>94</c:v>
                </c:pt>
                <c:pt idx="873">
                  <c:v>93</c:v>
                </c:pt>
                <c:pt idx="874">
                  <c:v>80</c:v>
                </c:pt>
                <c:pt idx="875">
                  <c:v>82</c:v>
                </c:pt>
                <c:pt idx="876">
                  <c:v>79</c:v>
                </c:pt>
                <c:pt idx="877">
                  <c:v>75</c:v>
                </c:pt>
                <c:pt idx="878">
                  <c:v>77</c:v>
                </c:pt>
                <c:pt idx="879">
                  <c:v>78</c:v>
                </c:pt>
                <c:pt idx="880">
                  <c:v>84</c:v>
                </c:pt>
                <c:pt idx="881">
                  <c:v>81</c:v>
                </c:pt>
                <c:pt idx="882">
                  <c:v>80</c:v>
                </c:pt>
                <c:pt idx="883">
                  <c:v>76</c:v>
                </c:pt>
                <c:pt idx="884">
                  <c:v>78</c:v>
                </c:pt>
                <c:pt idx="885">
                  <c:v>84</c:v>
                </c:pt>
                <c:pt idx="886">
                  <c:v>72</c:v>
                </c:pt>
                <c:pt idx="887">
                  <c:v>75</c:v>
                </c:pt>
                <c:pt idx="888">
                  <c:v>79</c:v>
                </c:pt>
                <c:pt idx="889">
                  <c:v>78</c:v>
                </c:pt>
                <c:pt idx="890">
                  <c:v>78</c:v>
                </c:pt>
                <c:pt idx="891">
                  <c:v>74</c:v>
                </c:pt>
                <c:pt idx="892">
                  <c:v>83</c:v>
                </c:pt>
                <c:pt idx="893">
                  <c:v>76</c:v>
                </c:pt>
                <c:pt idx="894">
                  <c:v>83</c:v>
                </c:pt>
                <c:pt idx="895">
                  <c:v>80</c:v>
                </c:pt>
                <c:pt idx="896">
                  <c:v>83</c:v>
                </c:pt>
                <c:pt idx="897">
                  <c:v>87</c:v>
                </c:pt>
                <c:pt idx="898">
                  <c:v>81</c:v>
                </c:pt>
                <c:pt idx="899">
                  <c:v>75</c:v>
                </c:pt>
                <c:pt idx="900">
                  <c:v>74</c:v>
                </c:pt>
                <c:pt idx="901">
                  <c:v>73</c:v>
                </c:pt>
                <c:pt idx="902">
                  <c:v>73</c:v>
                </c:pt>
                <c:pt idx="903">
                  <c:v>70</c:v>
                </c:pt>
                <c:pt idx="904">
                  <c:v>73</c:v>
                </c:pt>
                <c:pt idx="905">
                  <c:v>73</c:v>
                </c:pt>
                <c:pt idx="906">
                  <c:v>79</c:v>
                </c:pt>
                <c:pt idx="907">
                  <c:v>74</c:v>
                </c:pt>
                <c:pt idx="908">
                  <c:v>72</c:v>
                </c:pt>
                <c:pt idx="909">
                  <c:v>73</c:v>
                </c:pt>
                <c:pt idx="910">
                  <c:v>65</c:v>
                </c:pt>
                <c:pt idx="911">
                  <c:v>64</c:v>
                </c:pt>
                <c:pt idx="912">
                  <c:v>66</c:v>
                </c:pt>
                <c:pt idx="913">
                  <c:v>70</c:v>
                </c:pt>
                <c:pt idx="914">
                  <c:v>74</c:v>
                </c:pt>
                <c:pt idx="915">
                  <c:v>73</c:v>
                </c:pt>
                <c:pt idx="916">
                  <c:v>72</c:v>
                </c:pt>
                <c:pt idx="917">
                  <c:v>76</c:v>
                </c:pt>
                <c:pt idx="918">
                  <c:v>78</c:v>
                </c:pt>
                <c:pt idx="919">
                  <c:v>70</c:v>
                </c:pt>
                <c:pt idx="920">
                  <c:v>69</c:v>
                </c:pt>
                <c:pt idx="921">
                  <c:v>50</c:v>
                </c:pt>
                <c:pt idx="922">
                  <c:v>69</c:v>
                </c:pt>
                <c:pt idx="923">
                  <c:v>62</c:v>
                </c:pt>
                <c:pt idx="924">
                  <c:v>61</c:v>
                </c:pt>
                <c:pt idx="925">
                  <c:v>63</c:v>
                </c:pt>
                <c:pt idx="926">
                  <c:v>70</c:v>
                </c:pt>
                <c:pt idx="927">
                  <c:v>75</c:v>
                </c:pt>
                <c:pt idx="928">
                  <c:v>75</c:v>
                </c:pt>
                <c:pt idx="929">
                  <c:v>77</c:v>
                </c:pt>
                <c:pt idx="930">
                  <c:v>77</c:v>
                </c:pt>
                <c:pt idx="931">
                  <c:v>76</c:v>
                </c:pt>
                <c:pt idx="932">
                  <c:v>76</c:v>
                </c:pt>
                <c:pt idx="933">
                  <c:v>84</c:v>
                </c:pt>
                <c:pt idx="934">
                  <c:v>75</c:v>
                </c:pt>
                <c:pt idx="935">
                  <c:v>75</c:v>
                </c:pt>
                <c:pt idx="936">
                  <c:v>75</c:v>
                </c:pt>
                <c:pt idx="937">
                  <c:v>73</c:v>
                </c:pt>
                <c:pt idx="938">
                  <c:v>71</c:v>
                </c:pt>
                <c:pt idx="939">
                  <c:v>72</c:v>
                </c:pt>
                <c:pt idx="940">
                  <c:v>72</c:v>
                </c:pt>
                <c:pt idx="941">
                  <c:v>70</c:v>
                </c:pt>
                <c:pt idx="942">
                  <c:v>76</c:v>
                </c:pt>
                <c:pt idx="943">
                  <c:v>68</c:v>
                </c:pt>
                <c:pt idx="944">
                  <c:v>60</c:v>
                </c:pt>
                <c:pt idx="945">
                  <c:v>44</c:v>
                </c:pt>
                <c:pt idx="946">
                  <c:v>72</c:v>
                </c:pt>
                <c:pt idx="947">
                  <c:v>54</c:v>
                </c:pt>
                <c:pt idx="948">
                  <c:v>49</c:v>
                </c:pt>
                <c:pt idx="949">
                  <c:v>44</c:v>
                </c:pt>
                <c:pt idx="950">
                  <c:v>44</c:v>
                </c:pt>
                <c:pt idx="951">
                  <c:v>46</c:v>
                </c:pt>
                <c:pt idx="952">
                  <c:v>43</c:v>
                </c:pt>
                <c:pt idx="953">
                  <c:v>47</c:v>
                </c:pt>
                <c:pt idx="954">
                  <c:v>46</c:v>
                </c:pt>
                <c:pt idx="955">
                  <c:v>50</c:v>
                </c:pt>
                <c:pt idx="956">
                  <c:v>48</c:v>
                </c:pt>
                <c:pt idx="957">
                  <c:v>50</c:v>
                </c:pt>
                <c:pt idx="958">
                  <c:v>54</c:v>
                </c:pt>
                <c:pt idx="959">
                  <c:v>51</c:v>
                </c:pt>
                <c:pt idx="960">
                  <c:v>47</c:v>
                </c:pt>
                <c:pt idx="961">
                  <c:v>44</c:v>
                </c:pt>
                <c:pt idx="962">
                  <c:v>49</c:v>
                </c:pt>
                <c:pt idx="963">
                  <c:v>55</c:v>
                </c:pt>
                <c:pt idx="964">
                  <c:v>49</c:v>
                </c:pt>
                <c:pt idx="965">
                  <c:v>50</c:v>
                </c:pt>
                <c:pt idx="966">
                  <c:v>49</c:v>
                </c:pt>
                <c:pt idx="967">
                  <c:v>25</c:v>
                </c:pt>
                <c:pt idx="968">
                  <c:v>21</c:v>
                </c:pt>
                <c:pt idx="969">
                  <c:v>10</c:v>
                </c:pt>
                <c:pt idx="970">
                  <c:v>16</c:v>
                </c:pt>
                <c:pt idx="971">
                  <c:v>20</c:v>
                </c:pt>
                <c:pt idx="972">
                  <c:v>26</c:v>
                </c:pt>
                <c:pt idx="973">
                  <c:v>33</c:v>
                </c:pt>
                <c:pt idx="974">
                  <c:v>15</c:v>
                </c:pt>
                <c:pt idx="975">
                  <c:v>20</c:v>
                </c:pt>
                <c:pt idx="976">
                  <c:v>25</c:v>
                </c:pt>
                <c:pt idx="977">
                  <c:v>34</c:v>
                </c:pt>
                <c:pt idx="978">
                  <c:v>28</c:v>
                </c:pt>
                <c:pt idx="979">
                  <c:v>27</c:v>
                </c:pt>
                <c:pt idx="980">
                  <c:v>20</c:v>
                </c:pt>
                <c:pt idx="981">
                  <c:v>24</c:v>
                </c:pt>
                <c:pt idx="982">
                  <c:v>34</c:v>
                </c:pt>
                <c:pt idx="983">
                  <c:v>45</c:v>
                </c:pt>
                <c:pt idx="984">
                  <c:v>27</c:v>
                </c:pt>
                <c:pt idx="985">
                  <c:v>46</c:v>
                </c:pt>
                <c:pt idx="986">
                  <c:v>30</c:v>
                </c:pt>
                <c:pt idx="987">
                  <c:v>32</c:v>
                </c:pt>
                <c:pt idx="988">
                  <c:v>34</c:v>
                </c:pt>
                <c:pt idx="989">
                  <c:v>32</c:v>
                </c:pt>
                <c:pt idx="990">
                  <c:v>49</c:v>
                </c:pt>
                <c:pt idx="991">
                  <c:v>31</c:v>
                </c:pt>
                <c:pt idx="992">
                  <c:v>32</c:v>
                </c:pt>
                <c:pt idx="993">
                  <c:v>30</c:v>
                </c:pt>
                <c:pt idx="994">
                  <c:v>45</c:v>
                </c:pt>
                <c:pt idx="995">
                  <c:v>46</c:v>
                </c:pt>
                <c:pt idx="996">
                  <c:v>47</c:v>
                </c:pt>
                <c:pt idx="997">
                  <c:v>40</c:v>
                </c:pt>
                <c:pt idx="998">
                  <c:v>44</c:v>
                </c:pt>
                <c:pt idx="999">
                  <c:v>26</c:v>
                </c:pt>
                <c:pt idx="1000">
                  <c:v>32</c:v>
                </c:pt>
              </c:numCache>
            </c:numRef>
          </c:val>
          <c:smooth val="0"/>
          <c:extLst>
            <c:ext xmlns:c16="http://schemas.microsoft.com/office/drawing/2014/chart" uri="{C3380CC4-5D6E-409C-BE32-E72D297353CC}">
              <c16:uniqueId val="{00000000-EF84-4D50-83FC-094FBAED4E53}"/>
            </c:ext>
          </c:extLst>
        </c:ser>
        <c:dLbls>
          <c:showLegendKey val="0"/>
          <c:showVal val="0"/>
          <c:showCatName val="0"/>
          <c:showSerName val="0"/>
          <c:showPercent val="0"/>
          <c:showBubbleSize val="0"/>
        </c:dLbls>
        <c:marker val="1"/>
        <c:smooth val="0"/>
        <c:axId val="409343776"/>
        <c:axId val="409342336"/>
      </c:lineChart>
      <c:lineChart>
        <c:grouping val="standard"/>
        <c:varyColors val="0"/>
        <c:ser>
          <c:idx val="1"/>
          <c:order val="1"/>
          <c:tx>
            <c:strRef>
              <c:f>'IRX-index'!$D$3</c:f>
              <c:strCache>
                <c:ptCount val="1"/>
                <c:pt idx="0">
                  <c:v>Promedio de cierre IRX</c:v>
                </c:pt>
              </c:strCache>
            </c:strRef>
          </c:tx>
          <c:spPr>
            <a:ln w="28575" cap="rnd">
              <a:solidFill>
                <a:schemeClr val="accent2"/>
              </a:solidFill>
              <a:round/>
            </a:ln>
            <a:effectLst/>
          </c:spPr>
          <c:marker>
            <c:symbol val="none"/>
          </c:marker>
          <c:cat>
            <c:strRef>
              <c:f>'IRX-index'!$B$4:$B$1005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'IRX-index'!$D$4:$D$1005</c:f>
              <c:numCache>
                <c:formatCode>0.00</c:formatCode>
                <c:ptCount val="1001"/>
                <c:pt idx="0">
                  <c:v>1.62999999523162</c:v>
                </c:pt>
                <c:pt idx="1">
                  <c:v>1.62999999523162</c:v>
                </c:pt>
                <c:pt idx="2">
                  <c:v>1.8400000333786</c:v>
                </c:pt>
                <c:pt idx="3">
                  <c:v>1.85300004482269</c:v>
                </c:pt>
                <c:pt idx="4">
                  <c:v>1.84300005435943</c:v>
                </c:pt>
                <c:pt idx="5">
                  <c:v>1.84300005435943</c:v>
                </c:pt>
                <c:pt idx="6">
                  <c:v>1.84300005435943</c:v>
                </c:pt>
                <c:pt idx="7">
                  <c:v>1.9529999494552599</c:v>
                </c:pt>
                <c:pt idx="8">
                  <c:v>2.1129999160766602</c:v>
                </c:pt>
                <c:pt idx="9">
                  <c:v>2.3229999542236301</c:v>
                </c:pt>
                <c:pt idx="10">
                  <c:v>2.2730000019073402</c:v>
                </c:pt>
                <c:pt idx="11">
                  <c:v>2.2400000095367401</c:v>
                </c:pt>
                <c:pt idx="12">
                  <c:v>2.2400000095367401</c:v>
                </c:pt>
                <c:pt idx="13">
                  <c:v>2.2400000095367401</c:v>
                </c:pt>
                <c:pt idx="14">
                  <c:v>2.2599999904632502</c:v>
                </c:pt>
                <c:pt idx="15">
                  <c:v>2.45000004768371</c:v>
                </c:pt>
                <c:pt idx="16">
                  <c:v>2.3780000209808301</c:v>
                </c:pt>
                <c:pt idx="17">
                  <c:v>2.3599998950958199</c:v>
                </c:pt>
                <c:pt idx="18">
                  <c:v>2.3550000190734801</c:v>
                </c:pt>
                <c:pt idx="19">
                  <c:v>2.3550000190734801</c:v>
                </c:pt>
                <c:pt idx="20">
                  <c:v>2.3550000190734801</c:v>
                </c:pt>
                <c:pt idx="21">
                  <c:v>2.3929998874664302</c:v>
                </c:pt>
                <c:pt idx="22">
                  <c:v>2.4749999046325599</c:v>
                </c:pt>
                <c:pt idx="23">
                  <c:v>2.3829998970031698</c:v>
                </c:pt>
                <c:pt idx="24">
                  <c:v>2.30800008773803</c:v>
                </c:pt>
                <c:pt idx="25">
                  <c:v>2.2980000972747798</c:v>
                </c:pt>
                <c:pt idx="26">
                  <c:v>2.2980000972747798</c:v>
                </c:pt>
                <c:pt idx="27">
                  <c:v>2.2980000972747798</c:v>
                </c:pt>
                <c:pt idx="28">
                  <c:v>2.2650001049041699</c:v>
                </c:pt>
                <c:pt idx="29">
                  <c:v>2.4630000591278001</c:v>
                </c:pt>
                <c:pt idx="30">
                  <c:v>2.4279999732971098</c:v>
                </c:pt>
                <c:pt idx="31">
                  <c:v>2.3780000209808301</c:v>
                </c:pt>
                <c:pt idx="32">
                  <c:v>2.41000008583068</c:v>
                </c:pt>
                <c:pt idx="33">
                  <c:v>2.41000008583068</c:v>
                </c:pt>
                <c:pt idx="34">
                  <c:v>2.41000008583068</c:v>
                </c:pt>
                <c:pt idx="35">
                  <c:v>2.46000003814697</c:v>
                </c:pt>
                <c:pt idx="36">
                  <c:v>2.5699999332427899</c:v>
                </c:pt>
                <c:pt idx="37">
                  <c:v>2.53500008583068</c:v>
                </c:pt>
                <c:pt idx="38">
                  <c:v>2.4900000095367401</c:v>
                </c:pt>
                <c:pt idx="39">
                  <c:v>2.5</c:v>
                </c:pt>
                <c:pt idx="40">
                  <c:v>2.5</c:v>
                </c:pt>
                <c:pt idx="41">
                  <c:v>2.5</c:v>
                </c:pt>
                <c:pt idx="42">
                  <c:v>2.51300001144409</c:v>
                </c:pt>
                <c:pt idx="43">
                  <c:v>2.59800004959106</c:v>
                </c:pt>
                <c:pt idx="44">
                  <c:v>2.5680000782012899</c:v>
                </c:pt>
                <c:pt idx="45">
                  <c:v>2.5650000572204501</c:v>
                </c:pt>
                <c:pt idx="46">
                  <c:v>2.5799999237060498</c:v>
                </c:pt>
                <c:pt idx="47">
                  <c:v>2.5799999237060498</c:v>
                </c:pt>
                <c:pt idx="48">
                  <c:v>2.5799999237060498</c:v>
                </c:pt>
                <c:pt idx="49">
                  <c:v>2.6480000019073402</c:v>
                </c:pt>
                <c:pt idx="50">
                  <c:v>2.7030000686645499</c:v>
                </c:pt>
                <c:pt idx="51">
                  <c:v>2.7130000591278001</c:v>
                </c:pt>
                <c:pt idx="52">
                  <c:v>2.7300000190734801</c:v>
                </c:pt>
                <c:pt idx="53">
                  <c:v>2.75500011444091</c:v>
                </c:pt>
                <c:pt idx="54">
                  <c:v>2.75500011444091</c:v>
                </c:pt>
                <c:pt idx="55">
                  <c:v>2.75500011444091</c:v>
                </c:pt>
                <c:pt idx="56">
                  <c:v>2.7980000972747798</c:v>
                </c:pt>
                <c:pt idx="57">
                  <c:v>2.8729999065399099</c:v>
                </c:pt>
                <c:pt idx="58">
                  <c:v>2.8599998950958199</c:v>
                </c:pt>
                <c:pt idx="59">
                  <c:v>2.8629999160766602</c:v>
                </c:pt>
                <c:pt idx="60">
                  <c:v>2.8199999332427899</c:v>
                </c:pt>
                <c:pt idx="61">
                  <c:v>2.8199999332427899</c:v>
                </c:pt>
                <c:pt idx="62">
                  <c:v>2.8199999332427899</c:v>
                </c:pt>
                <c:pt idx="63">
                  <c:v>2.8199999332427899</c:v>
                </c:pt>
                <c:pt idx="64">
                  <c:v>2.8450000286102202</c:v>
                </c:pt>
                <c:pt idx="65">
                  <c:v>2.93300008773803</c:v>
                </c:pt>
                <c:pt idx="66">
                  <c:v>2.95000004768371</c:v>
                </c:pt>
                <c:pt idx="67">
                  <c:v>2.9679999351501398</c:v>
                </c:pt>
                <c:pt idx="68">
                  <c:v>2.9679999351501398</c:v>
                </c:pt>
                <c:pt idx="69">
                  <c:v>2.9679999351501398</c:v>
                </c:pt>
                <c:pt idx="70">
                  <c:v>2.9949998855590798</c:v>
                </c:pt>
                <c:pt idx="71">
                  <c:v>3.1530001163482599</c:v>
                </c:pt>
                <c:pt idx="72">
                  <c:v>3.1280000209808301</c:v>
                </c:pt>
                <c:pt idx="73">
                  <c:v>3.0950000286102202</c:v>
                </c:pt>
                <c:pt idx="74">
                  <c:v>3.0699999332427899</c:v>
                </c:pt>
                <c:pt idx="75">
                  <c:v>3.0699999332427899</c:v>
                </c:pt>
                <c:pt idx="76">
                  <c:v>3.0699999332427899</c:v>
                </c:pt>
                <c:pt idx="77">
                  <c:v>3.03500008583068</c:v>
                </c:pt>
                <c:pt idx="78">
                  <c:v>3.2430000305175701</c:v>
                </c:pt>
                <c:pt idx="79">
                  <c:v>3.1900000572204501</c:v>
                </c:pt>
                <c:pt idx="80">
                  <c:v>3.13000011444091</c:v>
                </c:pt>
                <c:pt idx="81">
                  <c:v>3.10800004005432</c:v>
                </c:pt>
                <c:pt idx="82">
                  <c:v>3.10800004005432</c:v>
                </c:pt>
                <c:pt idx="83">
                  <c:v>3.10800004005432</c:v>
                </c:pt>
                <c:pt idx="84">
                  <c:v>3.1649999618530198</c:v>
                </c:pt>
                <c:pt idx="85">
                  <c:v>3.25</c:v>
                </c:pt>
                <c:pt idx="86">
                  <c:v>3.2300000190734801</c:v>
                </c:pt>
                <c:pt idx="87">
                  <c:v>3.2179999351501398</c:v>
                </c:pt>
                <c:pt idx="88">
                  <c:v>3.1800000667571999</c:v>
                </c:pt>
                <c:pt idx="89">
                  <c:v>3.1800000667571999</c:v>
                </c:pt>
                <c:pt idx="90">
                  <c:v>3.1800000667571999</c:v>
                </c:pt>
                <c:pt idx="91">
                  <c:v>3.1500000953674299</c:v>
                </c:pt>
                <c:pt idx="92">
                  <c:v>3.3150000572204501</c:v>
                </c:pt>
                <c:pt idx="93">
                  <c:v>3.2929999828338601</c:v>
                </c:pt>
                <c:pt idx="94">
                  <c:v>3.2880001068115199</c:v>
                </c:pt>
                <c:pt idx="95">
                  <c:v>3.2929999828338601</c:v>
                </c:pt>
                <c:pt idx="96">
                  <c:v>3.2929999828338601</c:v>
                </c:pt>
                <c:pt idx="97">
                  <c:v>3.2929999828338601</c:v>
                </c:pt>
                <c:pt idx="98">
                  <c:v>3.28500008583068</c:v>
                </c:pt>
                <c:pt idx="99">
                  <c:v>3.3399999141693102</c:v>
                </c:pt>
                <c:pt idx="100">
                  <c:v>3.5329999923706001</c:v>
                </c:pt>
                <c:pt idx="101">
                  <c:v>3.5829999446868799</c:v>
                </c:pt>
                <c:pt idx="102">
                  <c:v>3.6280000209808301</c:v>
                </c:pt>
                <c:pt idx="103">
                  <c:v>3.6280000209808301</c:v>
                </c:pt>
                <c:pt idx="104">
                  <c:v>3.6280000209808301</c:v>
                </c:pt>
                <c:pt idx="105">
                  <c:v>3.6879999637603702</c:v>
                </c:pt>
                <c:pt idx="106">
                  <c:v>3.8329999446868799</c:v>
                </c:pt>
                <c:pt idx="107">
                  <c:v>3.8929998874664302</c:v>
                </c:pt>
                <c:pt idx="108">
                  <c:v>3.8900001049041699</c:v>
                </c:pt>
                <c:pt idx="109">
                  <c:v>3.8849999904632502</c:v>
                </c:pt>
                <c:pt idx="110">
                  <c:v>3.8849999904632502</c:v>
                </c:pt>
                <c:pt idx="111">
                  <c:v>3.8849999904632502</c:v>
                </c:pt>
                <c:pt idx="112">
                  <c:v>3.9130001068115199</c:v>
                </c:pt>
                <c:pt idx="113">
                  <c:v>3.9649999141693102</c:v>
                </c:pt>
                <c:pt idx="114">
                  <c:v>3.9300000667571999</c:v>
                </c:pt>
                <c:pt idx="115">
                  <c:v>3.9300000667571999</c:v>
                </c:pt>
                <c:pt idx="116">
                  <c:v>3.9700000286102202</c:v>
                </c:pt>
                <c:pt idx="117">
                  <c:v>3.9700000286102202</c:v>
                </c:pt>
                <c:pt idx="118">
                  <c:v>3.9700000286102202</c:v>
                </c:pt>
                <c:pt idx="119">
                  <c:v>3.9749999046325599</c:v>
                </c:pt>
                <c:pt idx="120">
                  <c:v>4.0500001907348597</c:v>
                </c:pt>
                <c:pt idx="121">
                  <c:v>4.0250000953674299</c:v>
                </c:pt>
                <c:pt idx="122">
                  <c:v>4.0250000953674299</c:v>
                </c:pt>
                <c:pt idx="123">
                  <c:v>4.01300001144409</c:v>
                </c:pt>
                <c:pt idx="124">
                  <c:v>4.01300001144409</c:v>
                </c:pt>
                <c:pt idx="125">
                  <c:v>4.01300001144409</c:v>
                </c:pt>
                <c:pt idx="126">
                  <c:v>3.98300004005432</c:v>
                </c:pt>
                <c:pt idx="127">
                  <c:v>4.0900001525878897</c:v>
                </c:pt>
                <c:pt idx="128">
                  <c:v>4.0929999351501403</c:v>
                </c:pt>
                <c:pt idx="129">
                  <c:v>4.0549998283386204</c:v>
                </c:pt>
                <c:pt idx="130">
                  <c:v>4.0630002021789497</c:v>
                </c:pt>
                <c:pt idx="131">
                  <c:v>4.0630002021789497</c:v>
                </c:pt>
                <c:pt idx="132">
                  <c:v>4.0630002021789497</c:v>
                </c:pt>
                <c:pt idx="133">
                  <c:v>4.0679998397827104</c:v>
                </c:pt>
                <c:pt idx="134">
                  <c:v>4.13000011444091</c:v>
                </c:pt>
                <c:pt idx="135">
                  <c:v>4.125</c:v>
                </c:pt>
                <c:pt idx="136">
                  <c:v>4.1129999160766602</c:v>
                </c:pt>
                <c:pt idx="137">
                  <c:v>4.1350002288818297</c:v>
                </c:pt>
                <c:pt idx="138">
                  <c:v>4.1350002288818297</c:v>
                </c:pt>
                <c:pt idx="139">
                  <c:v>4.1350002288818297</c:v>
                </c:pt>
                <c:pt idx="140">
                  <c:v>4.09800004959106</c:v>
                </c:pt>
                <c:pt idx="141">
                  <c:v>4.1979999542236301</c:v>
                </c:pt>
                <c:pt idx="142">
                  <c:v>4.1999998092651296</c:v>
                </c:pt>
                <c:pt idx="143">
                  <c:v>4.1999998092651296</c:v>
                </c:pt>
                <c:pt idx="144">
                  <c:v>4.1750001907348597</c:v>
                </c:pt>
                <c:pt idx="145">
                  <c:v>4.1750001907348597</c:v>
                </c:pt>
                <c:pt idx="146">
                  <c:v>4.1750001907348597</c:v>
                </c:pt>
                <c:pt idx="147">
                  <c:v>4.18300008773803</c:v>
                </c:pt>
                <c:pt idx="148">
                  <c:v>4.2529997825622496</c:v>
                </c:pt>
                <c:pt idx="149">
                  <c:v>4.2529997825622496</c:v>
                </c:pt>
                <c:pt idx="150">
                  <c:v>4.1929998397827104</c:v>
                </c:pt>
                <c:pt idx="151">
                  <c:v>4.2080001831054599</c:v>
                </c:pt>
                <c:pt idx="152">
                  <c:v>4.2080001831054599</c:v>
                </c:pt>
                <c:pt idx="153">
                  <c:v>4.2080001831054599</c:v>
                </c:pt>
                <c:pt idx="154">
                  <c:v>4.1579999923706001</c:v>
                </c:pt>
                <c:pt idx="155">
                  <c:v>4.2199997901916504</c:v>
                </c:pt>
                <c:pt idx="156">
                  <c:v>4.18300008773803</c:v>
                </c:pt>
                <c:pt idx="157">
                  <c:v>4.1500000953674299</c:v>
                </c:pt>
                <c:pt idx="158">
                  <c:v>4.1729998588562003</c:v>
                </c:pt>
                <c:pt idx="159">
                  <c:v>4.1729998588562003</c:v>
                </c:pt>
                <c:pt idx="160">
                  <c:v>4.1729998588562003</c:v>
                </c:pt>
                <c:pt idx="161">
                  <c:v>4.1680002212524396</c:v>
                </c:pt>
                <c:pt idx="162">
                  <c:v>4.2480001449584899</c:v>
                </c:pt>
                <c:pt idx="163">
                  <c:v>4.2199997901916504</c:v>
                </c:pt>
                <c:pt idx="164">
                  <c:v>4.2129998207092196</c:v>
                </c:pt>
                <c:pt idx="165">
                  <c:v>4.1630001068115199</c:v>
                </c:pt>
                <c:pt idx="166">
                  <c:v>4.1630001068115199</c:v>
                </c:pt>
                <c:pt idx="167">
                  <c:v>4.1630001068115199</c:v>
                </c:pt>
                <c:pt idx="168">
                  <c:v>4.1630001068115199</c:v>
                </c:pt>
                <c:pt idx="169">
                  <c:v>4.2300000190734801</c:v>
                </c:pt>
                <c:pt idx="170">
                  <c:v>4.2049999237060502</c:v>
                </c:pt>
                <c:pt idx="171">
                  <c:v>4.2080001831054599</c:v>
                </c:pt>
                <c:pt idx="172">
                  <c:v>4.1929998397827104</c:v>
                </c:pt>
                <c:pt idx="173">
                  <c:v>4.1929998397827104</c:v>
                </c:pt>
                <c:pt idx="174">
                  <c:v>4.1929998397827104</c:v>
                </c:pt>
                <c:pt idx="175">
                  <c:v>4.1929998397827104</c:v>
                </c:pt>
                <c:pt idx="176">
                  <c:v>4.1950001716613698</c:v>
                </c:pt>
                <c:pt idx="177">
                  <c:v>4.3379998207092196</c:v>
                </c:pt>
                <c:pt idx="178">
                  <c:v>4.29500007629394</c:v>
                </c:pt>
                <c:pt idx="179">
                  <c:v>4.2600002288818297</c:v>
                </c:pt>
                <c:pt idx="180">
                  <c:v>4.2600002288818297</c:v>
                </c:pt>
                <c:pt idx="181">
                  <c:v>4.2600002288818297</c:v>
                </c:pt>
                <c:pt idx="182">
                  <c:v>4.2600002288818297</c:v>
                </c:pt>
                <c:pt idx="183">
                  <c:v>4.25500011444091</c:v>
                </c:pt>
                <c:pt idx="184">
                  <c:v>4.4000000953674299</c:v>
                </c:pt>
                <c:pt idx="185">
                  <c:v>4.4980001449584899</c:v>
                </c:pt>
                <c:pt idx="186">
                  <c:v>4.4930000305175701</c:v>
                </c:pt>
                <c:pt idx="187">
                  <c:v>4.4930000305175701</c:v>
                </c:pt>
                <c:pt idx="188">
                  <c:v>4.4930000305175701</c:v>
                </c:pt>
                <c:pt idx="189">
                  <c:v>4.4829998016357404</c:v>
                </c:pt>
                <c:pt idx="190">
                  <c:v>4.5650000572204501</c:v>
                </c:pt>
                <c:pt idx="191">
                  <c:v>4.5549998283386204</c:v>
                </c:pt>
                <c:pt idx="192">
                  <c:v>4.4749999046325604</c:v>
                </c:pt>
                <c:pt idx="193">
                  <c:v>4.4879999160766602</c:v>
                </c:pt>
                <c:pt idx="194">
                  <c:v>4.4879999160766602</c:v>
                </c:pt>
                <c:pt idx="195">
                  <c:v>4.4879999160766602</c:v>
                </c:pt>
                <c:pt idx="196">
                  <c:v>4.4879999160766602</c:v>
                </c:pt>
                <c:pt idx="197">
                  <c:v>4.4930000305175701</c:v>
                </c:pt>
                <c:pt idx="198">
                  <c:v>4.5300002098083496</c:v>
                </c:pt>
                <c:pt idx="199">
                  <c:v>4.5250000953674299</c:v>
                </c:pt>
                <c:pt idx="200">
                  <c:v>4.5380001068115199</c:v>
                </c:pt>
                <c:pt idx="201">
                  <c:v>4.5380001068115199</c:v>
                </c:pt>
                <c:pt idx="202">
                  <c:v>4.5380001068115199</c:v>
                </c:pt>
                <c:pt idx="203">
                  <c:v>4.5349998474120996</c:v>
                </c:pt>
                <c:pt idx="204">
                  <c:v>4.5729999542236301</c:v>
                </c:pt>
                <c:pt idx="205">
                  <c:v>4.54500007629394</c:v>
                </c:pt>
                <c:pt idx="206">
                  <c:v>4.5430002212524396</c:v>
                </c:pt>
                <c:pt idx="207">
                  <c:v>4.5479998588562003</c:v>
                </c:pt>
                <c:pt idx="208">
                  <c:v>4.5479998588562003</c:v>
                </c:pt>
                <c:pt idx="209">
                  <c:v>4.5479998588562003</c:v>
                </c:pt>
                <c:pt idx="210">
                  <c:v>4.5349998474120996</c:v>
                </c:pt>
                <c:pt idx="211">
                  <c:v>4.5700001716613698</c:v>
                </c:pt>
                <c:pt idx="212">
                  <c:v>4.5199999809265101</c:v>
                </c:pt>
                <c:pt idx="213">
                  <c:v>4.5100002288818297</c:v>
                </c:pt>
                <c:pt idx="214">
                  <c:v>4.5229997634887598</c:v>
                </c:pt>
                <c:pt idx="215">
                  <c:v>4.5229997634887598</c:v>
                </c:pt>
                <c:pt idx="216">
                  <c:v>4.5229997634887598</c:v>
                </c:pt>
                <c:pt idx="217">
                  <c:v>4.5329999923706001</c:v>
                </c:pt>
                <c:pt idx="218">
                  <c:v>4.5700001716613698</c:v>
                </c:pt>
                <c:pt idx="219">
                  <c:v>4.58500003814697</c:v>
                </c:pt>
                <c:pt idx="220">
                  <c:v>4.6129999160766602</c:v>
                </c:pt>
                <c:pt idx="221">
                  <c:v>4.6350002288818297</c:v>
                </c:pt>
                <c:pt idx="222">
                  <c:v>4.6350002288818297</c:v>
                </c:pt>
                <c:pt idx="223">
                  <c:v>4.6350002288818297</c:v>
                </c:pt>
                <c:pt idx="224">
                  <c:v>4.6449999809265101</c:v>
                </c:pt>
                <c:pt idx="225">
                  <c:v>4.6599998474120996</c:v>
                </c:pt>
                <c:pt idx="226">
                  <c:v>4.6430001258850098</c:v>
                </c:pt>
                <c:pt idx="227">
                  <c:v>4.6649999618530202</c:v>
                </c:pt>
                <c:pt idx="228">
                  <c:v>4.6799998283386204</c:v>
                </c:pt>
                <c:pt idx="229">
                  <c:v>4.6799998283386204</c:v>
                </c:pt>
                <c:pt idx="230">
                  <c:v>4.6799998283386204</c:v>
                </c:pt>
                <c:pt idx="231">
                  <c:v>4.6799998283386204</c:v>
                </c:pt>
                <c:pt idx="232">
                  <c:v>4.6880002021789497</c:v>
                </c:pt>
                <c:pt idx="233">
                  <c:v>4.6950001716613698</c:v>
                </c:pt>
                <c:pt idx="234">
                  <c:v>4.6900000572204501</c:v>
                </c:pt>
                <c:pt idx="235">
                  <c:v>4.7030000686645499</c:v>
                </c:pt>
                <c:pt idx="236">
                  <c:v>4.7030000686645499</c:v>
                </c:pt>
                <c:pt idx="237">
                  <c:v>4.7030000686645499</c:v>
                </c:pt>
                <c:pt idx="238">
                  <c:v>4.6649999618530202</c:v>
                </c:pt>
                <c:pt idx="239">
                  <c:v>4.71000003814697</c:v>
                </c:pt>
                <c:pt idx="240">
                  <c:v>4.7249999046325604</c:v>
                </c:pt>
                <c:pt idx="241">
                  <c:v>4.72300004959106</c:v>
                </c:pt>
                <c:pt idx="242">
                  <c:v>4.7179999351501403</c:v>
                </c:pt>
                <c:pt idx="243">
                  <c:v>4.7179999351501403</c:v>
                </c:pt>
                <c:pt idx="244">
                  <c:v>4.7179999351501403</c:v>
                </c:pt>
                <c:pt idx="245">
                  <c:v>4.7280001640319798</c:v>
                </c:pt>
                <c:pt idx="246">
                  <c:v>4.8449997901916504</c:v>
                </c:pt>
                <c:pt idx="247">
                  <c:v>4.8829998970031703</c:v>
                </c:pt>
                <c:pt idx="248">
                  <c:v>4.84800004959106</c:v>
                </c:pt>
                <c:pt idx="249">
                  <c:v>4.8029999732971103</c:v>
                </c:pt>
                <c:pt idx="250">
                  <c:v>4.8029999732971103</c:v>
                </c:pt>
                <c:pt idx="251">
                  <c:v>4.8029999732971103</c:v>
                </c:pt>
                <c:pt idx="252">
                  <c:v>4.6579999923706001</c:v>
                </c:pt>
                <c:pt idx="253">
                  <c:v>4.6799998283386204</c:v>
                </c:pt>
                <c:pt idx="254">
                  <c:v>4.55800008773803</c:v>
                </c:pt>
                <c:pt idx="255">
                  <c:v>4.5300002098083496</c:v>
                </c:pt>
                <c:pt idx="256">
                  <c:v>4.2930002212524396</c:v>
                </c:pt>
                <c:pt idx="257">
                  <c:v>4.2930002212524396</c:v>
                </c:pt>
                <c:pt idx="258">
                  <c:v>4.2930002212524396</c:v>
                </c:pt>
                <c:pt idx="259">
                  <c:v>4.4650001525878897</c:v>
                </c:pt>
                <c:pt idx="260">
                  <c:v>4.6050000190734801</c:v>
                </c:pt>
                <c:pt idx="261">
                  <c:v>4.5630002021789497</c:v>
                </c:pt>
                <c:pt idx="262">
                  <c:v>4.5029997825622496</c:v>
                </c:pt>
                <c:pt idx="263">
                  <c:v>4.5029997825622496</c:v>
                </c:pt>
                <c:pt idx="264">
                  <c:v>4.5029997825622496</c:v>
                </c:pt>
                <c:pt idx="265">
                  <c:v>4.5029997825622496</c:v>
                </c:pt>
                <c:pt idx="266">
                  <c:v>4.5830001831054599</c:v>
                </c:pt>
                <c:pt idx="267">
                  <c:v>4.6279997825622496</c:v>
                </c:pt>
                <c:pt idx="268">
                  <c:v>4.63000011444091</c:v>
                </c:pt>
                <c:pt idx="269">
                  <c:v>4.6649999618530202</c:v>
                </c:pt>
                <c:pt idx="270">
                  <c:v>4.58500003814697</c:v>
                </c:pt>
                <c:pt idx="271">
                  <c:v>4.58500003814697</c:v>
                </c:pt>
                <c:pt idx="272">
                  <c:v>4.58500003814697</c:v>
                </c:pt>
                <c:pt idx="273">
                  <c:v>4.5700001716613698</c:v>
                </c:pt>
                <c:pt idx="274">
                  <c:v>4.7280001640319798</c:v>
                </c:pt>
                <c:pt idx="275">
                  <c:v>4.7049999237060502</c:v>
                </c:pt>
                <c:pt idx="276">
                  <c:v>4.71000003814697</c:v>
                </c:pt>
                <c:pt idx="277">
                  <c:v>4.71000003814697</c:v>
                </c:pt>
                <c:pt idx="278">
                  <c:v>4.71000003814697</c:v>
                </c:pt>
                <c:pt idx="279">
                  <c:v>4.71000003814697</c:v>
                </c:pt>
                <c:pt idx="280">
                  <c:v>4.8379998207092196</c:v>
                </c:pt>
                <c:pt idx="281">
                  <c:v>4.88000011444091</c:v>
                </c:pt>
                <c:pt idx="282">
                  <c:v>4.8600001335143999</c:v>
                </c:pt>
                <c:pt idx="283">
                  <c:v>4.8550000190734801</c:v>
                </c:pt>
                <c:pt idx="284">
                  <c:v>4.9029998779296804</c:v>
                </c:pt>
                <c:pt idx="285">
                  <c:v>4.9029998779296804</c:v>
                </c:pt>
                <c:pt idx="286">
                  <c:v>4.9029998779296804</c:v>
                </c:pt>
                <c:pt idx="287">
                  <c:v>4.9229998588562003</c:v>
                </c:pt>
                <c:pt idx="288">
                  <c:v>5.0300002098083496</c:v>
                </c:pt>
                <c:pt idx="289">
                  <c:v>4.9949998855590803</c:v>
                </c:pt>
                <c:pt idx="290">
                  <c:v>4.9450001716613698</c:v>
                </c:pt>
                <c:pt idx="291">
                  <c:v>4.9499998092651296</c:v>
                </c:pt>
                <c:pt idx="292">
                  <c:v>4.9499998092651296</c:v>
                </c:pt>
                <c:pt idx="293">
                  <c:v>4.9499998092651296</c:v>
                </c:pt>
                <c:pt idx="294">
                  <c:v>4.8730001449584899</c:v>
                </c:pt>
                <c:pt idx="295">
                  <c:v>4.9530000686645499</c:v>
                </c:pt>
                <c:pt idx="296">
                  <c:v>4.9850001335143999</c:v>
                </c:pt>
                <c:pt idx="297">
                  <c:v>5</c:v>
                </c:pt>
                <c:pt idx="298">
                  <c:v>4.9229998588562003</c:v>
                </c:pt>
                <c:pt idx="299">
                  <c:v>4.9229998588562003</c:v>
                </c:pt>
                <c:pt idx="300">
                  <c:v>4.9229998588562003</c:v>
                </c:pt>
                <c:pt idx="301">
                  <c:v>4.8649997711181596</c:v>
                </c:pt>
                <c:pt idx="302">
                  <c:v>5.0399999618530202</c:v>
                </c:pt>
                <c:pt idx="303">
                  <c:v>5.0949997901916504</c:v>
                </c:pt>
                <c:pt idx="304">
                  <c:v>5.0549998283386204</c:v>
                </c:pt>
                <c:pt idx="305">
                  <c:v>5.0799999237060502</c:v>
                </c:pt>
                <c:pt idx="306">
                  <c:v>5.0799999237060502</c:v>
                </c:pt>
                <c:pt idx="307">
                  <c:v>5.0799999237060502</c:v>
                </c:pt>
                <c:pt idx="308">
                  <c:v>5.0830001831054599</c:v>
                </c:pt>
                <c:pt idx="309">
                  <c:v>5.1230001449584899</c:v>
                </c:pt>
                <c:pt idx="310">
                  <c:v>5.0650000572204501</c:v>
                </c:pt>
                <c:pt idx="311">
                  <c:v>5.0149998664855904</c:v>
                </c:pt>
                <c:pt idx="312">
                  <c:v>5.0279998779296804</c:v>
                </c:pt>
                <c:pt idx="313">
                  <c:v>5.0279998779296804</c:v>
                </c:pt>
                <c:pt idx="314">
                  <c:v>5.0279998779296804</c:v>
                </c:pt>
                <c:pt idx="315">
                  <c:v>5</c:v>
                </c:pt>
                <c:pt idx="316">
                  <c:v>5.05800008773803</c:v>
                </c:pt>
                <c:pt idx="317">
                  <c:v>5.0879998207092196</c:v>
                </c:pt>
                <c:pt idx="318">
                  <c:v>5.125</c:v>
                </c:pt>
                <c:pt idx="319">
                  <c:v>5.08500003814697</c:v>
                </c:pt>
                <c:pt idx="320">
                  <c:v>5.08500003814697</c:v>
                </c:pt>
                <c:pt idx="321">
                  <c:v>5.08500003814697</c:v>
                </c:pt>
                <c:pt idx="322">
                  <c:v>5.0949997901916504</c:v>
                </c:pt>
                <c:pt idx="323">
                  <c:v>5.1529998779296804</c:v>
                </c:pt>
                <c:pt idx="324">
                  <c:v>5.1849999427795401</c:v>
                </c:pt>
                <c:pt idx="325">
                  <c:v>5.1630001068115199</c:v>
                </c:pt>
                <c:pt idx="326">
                  <c:v>5.1149997711181596</c:v>
                </c:pt>
                <c:pt idx="327">
                  <c:v>5.1149997711181596</c:v>
                </c:pt>
                <c:pt idx="328">
                  <c:v>5.1149997711181596</c:v>
                </c:pt>
                <c:pt idx="329">
                  <c:v>5.1149997711181596</c:v>
                </c:pt>
                <c:pt idx="330">
                  <c:v>5.1430001258850098</c:v>
                </c:pt>
                <c:pt idx="331">
                  <c:v>5.2480001449584899</c:v>
                </c:pt>
                <c:pt idx="332">
                  <c:v>5.2030000686645499</c:v>
                </c:pt>
                <c:pt idx="333">
                  <c:v>5.2150001525878897</c:v>
                </c:pt>
                <c:pt idx="334">
                  <c:v>5.2150001525878897</c:v>
                </c:pt>
                <c:pt idx="335">
                  <c:v>5.2150001525878897</c:v>
                </c:pt>
                <c:pt idx="336">
                  <c:v>5.1430001258850098</c:v>
                </c:pt>
                <c:pt idx="337">
                  <c:v>5.1579999923706001</c:v>
                </c:pt>
                <c:pt idx="338">
                  <c:v>5.1529998779296804</c:v>
                </c:pt>
                <c:pt idx="339">
                  <c:v>5.0999999046325604</c:v>
                </c:pt>
                <c:pt idx="340">
                  <c:v>5.0949997901916504</c:v>
                </c:pt>
                <c:pt idx="341">
                  <c:v>5.0949997901916504</c:v>
                </c:pt>
                <c:pt idx="342">
                  <c:v>5.0949997901916504</c:v>
                </c:pt>
                <c:pt idx="343">
                  <c:v>5.0949997901916504</c:v>
                </c:pt>
                <c:pt idx="344">
                  <c:v>5.0999999046325604</c:v>
                </c:pt>
                <c:pt idx="345">
                  <c:v>5.0799999237060502</c:v>
                </c:pt>
                <c:pt idx="346">
                  <c:v>5.0549998283386204</c:v>
                </c:pt>
                <c:pt idx="347">
                  <c:v>5.0650000572204501</c:v>
                </c:pt>
                <c:pt idx="348">
                  <c:v>5.0650000572204501</c:v>
                </c:pt>
                <c:pt idx="349">
                  <c:v>5.0650000572204501</c:v>
                </c:pt>
                <c:pt idx="350">
                  <c:v>5.0650000572204501</c:v>
                </c:pt>
                <c:pt idx="351">
                  <c:v>5.0749998092651296</c:v>
                </c:pt>
                <c:pt idx="352">
                  <c:v>5.1350002288818297</c:v>
                </c:pt>
                <c:pt idx="353">
                  <c:v>5.1350002288818297</c:v>
                </c:pt>
                <c:pt idx="354">
                  <c:v>5.13800001144409</c:v>
                </c:pt>
                <c:pt idx="355">
                  <c:v>5.13800001144409</c:v>
                </c:pt>
                <c:pt idx="356">
                  <c:v>5.13800001144409</c:v>
                </c:pt>
                <c:pt idx="357">
                  <c:v>5.1550002098083496</c:v>
                </c:pt>
                <c:pt idx="358">
                  <c:v>5.1799998283386204</c:v>
                </c:pt>
                <c:pt idx="359">
                  <c:v>5.17000007629394</c:v>
                </c:pt>
                <c:pt idx="360">
                  <c:v>5.1750001907348597</c:v>
                </c:pt>
                <c:pt idx="361">
                  <c:v>5.1529998779296804</c:v>
                </c:pt>
                <c:pt idx="362">
                  <c:v>5.1529998779296804</c:v>
                </c:pt>
                <c:pt idx="363">
                  <c:v>5.1529998779296804</c:v>
                </c:pt>
                <c:pt idx="364">
                  <c:v>5.1449999809265101</c:v>
                </c:pt>
                <c:pt idx="365">
                  <c:v>5.1449999809265101</c:v>
                </c:pt>
                <c:pt idx="366">
                  <c:v>5.1929998397827104</c:v>
                </c:pt>
                <c:pt idx="367">
                  <c:v>5.2129998207092196</c:v>
                </c:pt>
                <c:pt idx="368">
                  <c:v>5.2129998207092196</c:v>
                </c:pt>
                <c:pt idx="369">
                  <c:v>5.2129998207092196</c:v>
                </c:pt>
                <c:pt idx="370">
                  <c:v>5.2129998207092196</c:v>
                </c:pt>
                <c:pt idx="371">
                  <c:v>5.2249999046325604</c:v>
                </c:pt>
                <c:pt idx="372">
                  <c:v>5.2430000305175701</c:v>
                </c:pt>
                <c:pt idx="373">
                  <c:v>5.2300000190734801</c:v>
                </c:pt>
                <c:pt idx="374">
                  <c:v>5.22300004959106</c:v>
                </c:pt>
                <c:pt idx="375">
                  <c:v>5.2150001525878897</c:v>
                </c:pt>
                <c:pt idx="376">
                  <c:v>5.2150001525878897</c:v>
                </c:pt>
                <c:pt idx="377">
                  <c:v>5.2150001525878897</c:v>
                </c:pt>
                <c:pt idx="378">
                  <c:v>5.2329998016357404</c:v>
                </c:pt>
                <c:pt idx="379">
                  <c:v>5.2480001449584899</c:v>
                </c:pt>
                <c:pt idx="380">
                  <c:v>5.2449998855590803</c:v>
                </c:pt>
                <c:pt idx="381">
                  <c:v>5.2430000305175701</c:v>
                </c:pt>
                <c:pt idx="382">
                  <c:v>5.2480001449584899</c:v>
                </c:pt>
                <c:pt idx="383">
                  <c:v>5.2480001449584899</c:v>
                </c:pt>
                <c:pt idx="384">
                  <c:v>5.2480001449584899</c:v>
                </c:pt>
                <c:pt idx="385">
                  <c:v>5.25</c:v>
                </c:pt>
                <c:pt idx="386">
                  <c:v>5.2649998664855904</c:v>
                </c:pt>
                <c:pt idx="387">
                  <c:v>5.2680001258850098</c:v>
                </c:pt>
                <c:pt idx="388">
                  <c:v>5.2680001258850098</c:v>
                </c:pt>
                <c:pt idx="389">
                  <c:v>5.25500011444091</c:v>
                </c:pt>
                <c:pt idx="390">
                  <c:v>5.25500011444091</c:v>
                </c:pt>
                <c:pt idx="391">
                  <c:v>5.25500011444091</c:v>
                </c:pt>
                <c:pt idx="392">
                  <c:v>5.2480001449584899</c:v>
                </c:pt>
                <c:pt idx="393">
                  <c:v>5.2600002288818297</c:v>
                </c:pt>
                <c:pt idx="394">
                  <c:v>5.2600002288818297</c:v>
                </c:pt>
                <c:pt idx="395">
                  <c:v>5.2579998970031703</c:v>
                </c:pt>
                <c:pt idx="396">
                  <c:v>5.2529997825622496</c:v>
                </c:pt>
                <c:pt idx="397">
                  <c:v>5.2529997825622496</c:v>
                </c:pt>
                <c:pt idx="398">
                  <c:v>5.2529997825622496</c:v>
                </c:pt>
                <c:pt idx="399">
                  <c:v>5.2600002288818297</c:v>
                </c:pt>
                <c:pt idx="400">
                  <c:v>5.2750000953674299</c:v>
                </c:pt>
                <c:pt idx="401">
                  <c:v>5.2800002098083496</c:v>
                </c:pt>
                <c:pt idx="402">
                  <c:v>5.2680001258850098</c:v>
                </c:pt>
                <c:pt idx="403">
                  <c:v>5.2649998664855904</c:v>
                </c:pt>
                <c:pt idx="404">
                  <c:v>5.2649998664855904</c:v>
                </c:pt>
                <c:pt idx="405">
                  <c:v>5.2649998664855904</c:v>
                </c:pt>
                <c:pt idx="406">
                  <c:v>5.2699999809265101</c:v>
                </c:pt>
                <c:pt idx="407">
                  <c:v>5.2800002098083496</c:v>
                </c:pt>
                <c:pt idx="408">
                  <c:v>5.2849998474120996</c:v>
                </c:pt>
                <c:pt idx="409">
                  <c:v>5.2779998779296804</c:v>
                </c:pt>
                <c:pt idx="410">
                  <c:v>5.2779998779296804</c:v>
                </c:pt>
                <c:pt idx="411">
                  <c:v>5.2779998779296804</c:v>
                </c:pt>
                <c:pt idx="412">
                  <c:v>5.2779998779296804</c:v>
                </c:pt>
                <c:pt idx="413">
                  <c:v>5.2800002098083496</c:v>
                </c:pt>
                <c:pt idx="414">
                  <c:v>5.29500007629394</c:v>
                </c:pt>
                <c:pt idx="415">
                  <c:v>5.29500007629394</c:v>
                </c:pt>
                <c:pt idx="416">
                  <c:v>5.3029999732971103</c:v>
                </c:pt>
                <c:pt idx="417">
                  <c:v>5.3150000572204501</c:v>
                </c:pt>
                <c:pt idx="418">
                  <c:v>5.3150000572204501</c:v>
                </c:pt>
                <c:pt idx="419">
                  <c:v>5.3150000572204501</c:v>
                </c:pt>
                <c:pt idx="420">
                  <c:v>5.3229999542236301</c:v>
                </c:pt>
                <c:pt idx="421">
                  <c:v>5.3200001716613698</c:v>
                </c:pt>
                <c:pt idx="422">
                  <c:v>5.3150000572204501</c:v>
                </c:pt>
                <c:pt idx="423">
                  <c:v>5.2979998588562003</c:v>
                </c:pt>
                <c:pt idx="424">
                  <c:v>5.2680001258850098</c:v>
                </c:pt>
                <c:pt idx="425">
                  <c:v>5.2680001258850098</c:v>
                </c:pt>
                <c:pt idx="426">
                  <c:v>5.2680001258850098</c:v>
                </c:pt>
                <c:pt idx="427">
                  <c:v>5.2680001258850098</c:v>
                </c:pt>
                <c:pt idx="428">
                  <c:v>5.2779998779296804</c:v>
                </c:pt>
                <c:pt idx="429">
                  <c:v>5.3000001907348597</c:v>
                </c:pt>
                <c:pt idx="430">
                  <c:v>5.2829999923706001</c:v>
                </c:pt>
                <c:pt idx="431">
                  <c:v>5.2930002212524396</c:v>
                </c:pt>
                <c:pt idx="432">
                  <c:v>5.2930002212524396</c:v>
                </c:pt>
                <c:pt idx="433">
                  <c:v>5.2930002212524396</c:v>
                </c:pt>
                <c:pt idx="434">
                  <c:v>5.2930002212524396</c:v>
                </c:pt>
                <c:pt idx="435">
                  <c:v>5.3049998283386204</c:v>
                </c:pt>
                <c:pt idx="436">
                  <c:v>5.3049998283386204</c:v>
                </c:pt>
                <c:pt idx="437">
                  <c:v>5.29500007629394</c:v>
                </c:pt>
                <c:pt idx="438">
                  <c:v>5.2979998588562003</c:v>
                </c:pt>
                <c:pt idx="439">
                  <c:v>5.2979998588562003</c:v>
                </c:pt>
                <c:pt idx="440">
                  <c:v>5.2979998588562003</c:v>
                </c:pt>
                <c:pt idx="441">
                  <c:v>5.3000001907348597</c:v>
                </c:pt>
                <c:pt idx="442">
                  <c:v>5.3099999427795401</c:v>
                </c:pt>
                <c:pt idx="443">
                  <c:v>5.3150000572204501</c:v>
                </c:pt>
                <c:pt idx="444">
                  <c:v>5.3049998283386204</c:v>
                </c:pt>
                <c:pt idx="445">
                  <c:v>5.3049998283386204</c:v>
                </c:pt>
                <c:pt idx="446">
                  <c:v>5.3049998283386204</c:v>
                </c:pt>
                <c:pt idx="447">
                  <c:v>5.3049998283386204</c:v>
                </c:pt>
                <c:pt idx="448">
                  <c:v>5.3130002021789497</c:v>
                </c:pt>
                <c:pt idx="449">
                  <c:v>5.3249998092651296</c:v>
                </c:pt>
                <c:pt idx="450">
                  <c:v>5.3299999237060502</c:v>
                </c:pt>
                <c:pt idx="451">
                  <c:v>5.30800008773803</c:v>
                </c:pt>
                <c:pt idx="452">
                  <c:v>5.3000001907348597</c:v>
                </c:pt>
                <c:pt idx="453">
                  <c:v>5.3000001907348597</c:v>
                </c:pt>
                <c:pt idx="454">
                  <c:v>5.3000001907348597</c:v>
                </c:pt>
                <c:pt idx="455">
                  <c:v>5.3150000572204501</c:v>
                </c:pt>
                <c:pt idx="456">
                  <c:v>5.3400001525878897</c:v>
                </c:pt>
                <c:pt idx="457">
                  <c:v>5.33500003814697</c:v>
                </c:pt>
                <c:pt idx="458">
                  <c:v>5.3249998092651296</c:v>
                </c:pt>
                <c:pt idx="459">
                  <c:v>5.34800004959106</c:v>
                </c:pt>
                <c:pt idx="460">
                  <c:v>5.34800004959106</c:v>
                </c:pt>
                <c:pt idx="461">
                  <c:v>5.34800004959106</c:v>
                </c:pt>
                <c:pt idx="462">
                  <c:v>5.34800004959106</c:v>
                </c:pt>
                <c:pt idx="463">
                  <c:v>5.3229999542236301</c:v>
                </c:pt>
                <c:pt idx="464">
                  <c:v>5.33500003814697</c:v>
                </c:pt>
                <c:pt idx="465">
                  <c:v>5.33500003814697</c:v>
                </c:pt>
                <c:pt idx="466">
                  <c:v>5.3280000686645499</c:v>
                </c:pt>
                <c:pt idx="467">
                  <c:v>5.3280000686645499</c:v>
                </c:pt>
                <c:pt idx="468">
                  <c:v>5.3280000686645499</c:v>
                </c:pt>
                <c:pt idx="469">
                  <c:v>5.3280000686645499</c:v>
                </c:pt>
                <c:pt idx="470">
                  <c:v>5.3400001525878897</c:v>
                </c:pt>
                <c:pt idx="471">
                  <c:v>5.3299999237060502</c:v>
                </c:pt>
                <c:pt idx="472">
                  <c:v>5.3099999427795401</c:v>
                </c:pt>
                <c:pt idx="473">
                  <c:v>5.3000001907348597</c:v>
                </c:pt>
                <c:pt idx="474">
                  <c:v>5.3000001907348597</c:v>
                </c:pt>
                <c:pt idx="475">
                  <c:v>5.3000001907348597</c:v>
                </c:pt>
                <c:pt idx="476">
                  <c:v>5.2930002212524396</c:v>
                </c:pt>
                <c:pt idx="477">
                  <c:v>5.30800008773803</c:v>
                </c:pt>
                <c:pt idx="478">
                  <c:v>5.3150000572204501</c:v>
                </c:pt>
                <c:pt idx="479">
                  <c:v>5.3000001907348597</c:v>
                </c:pt>
                <c:pt idx="480">
                  <c:v>5.3049998283386204</c:v>
                </c:pt>
                <c:pt idx="481">
                  <c:v>5.3049998283386204</c:v>
                </c:pt>
                <c:pt idx="482">
                  <c:v>5.3049998283386204</c:v>
                </c:pt>
                <c:pt idx="483">
                  <c:v>5.3130002021789497</c:v>
                </c:pt>
                <c:pt idx="484">
                  <c:v>5.3200001716613698</c:v>
                </c:pt>
                <c:pt idx="485">
                  <c:v>5.3000001907348597</c:v>
                </c:pt>
                <c:pt idx="486">
                  <c:v>5.2699999809265101</c:v>
                </c:pt>
                <c:pt idx="487">
                  <c:v>5.2529997825622496</c:v>
                </c:pt>
                <c:pt idx="488">
                  <c:v>5.2529997825622496</c:v>
                </c:pt>
                <c:pt idx="489">
                  <c:v>5.2529997825622496</c:v>
                </c:pt>
                <c:pt idx="490">
                  <c:v>5.2600002288818297</c:v>
                </c:pt>
                <c:pt idx="491">
                  <c:v>5.2729997634887598</c:v>
                </c:pt>
                <c:pt idx="492">
                  <c:v>5.2680001258850098</c:v>
                </c:pt>
                <c:pt idx="493">
                  <c:v>5.26300001144409</c:v>
                </c:pt>
                <c:pt idx="494">
                  <c:v>5.25</c:v>
                </c:pt>
                <c:pt idx="495">
                  <c:v>5.25</c:v>
                </c:pt>
                <c:pt idx="496">
                  <c:v>5.25</c:v>
                </c:pt>
                <c:pt idx="497">
                  <c:v>5.2600002288818297</c:v>
                </c:pt>
                <c:pt idx="498">
                  <c:v>5.2529997825622496</c:v>
                </c:pt>
                <c:pt idx="499">
                  <c:v>5.25500011444091</c:v>
                </c:pt>
                <c:pt idx="500">
                  <c:v>5.2430000305175701</c:v>
                </c:pt>
                <c:pt idx="501">
                  <c:v>5.2329998016357404</c:v>
                </c:pt>
                <c:pt idx="502">
                  <c:v>5.2329998016357404</c:v>
                </c:pt>
                <c:pt idx="503">
                  <c:v>5.2329998016357404</c:v>
                </c:pt>
                <c:pt idx="504">
                  <c:v>5.2379999160766602</c:v>
                </c:pt>
                <c:pt idx="505">
                  <c:v>5.25500011444091</c:v>
                </c:pt>
                <c:pt idx="506">
                  <c:v>5.2649998664855904</c:v>
                </c:pt>
                <c:pt idx="507">
                  <c:v>5.2649998664855904</c:v>
                </c:pt>
                <c:pt idx="508">
                  <c:v>5.2529997825622496</c:v>
                </c:pt>
                <c:pt idx="509">
                  <c:v>5.2529997825622496</c:v>
                </c:pt>
                <c:pt idx="510">
                  <c:v>5.2529997825622496</c:v>
                </c:pt>
                <c:pt idx="511">
                  <c:v>5.2579998970031703</c:v>
                </c:pt>
                <c:pt idx="512">
                  <c:v>5.2600002288818297</c:v>
                </c:pt>
                <c:pt idx="513">
                  <c:v>5.2399997711181596</c:v>
                </c:pt>
                <c:pt idx="514">
                  <c:v>5.2379999160766602</c:v>
                </c:pt>
                <c:pt idx="515">
                  <c:v>5.2150001525878897</c:v>
                </c:pt>
                <c:pt idx="516">
                  <c:v>5.2150001525878897</c:v>
                </c:pt>
                <c:pt idx="517">
                  <c:v>5.2150001525878897</c:v>
                </c:pt>
                <c:pt idx="518">
                  <c:v>5.22300004959106</c:v>
                </c:pt>
                <c:pt idx="519">
                  <c:v>5.2430000305175701</c:v>
                </c:pt>
                <c:pt idx="520">
                  <c:v>5.2430000305175701</c:v>
                </c:pt>
                <c:pt idx="521">
                  <c:v>5.2329998016357404</c:v>
                </c:pt>
                <c:pt idx="522">
                  <c:v>5.2329998016357404</c:v>
                </c:pt>
                <c:pt idx="523">
                  <c:v>5.2329998016357404</c:v>
                </c:pt>
                <c:pt idx="524">
                  <c:v>5.2329998016357404</c:v>
                </c:pt>
                <c:pt idx="525">
                  <c:v>5.2329998016357404</c:v>
                </c:pt>
                <c:pt idx="526">
                  <c:v>5.2480001449584899</c:v>
                </c:pt>
                <c:pt idx="527">
                  <c:v>5.22300004959106</c:v>
                </c:pt>
                <c:pt idx="528">
                  <c:v>5.2150001525878897</c:v>
                </c:pt>
                <c:pt idx="529">
                  <c:v>5.2249999046325604</c:v>
                </c:pt>
                <c:pt idx="530">
                  <c:v>5.2249999046325604</c:v>
                </c:pt>
                <c:pt idx="531">
                  <c:v>5.2249999046325604</c:v>
                </c:pt>
                <c:pt idx="532">
                  <c:v>5.2249999046325604</c:v>
                </c:pt>
                <c:pt idx="533">
                  <c:v>5.2379999160766602</c:v>
                </c:pt>
                <c:pt idx="534">
                  <c:v>5.2300000190734801</c:v>
                </c:pt>
                <c:pt idx="535">
                  <c:v>5.21000003814697</c:v>
                </c:pt>
                <c:pt idx="536">
                  <c:v>5.2080001831054599</c:v>
                </c:pt>
                <c:pt idx="537">
                  <c:v>5.2080001831054599</c:v>
                </c:pt>
                <c:pt idx="538">
                  <c:v>5.2080001831054599</c:v>
                </c:pt>
                <c:pt idx="539">
                  <c:v>5.2080001831054599</c:v>
                </c:pt>
                <c:pt idx="540">
                  <c:v>5.2030000686645499</c:v>
                </c:pt>
                <c:pt idx="541">
                  <c:v>5.2350001335143999</c:v>
                </c:pt>
                <c:pt idx="542">
                  <c:v>5.2179999351501403</c:v>
                </c:pt>
                <c:pt idx="543">
                  <c:v>5.1799998283386204</c:v>
                </c:pt>
                <c:pt idx="544">
                  <c:v>5.1799998283386204</c:v>
                </c:pt>
                <c:pt idx="545">
                  <c:v>5.1799998283386204</c:v>
                </c:pt>
                <c:pt idx="546">
                  <c:v>5.1799998283386204</c:v>
                </c:pt>
                <c:pt idx="547">
                  <c:v>5.2129998207092196</c:v>
                </c:pt>
                <c:pt idx="548">
                  <c:v>5.2350001335143999</c:v>
                </c:pt>
                <c:pt idx="549">
                  <c:v>5.2280001640319798</c:v>
                </c:pt>
                <c:pt idx="550">
                  <c:v>5.2199997901916504</c:v>
                </c:pt>
                <c:pt idx="551">
                  <c:v>5.2199997901916504</c:v>
                </c:pt>
                <c:pt idx="552">
                  <c:v>5.2199997901916504</c:v>
                </c:pt>
                <c:pt idx="553">
                  <c:v>5.2199997901916504</c:v>
                </c:pt>
                <c:pt idx="554">
                  <c:v>5.2300000190734801</c:v>
                </c:pt>
                <c:pt idx="555">
                  <c:v>5.2249999046325604</c:v>
                </c:pt>
                <c:pt idx="556">
                  <c:v>5.2179999351501403</c:v>
                </c:pt>
                <c:pt idx="557">
                  <c:v>5.1979999542236301</c:v>
                </c:pt>
                <c:pt idx="558">
                  <c:v>5.1979999542236301</c:v>
                </c:pt>
                <c:pt idx="559">
                  <c:v>5.1979999542236301</c:v>
                </c:pt>
                <c:pt idx="560">
                  <c:v>5.1979999542236301</c:v>
                </c:pt>
                <c:pt idx="561">
                  <c:v>5.2030000686645499</c:v>
                </c:pt>
                <c:pt idx="562">
                  <c:v>5.2150001525878897</c:v>
                </c:pt>
                <c:pt idx="563">
                  <c:v>5.1999998092651296</c:v>
                </c:pt>
                <c:pt idx="564">
                  <c:v>5.1979999542236301</c:v>
                </c:pt>
                <c:pt idx="565">
                  <c:v>5.1979999542236301</c:v>
                </c:pt>
                <c:pt idx="566">
                  <c:v>5.1979999542236301</c:v>
                </c:pt>
                <c:pt idx="567">
                  <c:v>5.1999998092651296</c:v>
                </c:pt>
                <c:pt idx="568">
                  <c:v>5.21000003814697</c:v>
                </c:pt>
                <c:pt idx="569">
                  <c:v>5.21000003814697</c:v>
                </c:pt>
                <c:pt idx="570">
                  <c:v>5.1950001716613698</c:v>
                </c:pt>
                <c:pt idx="571">
                  <c:v>5.1999998092651296</c:v>
                </c:pt>
                <c:pt idx="572">
                  <c:v>5.1999998092651296</c:v>
                </c:pt>
                <c:pt idx="573">
                  <c:v>5.1999998092651296</c:v>
                </c:pt>
                <c:pt idx="574">
                  <c:v>5.1999998092651296</c:v>
                </c:pt>
                <c:pt idx="575">
                  <c:v>5.2030000686645499</c:v>
                </c:pt>
                <c:pt idx="576">
                  <c:v>5.1880002021789497</c:v>
                </c:pt>
                <c:pt idx="577">
                  <c:v>5.1999998092651296</c:v>
                </c:pt>
                <c:pt idx="578">
                  <c:v>5.21000003814697</c:v>
                </c:pt>
                <c:pt idx="579">
                  <c:v>5.21000003814697</c:v>
                </c:pt>
                <c:pt idx="580">
                  <c:v>5.21000003814697</c:v>
                </c:pt>
                <c:pt idx="581">
                  <c:v>5.2280001640319798</c:v>
                </c:pt>
                <c:pt idx="582">
                  <c:v>5.22300004959106</c:v>
                </c:pt>
                <c:pt idx="583">
                  <c:v>5.22300004959106</c:v>
                </c:pt>
                <c:pt idx="584">
                  <c:v>5.2179999351501403</c:v>
                </c:pt>
                <c:pt idx="585">
                  <c:v>5.2199997901916504</c:v>
                </c:pt>
                <c:pt idx="586">
                  <c:v>5.2199997901916504</c:v>
                </c:pt>
                <c:pt idx="587">
                  <c:v>5.2199997901916504</c:v>
                </c:pt>
                <c:pt idx="588">
                  <c:v>5.2280001640319798</c:v>
                </c:pt>
                <c:pt idx="589">
                  <c:v>5.2329998016357404</c:v>
                </c:pt>
                <c:pt idx="590">
                  <c:v>5.2179999351501403</c:v>
                </c:pt>
                <c:pt idx="591">
                  <c:v>5.2179999351501403</c:v>
                </c:pt>
                <c:pt idx="592">
                  <c:v>5.22300004959106</c:v>
                </c:pt>
                <c:pt idx="593">
                  <c:v>5.22300004959106</c:v>
                </c:pt>
                <c:pt idx="594">
                  <c:v>5.22300004959106</c:v>
                </c:pt>
                <c:pt idx="595">
                  <c:v>5.22300004959106</c:v>
                </c:pt>
                <c:pt idx="596">
                  <c:v>5.2129998207092196</c:v>
                </c:pt>
                <c:pt idx="597">
                  <c:v>5.2350001335143999</c:v>
                </c:pt>
                <c:pt idx="598">
                  <c:v>5.2329998016357404</c:v>
                </c:pt>
                <c:pt idx="599">
                  <c:v>5.2399997711181596</c:v>
                </c:pt>
                <c:pt idx="600">
                  <c:v>5.2399997711181596</c:v>
                </c:pt>
                <c:pt idx="601">
                  <c:v>5.2399997711181596</c:v>
                </c:pt>
                <c:pt idx="602">
                  <c:v>5.25</c:v>
                </c:pt>
                <c:pt idx="603">
                  <c:v>5.2449998855590803</c:v>
                </c:pt>
                <c:pt idx="604">
                  <c:v>5.2399997711181596</c:v>
                </c:pt>
                <c:pt idx="605">
                  <c:v>5.22300004959106</c:v>
                </c:pt>
                <c:pt idx="606">
                  <c:v>5.2150001525878897</c:v>
                </c:pt>
                <c:pt idx="607">
                  <c:v>5.2150001525878897</c:v>
                </c:pt>
                <c:pt idx="608">
                  <c:v>5.2150001525878897</c:v>
                </c:pt>
                <c:pt idx="609">
                  <c:v>5.22300004959106</c:v>
                </c:pt>
                <c:pt idx="610">
                  <c:v>5.2249999046325604</c:v>
                </c:pt>
                <c:pt idx="611">
                  <c:v>5.2300000190734801</c:v>
                </c:pt>
                <c:pt idx="612">
                  <c:v>5.2280001640319798</c:v>
                </c:pt>
                <c:pt idx="613">
                  <c:v>5.2280001640319798</c:v>
                </c:pt>
                <c:pt idx="614">
                  <c:v>5.2280001640319798</c:v>
                </c:pt>
                <c:pt idx="615">
                  <c:v>5.2280001640319798</c:v>
                </c:pt>
                <c:pt idx="616">
                  <c:v>5.2399997711181596</c:v>
                </c:pt>
                <c:pt idx="617">
                  <c:v>5.2399997711181596</c:v>
                </c:pt>
                <c:pt idx="618">
                  <c:v>5.2379999160766602</c:v>
                </c:pt>
                <c:pt idx="619">
                  <c:v>5.2379999160766602</c:v>
                </c:pt>
                <c:pt idx="620">
                  <c:v>5.2379999160766602</c:v>
                </c:pt>
                <c:pt idx="621">
                  <c:v>5.2379999160766602</c:v>
                </c:pt>
                <c:pt idx="622">
                  <c:v>5.2379999160766602</c:v>
                </c:pt>
                <c:pt idx="623">
                  <c:v>5.2379999160766602</c:v>
                </c:pt>
                <c:pt idx="624">
                  <c:v>5.2379999160766602</c:v>
                </c:pt>
                <c:pt idx="625">
                  <c:v>5.2280001640319798</c:v>
                </c:pt>
                <c:pt idx="626">
                  <c:v>5.2280001640319798</c:v>
                </c:pt>
                <c:pt idx="627">
                  <c:v>5.2199997901916504</c:v>
                </c:pt>
                <c:pt idx="628">
                  <c:v>5.2199997901916504</c:v>
                </c:pt>
                <c:pt idx="629">
                  <c:v>5.2199997901916504</c:v>
                </c:pt>
                <c:pt idx="630">
                  <c:v>5.2179999351501403</c:v>
                </c:pt>
                <c:pt idx="631">
                  <c:v>5.2179999351501403</c:v>
                </c:pt>
                <c:pt idx="632">
                  <c:v>5.2150001525878897</c:v>
                </c:pt>
                <c:pt idx="633">
                  <c:v>5.2030000686645499</c:v>
                </c:pt>
                <c:pt idx="634">
                  <c:v>5.2030000686645499</c:v>
                </c:pt>
                <c:pt idx="635">
                  <c:v>5.2030000686645499</c:v>
                </c:pt>
                <c:pt idx="636">
                  <c:v>5.2030000686645499</c:v>
                </c:pt>
                <c:pt idx="637">
                  <c:v>5.2179999351501403</c:v>
                </c:pt>
                <c:pt idx="638">
                  <c:v>5.2129998207092196</c:v>
                </c:pt>
                <c:pt idx="639">
                  <c:v>5.21000003814697</c:v>
                </c:pt>
                <c:pt idx="640">
                  <c:v>5.2030000686645499</c:v>
                </c:pt>
                <c:pt idx="641">
                  <c:v>5.2150001525878897</c:v>
                </c:pt>
                <c:pt idx="642">
                  <c:v>5.2150001525878897</c:v>
                </c:pt>
                <c:pt idx="643">
                  <c:v>5.2150001525878897</c:v>
                </c:pt>
                <c:pt idx="644">
                  <c:v>5.22300004959106</c:v>
                </c:pt>
                <c:pt idx="645">
                  <c:v>5.2199997901916504</c:v>
                </c:pt>
                <c:pt idx="646">
                  <c:v>5.2430000305175701</c:v>
                </c:pt>
                <c:pt idx="647">
                  <c:v>5.2379999160766602</c:v>
                </c:pt>
                <c:pt idx="648">
                  <c:v>5.2300000190734801</c:v>
                </c:pt>
                <c:pt idx="649">
                  <c:v>5.2300000190734801</c:v>
                </c:pt>
                <c:pt idx="650">
                  <c:v>5.2300000190734801</c:v>
                </c:pt>
                <c:pt idx="651">
                  <c:v>5.2379999160766602</c:v>
                </c:pt>
                <c:pt idx="652">
                  <c:v>5.2329998016357404</c:v>
                </c:pt>
                <c:pt idx="653">
                  <c:v>5.2399997711181596</c:v>
                </c:pt>
                <c:pt idx="654">
                  <c:v>5.2430000305175701</c:v>
                </c:pt>
                <c:pt idx="655">
                  <c:v>5.2449998855590803</c:v>
                </c:pt>
                <c:pt idx="656">
                  <c:v>5.2449998855590803</c:v>
                </c:pt>
                <c:pt idx="657">
                  <c:v>5.2449998855590803</c:v>
                </c:pt>
                <c:pt idx="658">
                  <c:v>5.2449998855590803</c:v>
                </c:pt>
                <c:pt idx="659">
                  <c:v>5.2449998855590803</c:v>
                </c:pt>
                <c:pt idx="660">
                  <c:v>5.25500011444091</c:v>
                </c:pt>
                <c:pt idx="661">
                  <c:v>5.2449998855590803</c:v>
                </c:pt>
                <c:pt idx="662">
                  <c:v>5.2379999160766602</c:v>
                </c:pt>
                <c:pt idx="663">
                  <c:v>5.2379999160766602</c:v>
                </c:pt>
                <c:pt idx="664">
                  <c:v>5.2379999160766602</c:v>
                </c:pt>
                <c:pt idx="665">
                  <c:v>5.2430000305175701</c:v>
                </c:pt>
                <c:pt idx="666">
                  <c:v>5.2449998855590803</c:v>
                </c:pt>
                <c:pt idx="667">
                  <c:v>5.25</c:v>
                </c:pt>
                <c:pt idx="668">
                  <c:v>5.2379999160766602</c:v>
                </c:pt>
                <c:pt idx="669">
                  <c:v>5.2350001335143999</c:v>
                </c:pt>
                <c:pt idx="670">
                  <c:v>5.2350001335143999</c:v>
                </c:pt>
                <c:pt idx="671">
                  <c:v>5.2350001335143999</c:v>
                </c:pt>
                <c:pt idx="672">
                  <c:v>5.2399997711181596</c:v>
                </c:pt>
                <c:pt idx="673">
                  <c:v>5.2430000305175701</c:v>
                </c:pt>
                <c:pt idx="674">
                  <c:v>5.2449998855590803</c:v>
                </c:pt>
                <c:pt idx="675">
                  <c:v>5.2399997711181596</c:v>
                </c:pt>
                <c:pt idx="676">
                  <c:v>5.2430000305175701</c:v>
                </c:pt>
                <c:pt idx="677">
                  <c:v>5.2430000305175701</c:v>
                </c:pt>
                <c:pt idx="678">
                  <c:v>5.2430000305175701</c:v>
                </c:pt>
                <c:pt idx="679">
                  <c:v>5.2399997711181596</c:v>
                </c:pt>
                <c:pt idx="680">
                  <c:v>5.2350001335143999</c:v>
                </c:pt>
                <c:pt idx="681">
                  <c:v>5.2399997711181596</c:v>
                </c:pt>
                <c:pt idx="682">
                  <c:v>5.2430000305175701</c:v>
                </c:pt>
                <c:pt idx="683">
                  <c:v>5.2399997711181596</c:v>
                </c:pt>
                <c:pt idx="684">
                  <c:v>5.2399997711181596</c:v>
                </c:pt>
                <c:pt idx="685">
                  <c:v>5.2399997711181596</c:v>
                </c:pt>
                <c:pt idx="686">
                  <c:v>5.2399997711181596</c:v>
                </c:pt>
                <c:pt idx="687">
                  <c:v>5.2399997711181596</c:v>
                </c:pt>
                <c:pt idx="688">
                  <c:v>5.2449998855590803</c:v>
                </c:pt>
                <c:pt idx="689">
                  <c:v>5.2449998855590803</c:v>
                </c:pt>
                <c:pt idx="690">
                  <c:v>5.2449998855590803</c:v>
                </c:pt>
                <c:pt idx="691">
                  <c:v>5.2449998855590803</c:v>
                </c:pt>
                <c:pt idx="692">
                  <c:v>5.2449998855590803</c:v>
                </c:pt>
                <c:pt idx="693">
                  <c:v>5.2449998855590803</c:v>
                </c:pt>
                <c:pt idx="694">
                  <c:v>5.2480001449584899</c:v>
                </c:pt>
                <c:pt idx="695">
                  <c:v>5.25</c:v>
                </c:pt>
                <c:pt idx="696">
                  <c:v>5.2480001449584899</c:v>
                </c:pt>
                <c:pt idx="697">
                  <c:v>5.2449998855590803</c:v>
                </c:pt>
                <c:pt idx="698">
                  <c:v>5.2449998855590803</c:v>
                </c:pt>
                <c:pt idx="699">
                  <c:v>5.2449998855590803</c:v>
                </c:pt>
                <c:pt idx="700">
                  <c:v>5.2430000305175701</c:v>
                </c:pt>
                <c:pt idx="701">
                  <c:v>5.2399997711181596</c:v>
                </c:pt>
                <c:pt idx="702">
                  <c:v>5.2399997711181596</c:v>
                </c:pt>
                <c:pt idx="703">
                  <c:v>5.2329998016357404</c:v>
                </c:pt>
                <c:pt idx="704">
                  <c:v>5.2379999160766602</c:v>
                </c:pt>
                <c:pt idx="705">
                  <c:v>5.2379999160766602</c:v>
                </c:pt>
                <c:pt idx="706">
                  <c:v>5.2379999160766602</c:v>
                </c:pt>
                <c:pt idx="707">
                  <c:v>5.2329998016357404</c:v>
                </c:pt>
                <c:pt idx="708">
                  <c:v>5.2449998855590803</c:v>
                </c:pt>
                <c:pt idx="709">
                  <c:v>5.2430000305175701</c:v>
                </c:pt>
                <c:pt idx="710">
                  <c:v>5.2399997711181596</c:v>
                </c:pt>
                <c:pt idx="711">
                  <c:v>5.2399997711181596</c:v>
                </c:pt>
                <c:pt idx="712">
                  <c:v>5.2399997711181596</c:v>
                </c:pt>
                <c:pt idx="713">
                  <c:v>5.2399997711181596</c:v>
                </c:pt>
                <c:pt idx="714">
                  <c:v>5.2430000305175701</c:v>
                </c:pt>
                <c:pt idx="715">
                  <c:v>5.2350001335143999</c:v>
                </c:pt>
                <c:pt idx="716">
                  <c:v>5.2350001335143999</c:v>
                </c:pt>
                <c:pt idx="717">
                  <c:v>5.2249999046325604</c:v>
                </c:pt>
                <c:pt idx="718">
                  <c:v>5.2150001525878897</c:v>
                </c:pt>
                <c:pt idx="719">
                  <c:v>5.2150001525878897</c:v>
                </c:pt>
                <c:pt idx="720">
                  <c:v>5.2150001525878897</c:v>
                </c:pt>
                <c:pt idx="721">
                  <c:v>5.21000003814697</c:v>
                </c:pt>
                <c:pt idx="722">
                  <c:v>5.22300004959106</c:v>
                </c:pt>
                <c:pt idx="723">
                  <c:v>5.2300000190734801</c:v>
                </c:pt>
                <c:pt idx="724">
                  <c:v>5.22300004959106</c:v>
                </c:pt>
                <c:pt idx="725">
                  <c:v>5.2129998207092196</c:v>
                </c:pt>
                <c:pt idx="726">
                  <c:v>5.2129998207092196</c:v>
                </c:pt>
                <c:pt idx="727">
                  <c:v>5.2129998207092196</c:v>
                </c:pt>
                <c:pt idx="728">
                  <c:v>5.2179999351501403</c:v>
                </c:pt>
                <c:pt idx="729">
                  <c:v>5.2280001640319798</c:v>
                </c:pt>
                <c:pt idx="730">
                  <c:v>5.2300000190734801</c:v>
                </c:pt>
                <c:pt idx="731">
                  <c:v>5.2300000190734801</c:v>
                </c:pt>
                <c:pt idx="732">
                  <c:v>5.2249999046325604</c:v>
                </c:pt>
                <c:pt idx="733">
                  <c:v>5.2249999046325604</c:v>
                </c:pt>
                <c:pt idx="734">
                  <c:v>5.2249999046325604</c:v>
                </c:pt>
                <c:pt idx="735">
                  <c:v>5.2179999351501403</c:v>
                </c:pt>
                <c:pt idx="736">
                  <c:v>5.2249999046325604</c:v>
                </c:pt>
                <c:pt idx="737">
                  <c:v>5.2249999046325604</c:v>
                </c:pt>
                <c:pt idx="738">
                  <c:v>5.1979999542236301</c:v>
                </c:pt>
                <c:pt idx="739">
                  <c:v>5.1979999542236301</c:v>
                </c:pt>
                <c:pt idx="740">
                  <c:v>5.1979999542236301</c:v>
                </c:pt>
                <c:pt idx="741">
                  <c:v>5.1979999542236301</c:v>
                </c:pt>
                <c:pt idx="742">
                  <c:v>5.1929998397827104</c:v>
                </c:pt>
                <c:pt idx="743">
                  <c:v>5.1929998397827104</c:v>
                </c:pt>
                <c:pt idx="744">
                  <c:v>5.1950001716613698</c:v>
                </c:pt>
                <c:pt idx="745">
                  <c:v>5.1929998397827104</c:v>
                </c:pt>
                <c:pt idx="746">
                  <c:v>5.1929998397827104</c:v>
                </c:pt>
                <c:pt idx="747">
                  <c:v>5.1929998397827104</c:v>
                </c:pt>
                <c:pt idx="748">
                  <c:v>5.1929998397827104</c:v>
                </c:pt>
                <c:pt idx="749">
                  <c:v>5.1900000572204501</c:v>
                </c:pt>
                <c:pt idx="750">
                  <c:v>5.1729998588562003</c:v>
                </c:pt>
                <c:pt idx="751">
                  <c:v>5.17000007629394</c:v>
                </c:pt>
                <c:pt idx="752">
                  <c:v>5.1599998474120996</c:v>
                </c:pt>
                <c:pt idx="753">
                  <c:v>5.1550002098083496</c:v>
                </c:pt>
                <c:pt idx="754">
                  <c:v>5.1550002098083496</c:v>
                </c:pt>
                <c:pt idx="755">
                  <c:v>5.1550002098083496</c:v>
                </c:pt>
                <c:pt idx="756">
                  <c:v>5.1469998359680096</c:v>
                </c:pt>
                <c:pt idx="757">
                  <c:v>5.1350002288818297</c:v>
                </c:pt>
                <c:pt idx="758">
                  <c:v>5.1350002288818297</c:v>
                </c:pt>
                <c:pt idx="759">
                  <c:v>5.1149997711181596</c:v>
                </c:pt>
                <c:pt idx="760">
                  <c:v>5.0300002098083496</c:v>
                </c:pt>
                <c:pt idx="761">
                  <c:v>5.0300002098083496</c:v>
                </c:pt>
                <c:pt idx="762">
                  <c:v>5.0300002098083496</c:v>
                </c:pt>
                <c:pt idx="763">
                  <c:v>5.0599999427795401</c:v>
                </c:pt>
                <c:pt idx="764">
                  <c:v>5.0799999237060502</c:v>
                </c:pt>
                <c:pt idx="765">
                  <c:v>5.0799999237060502</c:v>
                </c:pt>
                <c:pt idx="766">
                  <c:v>5.0830001831054599</c:v>
                </c:pt>
                <c:pt idx="767">
                  <c:v>5.0749998092651296</c:v>
                </c:pt>
                <c:pt idx="768">
                  <c:v>5.0749998092651296</c:v>
                </c:pt>
                <c:pt idx="769">
                  <c:v>5.0749998092651296</c:v>
                </c:pt>
                <c:pt idx="770">
                  <c:v>5.0729999542236301</c:v>
                </c:pt>
                <c:pt idx="771">
                  <c:v>5.0529999732971103</c:v>
                </c:pt>
                <c:pt idx="772">
                  <c:v>5.0630002021789497</c:v>
                </c:pt>
                <c:pt idx="773">
                  <c:v>5.0799999237060502</c:v>
                </c:pt>
                <c:pt idx="774">
                  <c:v>5.0749998092651296</c:v>
                </c:pt>
                <c:pt idx="775">
                  <c:v>5.0749998092651296</c:v>
                </c:pt>
                <c:pt idx="776">
                  <c:v>5.0749998092651296</c:v>
                </c:pt>
                <c:pt idx="777">
                  <c:v>5.0630002021789497</c:v>
                </c:pt>
                <c:pt idx="778">
                  <c:v>5.0329999923706001</c:v>
                </c:pt>
                <c:pt idx="779">
                  <c:v>5.00500011444091</c:v>
                </c:pt>
                <c:pt idx="780">
                  <c:v>5.0250000953674299</c:v>
                </c:pt>
                <c:pt idx="781">
                  <c:v>5</c:v>
                </c:pt>
                <c:pt idx="782">
                  <c:v>5</c:v>
                </c:pt>
                <c:pt idx="783">
                  <c:v>5</c:v>
                </c:pt>
                <c:pt idx="784">
                  <c:v>4.9980001449584899</c:v>
                </c:pt>
                <c:pt idx="785">
                  <c:v>4.9679999351501403</c:v>
                </c:pt>
                <c:pt idx="786">
                  <c:v>4.9549999237060502</c:v>
                </c:pt>
                <c:pt idx="787">
                  <c:v>4.9650001525878897</c:v>
                </c:pt>
                <c:pt idx="788">
                  <c:v>4.9679999351501403</c:v>
                </c:pt>
                <c:pt idx="789">
                  <c:v>4.9679999351501403</c:v>
                </c:pt>
                <c:pt idx="790">
                  <c:v>4.9679999351501403</c:v>
                </c:pt>
                <c:pt idx="791">
                  <c:v>4.9679999351501403</c:v>
                </c:pt>
                <c:pt idx="792">
                  <c:v>4.9699997901916504</c:v>
                </c:pt>
                <c:pt idx="793">
                  <c:v>4.9479999542236301</c:v>
                </c:pt>
                <c:pt idx="794">
                  <c:v>4.9320001602172798</c:v>
                </c:pt>
                <c:pt idx="795">
                  <c:v>4.9079999923706001</c:v>
                </c:pt>
                <c:pt idx="796">
                  <c:v>4.9079999923706001</c:v>
                </c:pt>
                <c:pt idx="797">
                  <c:v>4.9079999923706001</c:v>
                </c:pt>
                <c:pt idx="798">
                  <c:v>4.8949999809265101</c:v>
                </c:pt>
                <c:pt idx="799">
                  <c:v>4.83500003814697</c:v>
                </c:pt>
                <c:pt idx="800">
                  <c:v>4.875</c:v>
                </c:pt>
                <c:pt idx="801">
                  <c:v>4.8400001525878897</c:v>
                </c:pt>
                <c:pt idx="802">
                  <c:v>4.76300001144409</c:v>
                </c:pt>
                <c:pt idx="803">
                  <c:v>4.76300001144409</c:v>
                </c:pt>
                <c:pt idx="804">
                  <c:v>4.76300001144409</c:v>
                </c:pt>
                <c:pt idx="805">
                  <c:v>4.7449998855590803</c:v>
                </c:pt>
                <c:pt idx="806">
                  <c:v>4.7350001335143999</c:v>
                </c:pt>
                <c:pt idx="807">
                  <c:v>4.6149997711181596</c:v>
                </c:pt>
                <c:pt idx="808">
                  <c:v>4.5929999351501403</c:v>
                </c:pt>
                <c:pt idx="809">
                  <c:v>4.54500007629394</c:v>
                </c:pt>
                <c:pt idx="810">
                  <c:v>4.54500007629394</c:v>
                </c:pt>
                <c:pt idx="811">
                  <c:v>4.54500007629394</c:v>
                </c:pt>
                <c:pt idx="812">
                  <c:v>4.5029997825622496</c:v>
                </c:pt>
                <c:pt idx="813">
                  <c:v>4.4949998855590803</c:v>
                </c:pt>
                <c:pt idx="814">
                  <c:v>4.4869999885559002</c:v>
                </c:pt>
                <c:pt idx="815">
                  <c:v>4.4679999351501403</c:v>
                </c:pt>
                <c:pt idx="816">
                  <c:v>4.4819998741149902</c:v>
                </c:pt>
                <c:pt idx="817">
                  <c:v>4.4819998741149902</c:v>
                </c:pt>
                <c:pt idx="818">
                  <c:v>4.4819998741149902</c:v>
                </c:pt>
                <c:pt idx="819">
                  <c:v>4.4980001449584899</c:v>
                </c:pt>
                <c:pt idx="820">
                  <c:v>4.4819998741149902</c:v>
                </c:pt>
                <c:pt idx="821">
                  <c:v>4.47300004959106</c:v>
                </c:pt>
                <c:pt idx="822">
                  <c:v>4.4650001525878897</c:v>
                </c:pt>
                <c:pt idx="823">
                  <c:v>4.50500011444091</c:v>
                </c:pt>
                <c:pt idx="824">
                  <c:v>4.50500011444091</c:v>
                </c:pt>
                <c:pt idx="825">
                  <c:v>4.50500011444091</c:v>
                </c:pt>
                <c:pt idx="826">
                  <c:v>4.5250000953674299</c:v>
                </c:pt>
                <c:pt idx="827">
                  <c:v>4.5279998779296804</c:v>
                </c:pt>
                <c:pt idx="828">
                  <c:v>4.5349998474120996</c:v>
                </c:pt>
                <c:pt idx="829">
                  <c:v>4.5300002098083496</c:v>
                </c:pt>
                <c:pt idx="830">
                  <c:v>4.5149998664855904</c:v>
                </c:pt>
                <c:pt idx="831">
                  <c:v>4.5149998664855904</c:v>
                </c:pt>
                <c:pt idx="832">
                  <c:v>4.5149998664855904</c:v>
                </c:pt>
                <c:pt idx="833">
                  <c:v>4.5180001258850098</c:v>
                </c:pt>
                <c:pt idx="834">
                  <c:v>4.5149998664855904</c:v>
                </c:pt>
                <c:pt idx="835">
                  <c:v>4.5029997825622496</c:v>
                </c:pt>
                <c:pt idx="836">
                  <c:v>4.5149998664855904</c:v>
                </c:pt>
                <c:pt idx="837">
                  <c:v>4.51300001144409</c:v>
                </c:pt>
                <c:pt idx="838">
                  <c:v>4.51300001144409</c:v>
                </c:pt>
                <c:pt idx="839">
                  <c:v>4.51300001144409</c:v>
                </c:pt>
                <c:pt idx="840">
                  <c:v>4.5180001258850098</c:v>
                </c:pt>
                <c:pt idx="841">
                  <c:v>4.5</c:v>
                </c:pt>
                <c:pt idx="842">
                  <c:v>4.50500011444091</c:v>
                </c:pt>
                <c:pt idx="843">
                  <c:v>4.4869999885559002</c:v>
                </c:pt>
                <c:pt idx="844">
                  <c:v>4.5100002288818297</c:v>
                </c:pt>
                <c:pt idx="845">
                  <c:v>4.5100002288818297</c:v>
                </c:pt>
                <c:pt idx="846">
                  <c:v>4.5100002288818297</c:v>
                </c:pt>
                <c:pt idx="847">
                  <c:v>4.4819998741149902</c:v>
                </c:pt>
                <c:pt idx="848">
                  <c:v>4.4800000190734801</c:v>
                </c:pt>
                <c:pt idx="849">
                  <c:v>4.4629998207092196</c:v>
                </c:pt>
                <c:pt idx="850">
                  <c:v>4.4320001602172798</c:v>
                </c:pt>
                <c:pt idx="851">
                  <c:v>4.4000000953674299</c:v>
                </c:pt>
                <c:pt idx="852">
                  <c:v>4.4000000953674299</c:v>
                </c:pt>
                <c:pt idx="853">
                  <c:v>4.4000000953674299</c:v>
                </c:pt>
                <c:pt idx="854">
                  <c:v>4.4180002212524396</c:v>
                </c:pt>
                <c:pt idx="855">
                  <c:v>4.4229998588562003</c:v>
                </c:pt>
                <c:pt idx="856">
                  <c:v>4.4299998283386204</c:v>
                </c:pt>
                <c:pt idx="857">
                  <c:v>4.42000007629394</c:v>
                </c:pt>
                <c:pt idx="858">
                  <c:v>4.4229998588562003</c:v>
                </c:pt>
                <c:pt idx="859">
                  <c:v>4.4229998588562003</c:v>
                </c:pt>
                <c:pt idx="860">
                  <c:v>4.4229998588562003</c:v>
                </c:pt>
                <c:pt idx="861">
                  <c:v>4.4149999618530202</c:v>
                </c:pt>
                <c:pt idx="862">
                  <c:v>4.4229998588562003</c:v>
                </c:pt>
                <c:pt idx="863">
                  <c:v>4.3899998664855904</c:v>
                </c:pt>
                <c:pt idx="864">
                  <c:v>4.3829998970031703</c:v>
                </c:pt>
                <c:pt idx="865">
                  <c:v>4.3930001258850098</c:v>
                </c:pt>
                <c:pt idx="866">
                  <c:v>4.3930001258850098</c:v>
                </c:pt>
                <c:pt idx="867">
                  <c:v>4.3930001258850098</c:v>
                </c:pt>
                <c:pt idx="868">
                  <c:v>4.4029998779296804</c:v>
                </c:pt>
                <c:pt idx="869">
                  <c:v>4.4079999923706001</c:v>
                </c:pt>
                <c:pt idx="870">
                  <c:v>4.4099998474120996</c:v>
                </c:pt>
                <c:pt idx="871">
                  <c:v>4.4130001068115199</c:v>
                </c:pt>
                <c:pt idx="872">
                  <c:v>4.4149999618530202</c:v>
                </c:pt>
                <c:pt idx="873">
                  <c:v>4.4149999618530202</c:v>
                </c:pt>
                <c:pt idx="874">
                  <c:v>4.4149999618530202</c:v>
                </c:pt>
                <c:pt idx="875">
                  <c:v>4.4050002098083496</c:v>
                </c:pt>
                <c:pt idx="876">
                  <c:v>4.3949999809265101</c:v>
                </c:pt>
                <c:pt idx="877">
                  <c:v>4.3850002288818297</c:v>
                </c:pt>
                <c:pt idx="878">
                  <c:v>4.3850002288818297</c:v>
                </c:pt>
                <c:pt idx="879">
                  <c:v>4.3730001449584899</c:v>
                </c:pt>
                <c:pt idx="880">
                  <c:v>4.3730001449584899</c:v>
                </c:pt>
                <c:pt idx="881">
                  <c:v>4.3730001449584899</c:v>
                </c:pt>
                <c:pt idx="882">
                  <c:v>4.38000011444091</c:v>
                </c:pt>
                <c:pt idx="883">
                  <c:v>4.3569998741149902</c:v>
                </c:pt>
                <c:pt idx="884">
                  <c:v>4.3449997901916504</c:v>
                </c:pt>
                <c:pt idx="885">
                  <c:v>4.3299999237060502</c:v>
                </c:pt>
                <c:pt idx="886">
                  <c:v>4.29500007629394</c:v>
                </c:pt>
                <c:pt idx="887">
                  <c:v>4.29500007629394</c:v>
                </c:pt>
                <c:pt idx="888">
                  <c:v>4.29500007629394</c:v>
                </c:pt>
                <c:pt idx="889">
                  <c:v>4.2930002212524396</c:v>
                </c:pt>
                <c:pt idx="890">
                  <c:v>4.2849998474120996</c:v>
                </c:pt>
                <c:pt idx="891">
                  <c:v>4.25500011444091</c:v>
                </c:pt>
                <c:pt idx="892">
                  <c:v>4.22300004959106</c:v>
                </c:pt>
                <c:pt idx="893">
                  <c:v>4.2179999351501403</c:v>
                </c:pt>
                <c:pt idx="894">
                  <c:v>4.2179999351501403</c:v>
                </c:pt>
                <c:pt idx="895">
                  <c:v>4.2179999351501403</c:v>
                </c:pt>
                <c:pt idx="896">
                  <c:v>4.2280001640319798</c:v>
                </c:pt>
                <c:pt idx="897">
                  <c:v>4.2399997711181596</c:v>
                </c:pt>
                <c:pt idx="898">
                  <c:v>4.2319998741149902</c:v>
                </c:pt>
                <c:pt idx="899">
                  <c:v>4.2199997901916504</c:v>
                </c:pt>
                <c:pt idx="900">
                  <c:v>4.2150001525878897</c:v>
                </c:pt>
                <c:pt idx="901">
                  <c:v>4.2150001525878897</c:v>
                </c:pt>
                <c:pt idx="902">
                  <c:v>4.2150001525878897</c:v>
                </c:pt>
                <c:pt idx="903">
                  <c:v>4.2150001525878897</c:v>
                </c:pt>
                <c:pt idx="904">
                  <c:v>4.1999998092651296</c:v>
                </c:pt>
                <c:pt idx="905">
                  <c:v>4.1999998092651296</c:v>
                </c:pt>
                <c:pt idx="906">
                  <c:v>4.2150001525878897</c:v>
                </c:pt>
                <c:pt idx="907">
                  <c:v>4.1779999732971103</c:v>
                </c:pt>
                <c:pt idx="908">
                  <c:v>4.1779999732971103</c:v>
                </c:pt>
                <c:pt idx="909">
                  <c:v>4.1779999732971103</c:v>
                </c:pt>
                <c:pt idx="910">
                  <c:v>4.1820001602172798</c:v>
                </c:pt>
                <c:pt idx="911">
                  <c:v>4.2080001831054599</c:v>
                </c:pt>
                <c:pt idx="912">
                  <c:v>4.2080001831054599</c:v>
                </c:pt>
                <c:pt idx="913">
                  <c:v>4.2080001831054599</c:v>
                </c:pt>
                <c:pt idx="914">
                  <c:v>4.1929998397827104</c:v>
                </c:pt>
                <c:pt idx="915">
                  <c:v>4.1929998397827104</c:v>
                </c:pt>
                <c:pt idx="916">
                  <c:v>4.1929998397827104</c:v>
                </c:pt>
                <c:pt idx="917">
                  <c:v>4.1900000572204501</c:v>
                </c:pt>
                <c:pt idx="918">
                  <c:v>4.2030000686645499</c:v>
                </c:pt>
                <c:pt idx="919">
                  <c:v>4.2049999237060502</c:v>
                </c:pt>
                <c:pt idx="920">
                  <c:v>4.2049999237060502</c:v>
                </c:pt>
                <c:pt idx="921">
                  <c:v>4.2129998207092196</c:v>
                </c:pt>
                <c:pt idx="922">
                  <c:v>4.2129998207092196</c:v>
                </c:pt>
                <c:pt idx="923">
                  <c:v>4.2129998207092196</c:v>
                </c:pt>
                <c:pt idx="924">
                  <c:v>4.2179999351501403</c:v>
                </c:pt>
                <c:pt idx="925">
                  <c:v>4.2129998207092196</c:v>
                </c:pt>
                <c:pt idx="926">
                  <c:v>4.2049999237060502</c:v>
                </c:pt>
                <c:pt idx="927">
                  <c:v>4.1950001716613698</c:v>
                </c:pt>
                <c:pt idx="928">
                  <c:v>4.1929998397827104</c:v>
                </c:pt>
                <c:pt idx="929">
                  <c:v>4.1929998397827104</c:v>
                </c:pt>
                <c:pt idx="930">
                  <c:v>4.1929998397827104</c:v>
                </c:pt>
                <c:pt idx="931">
                  <c:v>4.1929998397827104</c:v>
                </c:pt>
                <c:pt idx="932">
                  <c:v>4.19700002670288</c:v>
                </c:pt>
                <c:pt idx="933">
                  <c:v>4.2150001525878897</c:v>
                </c:pt>
                <c:pt idx="934">
                  <c:v>4.2129998207092196</c:v>
                </c:pt>
                <c:pt idx="935">
                  <c:v>4.2049999237060502</c:v>
                </c:pt>
                <c:pt idx="936">
                  <c:v>4.2049999237060502</c:v>
                </c:pt>
                <c:pt idx="937">
                  <c:v>4.2049999237060502</c:v>
                </c:pt>
                <c:pt idx="938">
                  <c:v>4.1880002021789497</c:v>
                </c:pt>
                <c:pt idx="939">
                  <c:v>4.1900000572204501</c:v>
                </c:pt>
                <c:pt idx="940">
                  <c:v>4.1880002021789497</c:v>
                </c:pt>
                <c:pt idx="941">
                  <c:v>4.1820001602172798</c:v>
                </c:pt>
                <c:pt idx="942">
                  <c:v>4.1880002021789497</c:v>
                </c:pt>
                <c:pt idx="943">
                  <c:v>4.1880002021789497</c:v>
                </c:pt>
                <c:pt idx="944">
                  <c:v>4.1880002021789497</c:v>
                </c:pt>
                <c:pt idx="945">
                  <c:v>4.1900000572204501</c:v>
                </c:pt>
                <c:pt idx="946">
                  <c:v>4.2129998207092196</c:v>
                </c:pt>
                <c:pt idx="947">
                  <c:v>4.21000003814697</c:v>
                </c:pt>
                <c:pt idx="948">
                  <c:v>4.2129998207092196</c:v>
                </c:pt>
                <c:pt idx="949">
                  <c:v>4.2280001640319798</c:v>
                </c:pt>
                <c:pt idx="950">
                  <c:v>4.2280001640319798</c:v>
                </c:pt>
                <c:pt idx="951">
                  <c:v>4.2280001640319798</c:v>
                </c:pt>
                <c:pt idx="952">
                  <c:v>4.2280001640319798</c:v>
                </c:pt>
                <c:pt idx="953">
                  <c:v>4.2249999046325604</c:v>
                </c:pt>
                <c:pt idx="954">
                  <c:v>4.2280001640319798</c:v>
                </c:pt>
                <c:pt idx="955">
                  <c:v>4.2129998207092196</c:v>
                </c:pt>
                <c:pt idx="956">
                  <c:v>4.2129998207092196</c:v>
                </c:pt>
                <c:pt idx="957">
                  <c:v>4.2129998207092196</c:v>
                </c:pt>
                <c:pt idx="958">
                  <c:v>4.2129998207092196</c:v>
                </c:pt>
                <c:pt idx="959">
                  <c:v>4.2129998207092196</c:v>
                </c:pt>
                <c:pt idx="960">
                  <c:v>4.2129998207092196</c:v>
                </c:pt>
                <c:pt idx="961">
                  <c:v>4.2179999351501403</c:v>
                </c:pt>
                <c:pt idx="962">
                  <c:v>4.2049999237060502</c:v>
                </c:pt>
                <c:pt idx="963">
                  <c:v>4.19700002670288</c:v>
                </c:pt>
                <c:pt idx="964">
                  <c:v>4.19700002670288</c:v>
                </c:pt>
                <c:pt idx="965">
                  <c:v>4.19700002670288</c:v>
                </c:pt>
                <c:pt idx="966">
                  <c:v>4.1900000572204501</c:v>
                </c:pt>
                <c:pt idx="967">
                  <c:v>4.1820001602172798</c:v>
                </c:pt>
                <c:pt idx="968">
                  <c:v>4.1929998397827104</c:v>
                </c:pt>
                <c:pt idx="969">
                  <c:v>4.1950001716613698</c:v>
                </c:pt>
                <c:pt idx="970">
                  <c:v>4.1929998397827104</c:v>
                </c:pt>
                <c:pt idx="971">
                  <c:v>4.1929998397827104</c:v>
                </c:pt>
                <c:pt idx="972">
                  <c:v>4.1929998397827104</c:v>
                </c:pt>
                <c:pt idx="973">
                  <c:v>4.1929998397827104</c:v>
                </c:pt>
                <c:pt idx="974">
                  <c:v>4.1950001716613698</c:v>
                </c:pt>
                <c:pt idx="975">
                  <c:v>4.2049999237060502</c:v>
                </c:pt>
                <c:pt idx="976">
                  <c:v>4.19700002670288</c:v>
                </c:pt>
                <c:pt idx="977">
                  <c:v>4.19700002670288</c:v>
                </c:pt>
                <c:pt idx="978">
                  <c:v>4.19700002670288</c:v>
                </c:pt>
                <c:pt idx="979">
                  <c:v>4.19700002670288</c:v>
                </c:pt>
                <c:pt idx="980">
                  <c:v>4.1849999427795401</c:v>
                </c:pt>
                <c:pt idx="981">
                  <c:v>4.1950001716613698</c:v>
                </c:pt>
                <c:pt idx="982">
                  <c:v>4.19700002670288</c:v>
                </c:pt>
                <c:pt idx="983">
                  <c:v>4.1880002021789497</c:v>
                </c:pt>
                <c:pt idx="984">
                  <c:v>4.1880002021789497</c:v>
                </c:pt>
                <c:pt idx="985">
                  <c:v>4.1880002021789497</c:v>
                </c:pt>
                <c:pt idx="986">
                  <c:v>4.1880002021789497</c:v>
                </c:pt>
                <c:pt idx="987">
                  <c:v>4.1880002021789497</c:v>
                </c:pt>
                <c:pt idx="988">
                  <c:v>4.1950001716613698</c:v>
                </c:pt>
                <c:pt idx="989">
                  <c:v>4.1900000572204501</c:v>
                </c:pt>
                <c:pt idx="990">
                  <c:v>4.1820001602172798</c:v>
                </c:pt>
                <c:pt idx="991">
                  <c:v>4.1849999427795401</c:v>
                </c:pt>
                <c:pt idx="992">
                  <c:v>4.1849999427795401</c:v>
                </c:pt>
                <c:pt idx="993">
                  <c:v>4.1849999427795401</c:v>
                </c:pt>
                <c:pt idx="994">
                  <c:v>4.1820001602172798</c:v>
                </c:pt>
                <c:pt idx="995">
                  <c:v>4.1820001602172798</c:v>
                </c:pt>
                <c:pt idx="996">
                  <c:v>4.1900000572204501</c:v>
                </c:pt>
                <c:pt idx="997">
                  <c:v>4.1880002021789497</c:v>
                </c:pt>
                <c:pt idx="998">
                  <c:v>4.1880002021789497</c:v>
                </c:pt>
                <c:pt idx="999">
                  <c:v>4.1880002021789497</c:v>
                </c:pt>
                <c:pt idx="1000">
                  <c:v>4.1880002021789497</c:v>
                </c:pt>
              </c:numCache>
            </c:numRef>
          </c:val>
          <c:smooth val="0"/>
          <c:extLst>
            <c:ext xmlns:c16="http://schemas.microsoft.com/office/drawing/2014/chart" uri="{C3380CC4-5D6E-409C-BE32-E72D297353CC}">
              <c16:uniqueId val="{00000001-EF84-4D50-83FC-094FBAED4E53}"/>
            </c:ext>
          </c:extLst>
        </c:ser>
        <c:dLbls>
          <c:showLegendKey val="0"/>
          <c:showVal val="0"/>
          <c:showCatName val="0"/>
          <c:showSerName val="0"/>
          <c:showPercent val="0"/>
          <c:showBubbleSize val="0"/>
        </c:dLbls>
        <c:marker val="1"/>
        <c:smooth val="0"/>
        <c:axId val="736376864"/>
        <c:axId val="736375424"/>
      </c:lineChart>
      <c:catAx>
        <c:axId val="40934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09342336"/>
        <c:crosses val="autoZero"/>
        <c:auto val="1"/>
        <c:lblAlgn val="ctr"/>
        <c:lblOffset val="100"/>
        <c:noMultiLvlLbl val="0"/>
      </c:catAx>
      <c:valAx>
        <c:axId val="40934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09343776"/>
        <c:crosses val="autoZero"/>
        <c:crossBetween val="between"/>
      </c:valAx>
      <c:valAx>
        <c:axId val="73637542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36376864"/>
        <c:crosses val="max"/>
        <c:crossBetween val="between"/>
      </c:valAx>
      <c:catAx>
        <c:axId val="736376864"/>
        <c:scaling>
          <c:orientation val="minMax"/>
        </c:scaling>
        <c:delete val="1"/>
        <c:axPos val="b"/>
        <c:numFmt formatCode="General" sourceLinked="1"/>
        <c:majorTickMark val="out"/>
        <c:minorTickMark val="none"/>
        <c:tickLblPos val="nextTo"/>
        <c:crossAx val="7363754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[FerreiraFabianBTCfinal.xlsm]BTC-GOLD!TablaDinámica12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BTC comparado al oro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'BTC-GOLD'!$C$3</c:f>
              <c:strCache>
                <c:ptCount val="1"/>
                <c:pt idx="0">
                  <c:v>Promedio de cierre BTC</c:v>
                </c:pt>
              </c:strCache>
            </c:strRef>
          </c:tx>
          <c:spPr>
            <a:ln w="28575" cap="rnd">
              <a:solidFill>
                <a:schemeClr val="accent1"/>
              </a:solidFill>
              <a:round/>
            </a:ln>
            <a:effectLst/>
          </c:spPr>
          <c:marker>
            <c:symbol val="none"/>
          </c:marker>
          <c:trendline>
            <c:spPr>
              <a:ln w="19050" cap="rnd">
                <a:solidFill>
                  <a:srgbClr val="00B0F0"/>
                </a:solidFill>
                <a:prstDash val="solid"/>
              </a:ln>
              <a:effectLst/>
            </c:spPr>
            <c:trendlineType val="linear"/>
            <c:dispRSqr val="0"/>
            <c:dispEq val="0"/>
          </c:trendline>
          <c:cat>
            <c:strRef>
              <c:f>'BTC-GOLD'!$B$4:$B$1005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'BTC-GOLD'!$C$4:$C$1005</c:f>
              <c:numCache>
                <c:formatCode>_("$"* #,##0.00_);_("$"* \(#,##0.00\);_("$"* "-"??_);_(@_)</c:formatCode>
                <c:ptCount val="1001"/>
                <c:pt idx="0">
                  <c:v>20231.259999999998</c:v>
                </c:pt>
                <c:pt idx="1">
                  <c:v>20190.12</c:v>
                </c:pt>
                <c:pt idx="2">
                  <c:v>20548.25</c:v>
                </c:pt>
                <c:pt idx="3">
                  <c:v>21637.59</c:v>
                </c:pt>
                <c:pt idx="4">
                  <c:v>21731.119999999999</c:v>
                </c:pt>
                <c:pt idx="5">
                  <c:v>21592.21</c:v>
                </c:pt>
                <c:pt idx="6">
                  <c:v>20860.45</c:v>
                </c:pt>
                <c:pt idx="7">
                  <c:v>19970.560000000001</c:v>
                </c:pt>
                <c:pt idx="8">
                  <c:v>19323.91</c:v>
                </c:pt>
                <c:pt idx="9">
                  <c:v>20212.07</c:v>
                </c:pt>
                <c:pt idx="10">
                  <c:v>20569.919999999998</c:v>
                </c:pt>
                <c:pt idx="11">
                  <c:v>20836.330000000002</c:v>
                </c:pt>
                <c:pt idx="12">
                  <c:v>21190.32</c:v>
                </c:pt>
                <c:pt idx="13">
                  <c:v>20779.34</c:v>
                </c:pt>
                <c:pt idx="14">
                  <c:v>22485.69</c:v>
                </c:pt>
                <c:pt idx="15">
                  <c:v>23389.43</c:v>
                </c:pt>
                <c:pt idx="16">
                  <c:v>23231.73</c:v>
                </c:pt>
                <c:pt idx="17">
                  <c:v>23164.63</c:v>
                </c:pt>
                <c:pt idx="18">
                  <c:v>22714.98</c:v>
                </c:pt>
                <c:pt idx="19">
                  <c:v>22465.48</c:v>
                </c:pt>
                <c:pt idx="20">
                  <c:v>22609.16</c:v>
                </c:pt>
                <c:pt idx="21">
                  <c:v>21361.7</c:v>
                </c:pt>
                <c:pt idx="22">
                  <c:v>21239.75</c:v>
                </c:pt>
                <c:pt idx="23">
                  <c:v>22930.55</c:v>
                </c:pt>
                <c:pt idx="24">
                  <c:v>23843.89</c:v>
                </c:pt>
                <c:pt idx="25">
                  <c:v>23804.63</c:v>
                </c:pt>
                <c:pt idx="26">
                  <c:v>23656.21</c:v>
                </c:pt>
                <c:pt idx="27">
                  <c:v>23336.9</c:v>
                </c:pt>
                <c:pt idx="28">
                  <c:v>23314.2</c:v>
                </c:pt>
                <c:pt idx="29">
                  <c:v>22978.12</c:v>
                </c:pt>
                <c:pt idx="30">
                  <c:v>22846.51</c:v>
                </c:pt>
                <c:pt idx="31">
                  <c:v>22630.959999999999</c:v>
                </c:pt>
                <c:pt idx="32">
                  <c:v>23289.31</c:v>
                </c:pt>
                <c:pt idx="33">
                  <c:v>22961.279999999999</c:v>
                </c:pt>
                <c:pt idx="34">
                  <c:v>23175.89</c:v>
                </c:pt>
                <c:pt idx="35">
                  <c:v>23809.49</c:v>
                </c:pt>
                <c:pt idx="36">
                  <c:v>23164.32</c:v>
                </c:pt>
                <c:pt idx="37">
                  <c:v>23947.64</c:v>
                </c:pt>
                <c:pt idx="38">
                  <c:v>23957.53</c:v>
                </c:pt>
                <c:pt idx="39">
                  <c:v>24402.82</c:v>
                </c:pt>
                <c:pt idx="40">
                  <c:v>24424.07</c:v>
                </c:pt>
                <c:pt idx="41">
                  <c:v>24319.33</c:v>
                </c:pt>
                <c:pt idx="42">
                  <c:v>24136.97</c:v>
                </c:pt>
                <c:pt idx="43">
                  <c:v>23883.29</c:v>
                </c:pt>
                <c:pt idx="44">
                  <c:v>23336</c:v>
                </c:pt>
                <c:pt idx="45">
                  <c:v>23212.74</c:v>
                </c:pt>
                <c:pt idx="46">
                  <c:v>20877.55</c:v>
                </c:pt>
                <c:pt idx="47">
                  <c:v>21166.06</c:v>
                </c:pt>
                <c:pt idx="48">
                  <c:v>21534.12</c:v>
                </c:pt>
                <c:pt idx="49">
                  <c:v>21398.91</c:v>
                </c:pt>
                <c:pt idx="50">
                  <c:v>21528.09</c:v>
                </c:pt>
                <c:pt idx="51">
                  <c:v>21395.02</c:v>
                </c:pt>
                <c:pt idx="52">
                  <c:v>21600.9</c:v>
                </c:pt>
                <c:pt idx="53">
                  <c:v>20260.02</c:v>
                </c:pt>
                <c:pt idx="54">
                  <c:v>20041.740000000002</c:v>
                </c:pt>
                <c:pt idx="55">
                  <c:v>19616.810000000001</c:v>
                </c:pt>
                <c:pt idx="56">
                  <c:v>20297.990000000002</c:v>
                </c:pt>
                <c:pt idx="57">
                  <c:v>19796.810000000001</c:v>
                </c:pt>
                <c:pt idx="58">
                  <c:v>20049.759999999998</c:v>
                </c:pt>
                <c:pt idx="59">
                  <c:v>20127.14</c:v>
                </c:pt>
                <c:pt idx="60">
                  <c:v>19969.77</c:v>
                </c:pt>
                <c:pt idx="61">
                  <c:v>19832.09</c:v>
                </c:pt>
                <c:pt idx="62">
                  <c:v>19986.71</c:v>
                </c:pt>
                <c:pt idx="63">
                  <c:v>19812.37</c:v>
                </c:pt>
                <c:pt idx="64">
                  <c:v>18837.669999999998</c:v>
                </c:pt>
                <c:pt idx="65">
                  <c:v>19290.32</c:v>
                </c:pt>
                <c:pt idx="66">
                  <c:v>19329.830000000002</c:v>
                </c:pt>
                <c:pt idx="67">
                  <c:v>21381.15</c:v>
                </c:pt>
                <c:pt idx="68">
                  <c:v>21680.54</c:v>
                </c:pt>
                <c:pt idx="69">
                  <c:v>21769.26</c:v>
                </c:pt>
                <c:pt idx="70">
                  <c:v>22370.45</c:v>
                </c:pt>
                <c:pt idx="71">
                  <c:v>20296.71</c:v>
                </c:pt>
                <c:pt idx="72">
                  <c:v>20241.09</c:v>
                </c:pt>
                <c:pt idx="73">
                  <c:v>19701.21</c:v>
                </c:pt>
                <c:pt idx="74">
                  <c:v>19772.580000000002</c:v>
                </c:pt>
                <c:pt idx="75">
                  <c:v>20127.580000000002</c:v>
                </c:pt>
                <c:pt idx="76">
                  <c:v>19419.509999999998</c:v>
                </c:pt>
                <c:pt idx="77">
                  <c:v>19544.13</c:v>
                </c:pt>
                <c:pt idx="78">
                  <c:v>18890.79</c:v>
                </c:pt>
                <c:pt idx="79">
                  <c:v>18547.400000000001</c:v>
                </c:pt>
                <c:pt idx="80">
                  <c:v>19413.55</c:v>
                </c:pt>
                <c:pt idx="81">
                  <c:v>19297.64</c:v>
                </c:pt>
                <c:pt idx="82">
                  <c:v>18937.009999999998</c:v>
                </c:pt>
                <c:pt idx="83">
                  <c:v>18802.099999999999</c:v>
                </c:pt>
                <c:pt idx="84">
                  <c:v>19222.669999999998</c:v>
                </c:pt>
                <c:pt idx="85">
                  <c:v>19110.55</c:v>
                </c:pt>
                <c:pt idx="86">
                  <c:v>19426.72</c:v>
                </c:pt>
                <c:pt idx="87">
                  <c:v>19573.05</c:v>
                </c:pt>
                <c:pt idx="88">
                  <c:v>19431.79</c:v>
                </c:pt>
                <c:pt idx="89">
                  <c:v>19312.099999999999</c:v>
                </c:pt>
                <c:pt idx="90">
                  <c:v>19044.11</c:v>
                </c:pt>
                <c:pt idx="91">
                  <c:v>19623.580000000002</c:v>
                </c:pt>
                <c:pt idx="92">
                  <c:v>20336.84</c:v>
                </c:pt>
                <c:pt idx="93">
                  <c:v>20160.72</c:v>
                </c:pt>
                <c:pt idx="94">
                  <c:v>19955.439999999999</c:v>
                </c:pt>
                <c:pt idx="95">
                  <c:v>19546.849999999999</c:v>
                </c:pt>
                <c:pt idx="96">
                  <c:v>19416.57</c:v>
                </c:pt>
                <c:pt idx="97">
                  <c:v>19446.43</c:v>
                </c:pt>
                <c:pt idx="98">
                  <c:v>19141.48</c:v>
                </c:pt>
                <c:pt idx="99">
                  <c:v>19051.419999999998</c:v>
                </c:pt>
                <c:pt idx="100">
                  <c:v>19157.45</c:v>
                </c:pt>
                <c:pt idx="101">
                  <c:v>19382.900000000001</c:v>
                </c:pt>
                <c:pt idx="102">
                  <c:v>19185.66</c:v>
                </c:pt>
                <c:pt idx="103">
                  <c:v>19067.63</c:v>
                </c:pt>
                <c:pt idx="104">
                  <c:v>19268.09</c:v>
                </c:pt>
                <c:pt idx="105">
                  <c:v>19550.759999999998</c:v>
                </c:pt>
                <c:pt idx="106">
                  <c:v>19334.419999999998</c:v>
                </c:pt>
                <c:pt idx="107">
                  <c:v>19139.54</c:v>
                </c:pt>
                <c:pt idx="108">
                  <c:v>19053.740000000002</c:v>
                </c:pt>
                <c:pt idx="109">
                  <c:v>19172.47</c:v>
                </c:pt>
                <c:pt idx="110">
                  <c:v>19208.189999999999</c:v>
                </c:pt>
                <c:pt idx="111">
                  <c:v>19567.009999999998</c:v>
                </c:pt>
                <c:pt idx="112">
                  <c:v>19345.57</c:v>
                </c:pt>
                <c:pt idx="113">
                  <c:v>20095.86</c:v>
                </c:pt>
                <c:pt idx="114">
                  <c:v>20770.439999999999</c:v>
                </c:pt>
                <c:pt idx="115">
                  <c:v>20285.84</c:v>
                </c:pt>
                <c:pt idx="116">
                  <c:v>20595.349999999999</c:v>
                </c:pt>
                <c:pt idx="117">
                  <c:v>20818.48</c:v>
                </c:pt>
                <c:pt idx="118">
                  <c:v>20635.599999999999</c:v>
                </c:pt>
                <c:pt idx="119">
                  <c:v>20495.77</c:v>
                </c:pt>
                <c:pt idx="120">
                  <c:v>20485.27</c:v>
                </c:pt>
                <c:pt idx="121">
                  <c:v>20159.5</c:v>
                </c:pt>
                <c:pt idx="122">
                  <c:v>20209.990000000002</c:v>
                </c:pt>
                <c:pt idx="123">
                  <c:v>21147.23</c:v>
                </c:pt>
                <c:pt idx="124">
                  <c:v>21282.69</c:v>
                </c:pt>
                <c:pt idx="125">
                  <c:v>20926.490000000002</c:v>
                </c:pt>
                <c:pt idx="126">
                  <c:v>20602.82</c:v>
                </c:pt>
                <c:pt idx="127">
                  <c:v>18541.27</c:v>
                </c:pt>
                <c:pt idx="128">
                  <c:v>15880.78</c:v>
                </c:pt>
                <c:pt idx="129">
                  <c:v>17586.77</c:v>
                </c:pt>
                <c:pt idx="130">
                  <c:v>17034.29</c:v>
                </c:pt>
                <c:pt idx="131">
                  <c:v>16799.189999999999</c:v>
                </c:pt>
                <c:pt idx="132">
                  <c:v>16353.37</c:v>
                </c:pt>
                <c:pt idx="133">
                  <c:v>16618.2</c:v>
                </c:pt>
                <c:pt idx="134">
                  <c:v>16884.61</c:v>
                </c:pt>
                <c:pt idx="135">
                  <c:v>16669.439999999999</c:v>
                </c:pt>
                <c:pt idx="136">
                  <c:v>16687.52</c:v>
                </c:pt>
                <c:pt idx="137">
                  <c:v>16697.78</c:v>
                </c:pt>
                <c:pt idx="138">
                  <c:v>16711.55</c:v>
                </c:pt>
                <c:pt idx="139">
                  <c:v>16291.83</c:v>
                </c:pt>
                <c:pt idx="140">
                  <c:v>15787.28</c:v>
                </c:pt>
                <c:pt idx="141">
                  <c:v>16189.77</c:v>
                </c:pt>
                <c:pt idx="142">
                  <c:v>16610.71</c:v>
                </c:pt>
                <c:pt idx="143">
                  <c:v>16604.46</c:v>
                </c:pt>
                <c:pt idx="144">
                  <c:v>16521.84</c:v>
                </c:pt>
                <c:pt idx="145">
                  <c:v>16464.28</c:v>
                </c:pt>
                <c:pt idx="146">
                  <c:v>16444.63</c:v>
                </c:pt>
                <c:pt idx="147">
                  <c:v>16217.32</c:v>
                </c:pt>
                <c:pt idx="148">
                  <c:v>16444.98</c:v>
                </c:pt>
                <c:pt idx="149">
                  <c:v>17168.57</c:v>
                </c:pt>
                <c:pt idx="150">
                  <c:v>16967.13</c:v>
                </c:pt>
                <c:pt idx="151">
                  <c:v>17088.66</c:v>
                </c:pt>
                <c:pt idx="152">
                  <c:v>16908.240000000002</c:v>
                </c:pt>
                <c:pt idx="153">
                  <c:v>17130.490000000002</c:v>
                </c:pt>
                <c:pt idx="154">
                  <c:v>16974.830000000002</c:v>
                </c:pt>
                <c:pt idx="155">
                  <c:v>17089.5</c:v>
                </c:pt>
                <c:pt idx="156">
                  <c:v>16848.13</c:v>
                </c:pt>
                <c:pt idx="157">
                  <c:v>17233.47</c:v>
                </c:pt>
                <c:pt idx="158">
                  <c:v>17133.150000000001</c:v>
                </c:pt>
                <c:pt idx="159">
                  <c:v>17128.72</c:v>
                </c:pt>
                <c:pt idx="160">
                  <c:v>17104.189999999999</c:v>
                </c:pt>
                <c:pt idx="161">
                  <c:v>17206.439999999999</c:v>
                </c:pt>
                <c:pt idx="162">
                  <c:v>17781.32</c:v>
                </c:pt>
                <c:pt idx="163">
                  <c:v>17815.650000000001</c:v>
                </c:pt>
                <c:pt idx="164">
                  <c:v>17364.87</c:v>
                </c:pt>
                <c:pt idx="165">
                  <c:v>16647.48</c:v>
                </c:pt>
                <c:pt idx="166">
                  <c:v>16795.09</c:v>
                </c:pt>
                <c:pt idx="167">
                  <c:v>16757.98</c:v>
                </c:pt>
                <c:pt idx="168">
                  <c:v>16439.68</c:v>
                </c:pt>
                <c:pt idx="169">
                  <c:v>16906.3</c:v>
                </c:pt>
                <c:pt idx="170">
                  <c:v>16817.54</c:v>
                </c:pt>
                <c:pt idx="171">
                  <c:v>16830.34</c:v>
                </c:pt>
                <c:pt idx="172">
                  <c:v>16796.95</c:v>
                </c:pt>
                <c:pt idx="173">
                  <c:v>16847.759999999998</c:v>
                </c:pt>
                <c:pt idx="174">
                  <c:v>16841.990000000002</c:v>
                </c:pt>
                <c:pt idx="175">
                  <c:v>16919.8</c:v>
                </c:pt>
                <c:pt idx="176">
                  <c:v>16717.169999999998</c:v>
                </c:pt>
                <c:pt idx="177">
                  <c:v>16552.57</c:v>
                </c:pt>
                <c:pt idx="178">
                  <c:v>16642.34</c:v>
                </c:pt>
                <c:pt idx="179">
                  <c:v>16602.59</c:v>
                </c:pt>
                <c:pt idx="180">
                  <c:v>16547.5</c:v>
                </c:pt>
                <c:pt idx="181">
                  <c:v>16625.080000000002</c:v>
                </c:pt>
                <c:pt idx="182">
                  <c:v>16688.47</c:v>
                </c:pt>
                <c:pt idx="183">
                  <c:v>16679.86</c:v>
                </c:pt>
                <c:pt idx="184">
                  <c:v>16863.240000000002</c:v>
                </c:pt>
                <c:pt idx="185">
                  <c:v>16836.740000000002</c:v>
                </c:pt>
                <c:pt idx="186">
                  <c:v>16951.97</c:v>
                </c:pt>
                <c:pt idx="187">
                  <c:v>16955.080000000002</c:v>
                </c:pt>
                <c:pt idx="188">
                  <c:v>17091.14</c:v>
                </c:pt>
                <c:pt idx="189">
                  <c:v>17196.55</c:v>
                </c:pt>
                <c:pt idx="190">
                  <c:v>17446.29</c:v>
                </c:pt>
                <c:pt idx="191">
                  <c:v>17934.900000000001</c:v>
                </c:pt>
                <c:pt idx="192">
                  <c:v>18869.59</c:v>
                </c:pt>
                <c:pt idx="193">
                  <c:v>19909.57</c:v>
                </c:pt>
                <c:pt idx="194">
                  <c:v>20976.3</c:v>
                </c:pt>
                <c:pt idx="195">
                  <c:v>20880.8</c:v>
                </c:pt>
                <c:pt idx="196">
                  <c:v>21169.63</c:v>
                </c:pt>
                <c:pt idx="197">
                  <c:v>21161.52</c:v>
                </c:pt>
                <c:pt idx="198">
                  <c:v>20688.78</c:v>
                </c:pt>
                <c:pt idx="199">
                  <c:v>21086.79</c:v>
                </c:pt>
                <c:pt idx="200">
                  <c:v>22676.55</c:v>
                </c:pt>
                <c:pt idx="201">
                  <c:v>22777.63</c:v>
                </c:pt>
                <c:pt idx="202">
                  <c:v>22720.42</c:v>
                </c:pt>
                <c:pt idx="203">
                  <c:v>22934.43</c:v>
                </c:pt>
                <c:pt idx="204">
                  <c:v>22636.47</c:v>
                </c:pt>
                <c:pt idx="205">
                  <c:v>23117.86</c:v>
                </c:pt>
                <c:pt idx="206">
                  <c:v>23032.78</c:v>
                </c:pt>
                <c:pt idx="207">
                  <c:v>23078.73</c:v>
                </c:pt>
                <c:pt idx="208">
                  <c:v>23031.09</c:v>
                </c:pt>
                <c:pt idx="209">
                  <c:v>23774.57</c:v>
                </c:pt>
                <c:pt idx="210">
                  <c:v>22840.14</c:v>
                </c:pt>
                <c:pt idx="211">
                  <c:v>23139.279999999999</c:v>
                </c:pt>
                <c:pt idx="212">
                  <c:v>23723.77</c:v>
                </c:pt>
                <c:pt idx="213">
                  <c:v>23471.87</c:v>
                </c:pt>
                <c:pt idx="214">
                  <c:v>23449.32</c:v>
                </c:pt>
                <c:pt idx="215">
                  <c:v>23331.85</c:v>
                </c:pt>
                <c:pt idx="216">
                  <c:v>22955.67</c:v>
                </c:pt>
                <c:pt idx="217">
                  <c:v>22760.11</c:v>
                </c:pt>
                <c:pt idx="218">
                  <c:v>23264.29</c:v>
                </c:pt>
                <c:pt idx="219">
                  <c:v>22939.4</c:v>
                </c:pt>
                <c:pt idx="220">
                  <c:v>21819.040000000001</c:v>
                </c:pt>
                <c:pt idx="221">
                  <c:v>21651.18</c:v>
                </c:pt>
                <c:pt idx="222">
                  <c:v>21870.880000000001</c:v>
                </c:pt>
                <c:pt idx="223">
                  <c:v>21788.2</c:v>
                </c:pt>
                <c:pt idx="224">
                  <c:v>21808.1</c:v>
                </c:pt>
                <c:pt idx="225">
                  <c:v>22220.799999999999</c:v>
                </c:pt>
                <c:pt idx="226">
                  <c:v>24307.84</c:v>
                </c:pt>
                <c:pt idx="227">
                  <c:v>23623.47</c:v>
                </c:pt>
                <c:pt idx="228">
                  <c:v>24565.599999999999</c:v>
                </c:pt>
                <c:pt idx="229">
                  <c:v>24641.279999999999</c:v>
                </c:pt>
                <c:pt idx="230">
                  <c:v>24327.64</c:v>
                </c:pt>
                <c:pt idx="231">
                  <c:v>24829.15</c:v>
                </c:pt>
                <c:pt idx="232">
                  <c:v>24436.35</c:v>
                </c:pt>
                <c:pt idx="233">
                  <c:v>24188.84</c:v>
                </c:pt>
                <c:pt idx="234">
                  <c:v>23947.49</c:v>
                </c:pt>
                <c:pt idx="235">
                  <c:v>23198.13</c:v>
                </c:pt>
                <c:pt idx="236">
                  <c:v>23175.38</c:v>
                </c:pt>
                <c:pt idx="237">
                  <c:v>23561.21</c:v>
                </c:pt>
                <c:pt idx="238">
                  <c:v>23522.87</c:v>
                </c:pt>
                <c:pt idx="239">
                  <c:v>23147.35</c:v>
                </c:pt>
                <c:pt idx="240">
                  <c:v>23646.55</c:v>
                </c:pt>
                <c:pt idx="241">
                  <c:v>23475.47</c:v>
                </c:pt>
                <c:pt idx="242">
                  <c:v>22362.68</c:v>
                </c:pt>
                <c:pt idx="243">
                  <c:v>22353.35</c:v>
                </c:pt>
                <c:pt idx="244">
                  <c:v>22435.51</c:v>
                </c:pt>
                <c:pt idx="245">
                  <c:v>22429.759999999998</c:v>
                </c:pt>
                <c:pt idx="246">
                  <c:v>22219.77</c:v>
                </c:pt>
                <c:pt idx="247">
                  <c:v>21718.080000000002</c:v>
                </c:pt>
                <c:pt idx="248">
                  <c:v>20363.02</c:v>
                </c:pt>
                <c:pt idx="249">
                  <c:v>20187.240000000002</c:v>
                </c:pt>
                <c:pt idx="250">
                  <c:v>20632.41</c:v>
                </c:pt>
                <c:pt idx="251">
                  <c:v>22163.95</c:v>
                </c:pt>
                <c:pt idx="252">
                  <c:v>24197.53</c:v>
                </c:pt>
                <c:pt idx="253">
                  <c:v>24746.07</c:v>
                </c:pt>
                <c:pt idx="254">
                  <c:v>24375.96</c:v>
                </c:pt>
                <c:pt idx="255">
                  <c:v>25052.79</c:v>
                </c:pt>
                <c:pt idx="256">
                  <c:v>27423.93</c:v>
                </c:pt>
                <c:pt idx="257">
                  <c:v>26965.88</c:v>
                </c:pt>
                <c:pt idx="258">
                  <c:v>28038.68</c:v>
                </c:pt>
                <c:pt idx="259">
                  <c:v>27767.24</c:v>
                </c:pt>
                <c:pt idx="260">
                  <c:v>28175.82</c:v>
                </c:pt>
                <c:pt idx="261">
                  <c:v>27307.439999999999</c:v>
                </c:pt>
                <c:pt idx="262">
                  <c:v>28333.97</c:v>
                </c:pt>
                <c:pt idx="263">
                  <c:v>27493.29</c:v>
                </c:pt>
                <c:pt idx="264">
                  <c:v>27494.71</c:v>
                </c:pt>
                <c:pt idx="265">
                  <c:v>27994.33</c:v>
                </c:pt>
                <c:pt idx="266">
                  <c:v>27139.89</c:v>
                </c:pt>
                <c:pt idx="267">
                  <c:v>27268.13</c:v>
                </c:pt>
                <c:pt idx="268">
                  <c:v>28348.44</c:v>
                </c:pt>
                <c:pt idx="269">
                  <c:v>28033.56</c:v>
                </c:pt>
                <c:pt idx="270">
                  <c:v>28478.48</c:v>
                </c:pt>
                <c:pt idx="271">
                  <c:v>28411.040000000001</c:v>
                </c:pt>
                <c:pt idx="272">
                  <c:v>28199.31</c:v>
                </c:pt>
                <c:pt idx="273">
                  <c:v>27790.22</c:v>
                </c:pt>
                <c:pt idx="274">
                  <c:v>28168.09</c:v>
                </c:pt>
                <c:pt idx="275">
                  <c:v>28177.98</c:v>
                </c:pt>
                <c:pt idx="276">
                  <c:v>28044.14</c:v>
                </c:pt>
                <c:pt idx="277">
                  <c:v>27925.86</c:v>
                </c:pt>
                <c:pt idx="278">
                  <c:v>27947.79</c:v>
                </c:pt>
                <c:pt idx="279">
                  <c:v>28333.05</c:v>
                </c:pt>
                <c:pt idx="280">
                  <c:v>29652.98</c:v>
                </c:pt>
                <c:pt idx="281">
                  <c:v>30235.06</c:v>
                </c:pt>
                <c:pt idx="282">
                  <c:v>30139.05</c:v>
                </c:pt>
                <c:pt idx="283">
                  <c:v>30399.07</c:v>
                </c:pt>
                <c:pt idx="284">
                  <c:v>30485.7</c:v>
                </c:pt>
                <c:pt idx="285">
                  <c:v>30318.5</c:v>
                </c:pt>
                <c:pt idx="286">
                  <c:v>30315.360000000001</c:v>
                </c:pt>
                <c:pt idx="287">
                  <c:v>29445.040000000001</c:v>
                </c:pt>
                <c:pt idx="288">
                  <c:v>30397.55</c:v>
                </c:pt>
                <c:pt idx="289">
                  <c:v>28822.68</c:v>
                </c:pt>
                <c:pt idx="290">
                  <c:v>28245.99</c:v>
                </c:pt>
                <c:pt idx="291">
                  <c:v>27276.91</c:v>
                </c:pt>
                <c:pt idx="292">
                  <c:v>27817.5</c:v>
                </c:pt>
                <c:pt idx="293">
                  <c:v>27591.38</c:v>
                </c:pt>
                <c:pt idx="294">
                  <c:v>27525.34</c:v>
                </c:pt>
                <c:pt idx="295">
                  <c:v>28307.599999999999</c:v>
                </c:pt>
                <c:pt idx="296">
                  <c:v>28422.7</c:v>
                </c:pt>
                <c:pt idx="297">
                  <c:v>29473.79</c:v>
                </c:pt>
                <c:pt idx="298">
                  <c:v>29340.26</c:v>
                </c:pt>
                <c:pt idx="299">
                  <c:v>29248.49</c:v>
                </c:pt>
                <c:pt idx="300">
                  <c:v>29268.81</c:v>
                </c:pt>
                <c:pt idx="301">
                  <c:v>28091.57</c:v>
                </c:pt>
                <c:pt idx="302">
                  <c:v>28680.54</c:v>
                </c:pt>
                <c:pt idx="303">
                  <c:v>29006.31</c:v>
                </c:pt>
                <c:pt idx="304">
                  <c:v>28847.71</c:v>
                </c:pt>
                <c:pt idx="305">
                  <c:v>29534.38</c:v>
                </c:pt>
                <c:pt idx="306">
                  <c:v>28904.62</c:v>
                </c:pt>
                <c:pt idx="307">
                  <c:v>28454.98</c:v>
                </c:pt>
                <c:pt idx="308">
                  <c:v>27694.27</c:v>
                </c:pt>
                <c:pt idx="309">
                  <c:v>27658.78</c:v>
                </c:pt>
                <c:pt idx="310">
                  <c:v>27621.759999999998</c:v>
                </c:pt>
                <c:pt idx="311">
                  <c:v>27000.79</c:v>
                </c:pt>
                <c:pt idx="312">
                  <c:v>26804.99</c:v>
                </c:pt>
                <c:pt idx="313">
                  <c:v>26784.080000000002</c:v>
                </c:pt>
                <c:pt idx="314">
                  <c:v>26930.639999999999</c:v>
                </c:pt>
                <c:pt idx="315">
                  <c:v>27192.69</c:v>
                </c:pt>
                <c:pt idx="316">
                  <c:v>27036.65</c:v>
                </c:pt>
                <c:pt idx="317">
                  <c:v>27398.799999999999</c:v>
                </c:pt>
                <c:pt idx="318">
                  <c:v>26832.21</c:v>
                </c:pt>
                <c:pt idx="319">
                  <c:v>26890.13</c:v>
                </c:pt>
                <c:pt idx="320">
                  <c:v>27129.59</c:v>
                </c:pt>
                <c:pt idx="321">
                  <c:v>26753.83</c:v>
                </c:pt>
                <c:pt idx="322">
                  <c:v>26851.279999999999</c:v>
                </c:pt>
                <c:pt idx="323">
                  <c:v>27225.73</c:v>
                </c:pt>
                <c:pt idx="324">
                  <c:v>26334.82</c:v>
                </c:pt>
                <c:pt idx="325">
                  <c:v>26476.21</c:v>
                </c:pt>
                <c:pt idx="326">
                  <c:v>26719.29</c:v>
                </c:pt>
                <c:pt idx="327">
                  <c:v>26868.35</c:v>
                </c:pt>
                <c:pt idx="328">
                  <c:v>28085.65</c:v>
                </c:pt>
                <c:pt idx="329">
                  <c:v>27745.88</c:v>
                </c:pt>
                <c:pt idx="330">
                  <c:v>27702.35</c:v>
                </c:pt>
                <c:pt idx="331">
                  <c:v>27219.66</c:v>
                </c:pt>
                <c:pt idx="332">
                  <c:v>26819.97</c:v>
                </c:pt>
                <c:pt idx="333">
                  <c:v>27249.59</c:v>
                </c:pt>
                <c:pt idx="334">
                  <c:v>27075.13</c:v>
                </c:pt>
                <c:pt idx="335">
                  <c:v>27119.07</c:v>
                </c:pt>
                <c:pt idx="336">
                  <c:v>25760.1</c:v>
                </c:pt>
                <c:pt idx="337">
                  <c:v>27238.78</c:v>
                </c:pt>
                <c:pt idx="338">
                  <c:v>26346</c:v>
                </c:pt>
                <c:pt idx="339">
                  <c:v>26508.22</c:v>
                </c:pt>
                <c:pt idx="340">
                  <c:v>26480.38</c:v>
                </c:pt>
                <c:pt idx="341">
                  <c:v>25851.24</c:v>
                </c:pt>
                <c:pt idx="342">
                  <c:v>25940.17</c:v>
                </c:pt>
                <c:pt idx="343">
                  <c:v>25902.5</c:v>
                </c:pt>
                <c:pt idx="344">
                  <c:v>25918.73</c:v>
                </c:pt>
                <c:pt idx="345">
                  <c:v>25124.68</c:v>
                </c:pt>
                <c:pt idx="346">
                  <c:v>25576.39</c:v>
                </c:pt>
                <c:pt idx="347">
                  <c:v>26327.46</c:v>
                </c:pt>
                <c:pt idx="348">
                  <c:v>26510.68</c:v>
                </c:pt>
                <c:pt idx="349">
                  <c:v>26336.21</c:v>
                </c:pt>
                <c:pt idx="350">
                  <c:v>26851.03</c:v>
                </c:pt>
                <c:pt idx="351">
                  <c:v>28327.49</c:v>
                </c:pt>
                <c:pt idx="352">
                  <c:v>30027.3</c:v>
                </c:pt>
                <c:pt idx="353">
                  <c:v>29912.28</c:v>
                </c:pt>
                <c:pt idx="354">
                  <c:v>30695.47</c:v>
                </c:pt>
                <c:pt idx="355">
                  <c:v>30548.7</c:v>
                </c:pt>
                <c:pt idx="356">
                  <c:v>30480.26</c:v>
                </c:pt>
                <c:pt idx="357">
                  <c:v>30271.13</c:v>
                </c:pt>
                <c:pt idx="358">
                  <c:v>30688.16</c:v>
                </c:pt>
                <c:pt idx="359">
                  <c:v>30086.25</c:v>
                </c:pt>
                <c:pt idx="360">
                  <c:v>30445.35</c:v>
                </c:pt>
                <c:pt idx="361">
                  <c:v>30477.25</c:v>
                </c:pt>
                <c:pt idx="362">
                  <c:v>30590.080000000002</c:v>
                </c:pt>
                <c:pt idx="363">
                  <c:v>30620.77</c:v>
                </c:pt>
                <c:pt idx="364">
                  <c:v>31156.44</c:v>
                </c:pt>
                <c:pt idx="365">
                  <c:v>30777.58</c:v>
                </c:pt>
                <c:pt idx="366">
                  <c:v>30514.17</c:v>
                </c:pt>
                <c:pt idx="367">
                  <c:v>29909.34</c:v>
                </c:pt>
                <c:pt idx="368">
                  <c:v>30342.27</c:v>
                </c:pt>
                <c:pt idx="369">
                  <c:v>30292.54</c:v>
                </c:pt>
                <c:pt idx="370">
                  <c:v>30171.23</c:v>
                </c:pt>
                <c:pt idx="371">
                  <c:v>30414.47</c:v>
                </c:pt>
                <c:pt idx="372">
                  <c:v>30620.95</c:v>
                </c:pt>
                <c:pt idx="373">
                  <c:v>30391.65</c:v>
                </c:pt>
                <c:pt idx="374">
                  <c:v>31476.05</c:v>
                </c:pt>
                <c:pt idx="375">
                  <c:v>30334.07</c:v>
                </c:pt>
                <c:pt idx="376">
                  <c:v>30295.81</c:v>
                </c:pt>
                <c:pt idx="377">
                  <c:v>30249.13</c:v>
                </c:pt>
                <c:pt idx="378">
                  <c:v>30145.89</c:v>
                </c:pt>
                <c:pt idx="379">
                  <c:v>29856.560000000001</c:v>
                </c:pt>
                <c:pt idx="380">
                  <c:v>29913.919999999998</c:v>
                </c:pt>
                <c:pt idx="381">
                  <c:v>29792.02</c:v>
                </c:pt>
                <c:pt idx="382">
                  <c:v>29908.74</c:v>
                </c:pt>
                <c:pt idx="383">
                  <c:v>29771.8</c:v>
                </c:pt>
                <c:pt idx="384">
                  <c:v>30084.54</c:v>
                </c:pt>
                <c:pt idx="385">
                  <c:v>29176.92</c:v>
                </c:pt>
                <c:pt idx="386">
                  <c:v>29227.39</c:v>
                </c:pt>
                <c:pt idx="387">
                  <c:v>29354.97</c:v>
                </c:pt>
                <c:pt idx="388">
                  <c:v>29210.69</c:v>
                </c:pt>
                <c:pt idx="389">
                  <c:v>29319.25</c:v>
                </c:pt>
                <c:pt idx="390">
                  <c:v>29356.92</c:v>
                </c:pt>
                <c:pt idx="391">
                  <c:v>29275.31</c:v>
                </c:pt>
                <c:pt idx="392">
                  <c:v>29230.11</c:v>
                </c:pt>
                <c:pt idx="393">
                  <c:v>29675.73</c:v>
                </c:pt>
                <c:pt idx="394">
                  <c:v>29151.96</c:v>
                </c:pt>
                <c:pt idx="395">
                  <c:v>29178.68</c:v>
                </c:pt>
                <c:pt idx="396">
                  <c:v>29074.09</c:v>
                </c:pt>
                <c:pt idx="397">
                  <c:v>29042.13</c:v>
                </c:pt>
                <c:pt idx="398">
                  <c:v>29041.86</c:v>
                </c:pt>
                <c:pt idx="399">
                  <c:v>29180.58</c:v>
                </c:pt>
                <c:pt idx="400">
                  <c:v>29765.49</c:v>
                </c:pt>
                <c:pt idx="401">
                  <c:v>29561.49</c:v>
                </c:pt>
                <c:pt idx="402">
                  <c:v>29429.59</c:v>
                </c:pt>
                <c:pt idx="403">
                  <c:v>29397.71</c:v>
                </c:pt>
                <c:pt idx="404">
                  <c:v>29415.96</c:v>
                </c:pt>
                <c:pt idx="405">
                  <c:v>29282.91</c:v>
                </c:pt>
                <c:pt idx="406">
                  <c:v>29408.44</c:v>
                </c:pt>
                <c:pt idx="407">
                  <c:v>29170.35</c:v>
                </c:pt>
                <c:pt idx="408">
                  <c:v>28701.78</c:v>
                </c:pt>
                <c:pt idx="409">
                  <c:v>26664.55</c:v>
                </c:pt>
                <c:pt idx="410">
                  <c:v>26049.56</c:v>
                </c:pt>
                <c:pt idx="411">
                  <c:v>26096.21</c:v>
                </c:pt>
                <c:pt idx="412">
                  <c:v>26189.58</c:v>
                </c:pt>
                <c:pt idx="413">
                  <c:v>26124.14</c:v>
                </c:pt>
                <c:pt idx="414">
                  <c:v>26031.66</c:v>
                </c:pt>
                <c:pt idx="415">
                  <c:v>26431.64</c:v>
                </c:pt>
                <c:pt idx="416">
                  <c:v>26162.37</c:v>
                </c:pt>
                <c:pt idx="417">
                  <c:v>26047.67</c:v>
                </c:pt>
                <c:pt idx="418">
                  <c:v>26008.46</c:v>
                </c:pt>
                <c:pt idx="419">
                  <c:v>26089.69</c:v>
                </c:pt>
                <c:pt idx="420">
                  <c:v>26106.15</c:v>
                </c:pt>
                <c:pt idx="421">
                  <c:v>27727.39</c:v>
                </c:pt>
                <c:pt idx="422">
                  <c:v>27297.27</c:v>
                </c:pt>
                <c:pt idx="423">
                  <c:v>25931.47</c:v>
                </c:pt>
                <c:pt idx="424">
                  <c:v>25800.720000000001</c:v>
                </c:pt>
                <c:pt idx="425">
                  <c:v>25868.799999999999</c:v>
                </c:pt>
                <c:pt idx="426">
                  <c:v>25969.57</c:v>
                </c:pt>
                <c:pt idx="427">
                  <c:v>25812.42</c:v>
                </c:pt>
                <c:pt idx="428">
                  <c:v>25779.98</c:v>
                </c:pt>
                <c:pt idx="429">
                  <c:v>25753.24</c:v>
                </c:pt>
                <c:pt idx="430">
                  <c:v>26240.2</c:v>
                </c:pt>
                <c:pt idx="431">
                  <c:v>25905.65</c:v>
                </c:pt>
                <c:pt idx="432">
                  <c:v>25895.68</c:v>
                </c:pt>
                <c:pt idx="433">
                  <c:v>25832.23</c:v>
                </c:pt>
                <c:pt idx="434">
                  <c:v>25162.65</c:v>
                </c:pt>
                <c:pt idx="435">
                  <c:v>25833.34</c:v>
                </c:pt>
                <c:pt idx="436">
                  <c:v>26228.32</c:v>
                </c:pt>
                <c:pt idx="437">
                  <c:v>26539.67</c:v>
                </c:pt>
                <c:pt idx="438">
                  <c:v>26608.69</c:v>
                </c:pt>
                <c:pt idx="439">
                  <c:v>26568.28</c:v>
                </c:pt>
                <c:pt idx="440">
                  <c:v>26534.19</c:v>
                </c:pt>
                <c:pt idx="441">
                  <c:v>26754.28</c:v>
                </c:pt>
                <c:pt idx="442">
                  <c:v>27211.119999999999</c:v>
                </c:pt>
                <c:pt idx="443">
                  <c:v>27132.01</c:v>
                </c:pt>
                <c:pt idx="444">
                  <c:v>26567.63</c:v>
                </c:pt>
                <c:pt idx="445">
                  <c:v>26579.57</c:v>
                </c:pt>
                <c:pt idx="446">
                  <c:v>26579.39</c:v>
                </c:pt>
                <c:pt idx="447">
                  <c:v>26256.83</c:v>
                </c:pt>
                <c:pt idx="448">
                  <c:v>26298.48</c:v>
                </c:pt>
                <c:pt idx="449">
                  <c:v>26217.25</c:v>
                </c:pt>
                <c:pt idx="450">
                  <c:v>26352.720000000001</c:v>
                </c:pt>
                <c:pt idx="451">
                  <c:v>27021.55</c:v>
                </c:pt>
                <c:pt idx="452">
                  <c:v>26911.72</c:v>
                </c:pt>
                <c:pt idx="453">
                  <c:v>26967.919999999998</c:v>
                </c:pt>
                <c:pt idx="454">
                  <c:v>27983.75</c:v>
                </c:pt>
                <c:pt idx="455">
                  <c:v>27530.79</c:v>
                </c:pt>
                <c:pt idx="456">
                  <c:v>27429.98</c:v>
                </c:pt>
                <c:pt idx="457">
                  <c:v>27799.39</c:v>
                </c:pt>
                <c:pt idx="458">
                  <c:v>27415.91</c:v>
                </c:pt>
                <c:pt idx="459">
                  <c:v>27946.6</c:v>
                </c:pt>
                <c:pt idx="460">
                  <c:v>27968.84</c:v>
                </c:pt>
                <c:pt idx="461">
                  <c:v>27935.09</c:v>
                </c:pt>
                <c:pt idx="462">
                  <c:v>27583.68</c:v>
                </c:pt>
                <c:pt idx="463">
                  <c:v>27391.02</c:v>
                </c:pt>
                <c:pt idx="464">
                  <c:v>26873.32</c:v>
                </c:pt>
                <c:pt idx="465">
                  <c:v>26756.799999999999</c:v>
                </c:pt>
                <c:pt idx="466">
                  <c:v>26862.38</c:v>
                </c:pt>
                <c:pt idx="467">
                  <c:v>26861.71</c:v>
                </c:pt>
                <c:pt idx="468">
                  <c:v>27159.65</c:v>
                </c:pt>
                <c:pt idx="469">
                  <c:v>28519.47</c:v>
                </c:pt>
                <c:pt idx="470">
                  <c:v>28415.75</c:v>
                </c:pt>
                <c:pt idx="471">
                  <c:v>28328.34</c:v>
                </c:pt>
                <c:pt idx="472">
                  <c:v>28719.81</c:v>
                </c:pt>
                <c:pt idx="473">
                  <c:v>29682.95</c:v>
                </c:pt>
                <c:pt idx="474">
                  <c:v>29918.41</c:v>
                </c:pt>
                <c:pt idx="475">
                  <c:v>29993.9</c:v>
                </c:pt>
                <c:pt idx="476">
                  <c:v>33086.230000000003</c:v>
                </c:pt>
                <c:pt idx="477">
                  <c:v>33901.53</c:v>
                </c:pt>
                <c:pt idx="478">
                  <c:v>34502.82</c:v>
                </c:pt>
                <c:pt idx="479">
                  <c:v>34156.65</c:v>
                </c:pt>
                <c:pt idx="480">
                  <c:v>33909.800000000003</c:v>
                </c:pt>
                <c:pt idx="481">
                  <c:v>34089.57</c:v>
                </c:pt>
                <c:pt idx="482">
                  <c:v>34538.480000000003</c:v>
                </c:pt>
                <c:pt idx="483">
                  <c:v>34502.36</c:v>
                </c:pt>
                <c:pt idx="484">
                  <c:v>34667.78</c:v>
                </c:pt>
                <c:pt idx="485">
                  <c:v>35437.25</c:v>
                </c:pt>
                <c:pt idx="486">
                  <c:v>34938.239999999998</c:v>
                </c:pt>
                <c:pt idx="487">
                  <c:v>34732.32</c:v>
                </c:pt>
                <c:pt idx="488">
                  <c:v>35082.199999999997</c:v>
                </c:pt>
                <c:pt idx="489">
                  <c:v>35049.360000000001</c:v>
                </c:pt>
                <c:pt idx="490">
                  <c:v>35037.370000000003</c:v>
                </c:pt>
                <c:pt idx="491">
                  <c:v>35443.56</c:v>
                </c:pt>
                <c:pt idx="492">
                  <c:v>35655.279999999999</c:v>
                </c:pt>
                <c:pt idx="493">
                  <c:v>36693.129999999997</c:v>
                </c:pt>
                <c:pt idx="494">
                  <c:v>37313.97</c:v>
                </c:pt>
                <c:pt idx="495">
                  <c:v>37138.050000000003</c:v>
                </c:pt>
                <c:pt idx="496">
                  <c:v>37054.519999999997</c:v>
                </c:pt>
                <c:pt idx="497">
                  <c:v>36502.36</c:v>
                </c:pt>
                <c:pt idx="498">
                  <c:v>35537.64</c:v>
                </c:pt>
                <c:pt idx="499">
                  <c:v>37880.58</c:v>
                </c:pt>
                <c:pt idx="500">
                  <c:v>36154.769999999997</c:v>
                </c:pt>
                <c:pt idx="501">
                  <c:v>36596.68</c:v>
                </c:pt>
                <c:pt idx="502">
                  <c:v>36585.699999999997</c:v>
                </c:pt>
                <c:pt idx="503">
                  <c:v>37386.550000000003</c:v>
                </c:pt>
                <c:pt idx="504">
                  <c:v>37476.959999999999</c:v>
                </c:pt>
                <c:pt idx="505">
                  <c:v>35813.81</c:v>
                </c:pt>
                <c:pt idx="506">
                  <c:v>37432.339999999997</c:v>
                </c:pt>
                <c:pt idx="507">
                  <c:v>37289.620000000003</c:v>
                </c:pt>
                <c:pt idx="508">
                  <c:v>37720.28</c:v>
                </c:pt>
                <c:pt idx="509">
                  <c:v>37796.79</c:v>
                </c:pt>
                <c:pt idx="510">
                  <c:v>37479.120000000003</c:v>
                </c:pt>
                <c:pt idx="511">
                  <c:v>37254.17</c:v>
                </c:pt>
                <c:pt idx="512">
                  <c:v>37831.089999999997</c:v>
                </c:pt>
                <c:pt idx="513">
                  <c:v>37858.49</c:v>
                </c:pt>
                <c:pt idx="514">
                  <c:v>37712.75</c:v>
                </c:pt>
                <c:pt idx="515">
                  <c:v>38688.75</c:v>
                </c:pt>
                <c:pt idx="516">
                  <c:v>39476.33</c:v>
                </c:pt>
                <c:pt idx="517">
                  <c:v>39978.39</c:v>
                </c:pt>
                <c:pt idx="518">
                  <c:v>41980.1</c:v>
                </c:pt>
                <c:pt idx="519">
                  <c:v>44080.65</c:v>
                </c:pt>
                <c:pt idx="520">
                  <c:v>43746.45</c:v>
                </c:pt>
                <c:pt idx="521">
                  <c:v>43292.66</c:v>
                </c:pt>
                <c:pt idx="522">
                  <c:v>44166.6</c:v>
                </c:pt>
                <c:pt idx="523">
                  <c:v>43725.98</c:v>
                </c:pt>
                <c:pt idx="524">
                  <c:v>43779.7</c:v>
                </c:pt>
                <c:pt idx="525">
                  <c:v>41243.83</c:v>
                </c:pt>
                <c:pt idx="526">
                  <c:v>41450.22</c:v>
                </c:pt>
                <c:pt idx="527">
                  <c:v>42890.74</c:v>
                </c:pt>
                <c:pt idx="528">
                  <c:v>43023.97</c:v>
                </c:pt>
                <c:pt idx="529">
                  <c:v>41929.760000000002</c:v>
                </c:pt>
                <c:pt idx="530">
                  <c:v>42240.12</c:v>
                </c:pt>
                <c:pt idx="531">
                  <c:v>41364.660000000003</c:v>
                </c:pt>
                <c:pt idx="532">
                  <c:v>42623.54</c:v>
                </c:pt>
                <c:pt idx="533">
                  <c:v>42270.53</c:v>
                </c:pt>
                <c:pt idx="534">
                  <c:v>43652.25</c:v>
                </c:pt>
                <c:pt idx="535">
                  <c:v>43869.15</c:v>
                </c:pt>
                <c:pt idx="536">
                  <c:v>43997.9</c:v>
                </c:pt>
                <c:pt idx="537">
                  <c:v>43739.54</c:v>
                </c:pt>
                <c:pt idx="538">
                  <c:v>43016.12</c:v>
                </c:pt>
                <c:pt idx="539">
                  <c:v>43613.14</c:v>
                </c:pt>
                <c:pt idx="540">
                  <c:v>42520.4</c:v>
                </c:pt>
                <c:pt idx="541">
                  <c:v>43442.86</c:v>
                </c:pt>
                <c:pt idx="542">
                  <c:v>42627.86</c:v>
                </c:pt>
                <c:pt idx="543">
                  <c:v>42099.4</c:v>
                </c:pt>
                <c:pt idx="544">
                  <c:v>42156.9</c:v>
                </c:pt>
                <c:pt idx="545">
                  <c:v>42265.19</c:v>
                </c:pt>
                <c:pt idx="546">
                  <c:v>44167.33</c:v>
                </c:pt>
                <c:pt idx="547">
                  <c:v>44957.97</c:v>
                </c:pt>
                <c:pt idx="548">
                  <c:v>42848.18</c:v>
                </c:pt>
                <c:pt idx="549">
                  <c:v>44179.92</c:v>
                </c:pt>
                <c:pt idx="550">
                  <c:v>44162.69</c:v>
                </c:pt>
                <c:pt idx="551">
                  <c:v>43989.2</c:v>
                </c:pt>
                <c:pt idx="552">
                  <c:v>43943.1</c:v>
                </c:pt>
                <c:pt idx="553">
                  <c:v>46970.5</c:v>
                </c:pt>
                <c:pt idx="554">
                  <c:v>46139.73</c:v>
                </c:pt>
                <c:pt idx="555">
                  <c:v>46627.78</c:v>
                </c:pt>
                <c:pt idx="556">
                  <c:v>46368.59</c:v>
                </c:pt>
                <c:pt idx="557">
                  <c:v>42853.17</c:v>
                </c:pt>
                <c:pt idx="558">
                  <c:v>42842.38</c:v>
                </c:pt>
                <c:pt idx="559">
                  <c:v>41796.269999999997</c:v>
                </c:pt>
                <c:pt idx="560">
                  <c:v>42511.97</c:v>
                </c:pt>
                <c:pt idx="561">
                  <c:v>43154.95</c:v>
                </c:pt>
                <c:pt idx="562">
                  <c:v>42742.65</c:v>
                </c:pt>
                <c:pt idx="563">
                  <c:v>41262.06</c:v>
                </c:pt>
                <c:pt idx="564">
                  <c:v>41618.410000000003</c:v>
                </c:pt>
                <c:pt idx="565">
                  <c:v>41665.589999999997</c:v>
                </c:pt>
                <c:pt idx="566">
                  <c:v>41545.79</c:v>
                </c:pt>
                <c:pt idx="567">
                  <c:v>39507.370000000003</c:v>
                </c:pt>
                <c:pt idx="568">
                  <c:v>39845.550000000003</c:v>
                </c:pt>
                <c:pt idx="569">
                  <c:v>40077.07</c:v>
                </c:pt>
                <c:pt idx="570">
                  <c:v>39933.81</c:v>
                </c:pt>
                <c:pt idx="571">
                  <c:v>41816.870000000003</c:v>
                </c:pt>
                <c:pt idx="572">
                  <c:v>42120.05</c:v>
                </c:pt>
                <c:pt idx="573">
                  <c:v>42035.59</c:v>
                </c:pt>
                <c:pt idx="574">
                  <c:v>43288.25</c:v>
                </c:pt>
                <c:pt idx="575">
                  <c:v>42952.61</c:v>
                </c:pt>
                <c:pt idx="576">
                  <c:v>42582.61</c:v>
                </c:pt>
                <c:pt idx="577">
                  <c:v>43075.77</c:v>
                </c:pt>
                <c:pt idx="578">
                  <c:v>43185.86</c:v>
                </c:pt>
                <c:pt idx="579">
                  <c:v>42992.25</c:v>
                </c:pt>
                <c:pt idx="580">
                  <c:v>42583.58</c:v>
                </c:pt>
                <c:pt idx="581">
                  <c:v>42658.67</c:v>
                </c:pt>
                <c:pt idx="582">
                  <c:v>43084.67</c:v>
                </c:pt>
                <c:pt idx="583">
                  <c:v>44318.22</c:v>
                </c:pt>
                <c:pt idx="584">
                  <c:v>45301.57</c:v>
                </c:pt>
                <c:pt idx="585">
                  <c:v>47147.199999999997</c:v>
                </c:pt>
                <c:pt idx="586">
                  <c:v>47771.28</c:v>
                </c:pt>
                <c:pt idx="587">
                  <c:v>48293.919999999998</c:v>
                </c:pt>
                <c:pt idx="588">
                  <c:v>49958.22</c:v>
                </c:pt>
                <c:pt idx="589">
                  <c:v>49742.44</c:v>
                </c:pt>
                <c:pt idx="590">
                  <c:v>51826.7</c:v>
                </c:pt>
                <c:pt idx="591">
                  <c:v>51938.55</c:v>
                </c:pt>
                <c:pt idx="592">
                  <c:v>52160.2</c:v>
                </c:pt>
                <c:pt idx="593">
                  <c:v>51663</c:v>
                </c:pt>
                <c:pt idx="594">
                  <c:v>52122.55</c:v>
                </c:pt>
                <c:pt idx="595">
                  <c:v>51779.14</c:v>
                </c:pt>
                <c:pt idx="596">
                  <c:v>52284.88</c:v>
                </c:pt>
                <c:pt idx="597">
                  <c:v>51839.18</c:v>
                </c:pt>
                <c:pt idx="598">
                  <c:v>51304.97</c:v>
                </c:pt>
                <c:pt idx="599">
                  <c:v>50731.95</c:v>
                </c:pt>
                <c:pt idx="600">
                  <c:v>51571.1</c:v>
                </c:pt>
                <c:pt idx="601">
                  <c:v>51733.24</c:v>
                </c:pt>
                <c:pt idx="602">
                  <c:v>54522.400000000001</c:v>
                </c:pt>
                <c:pt idx="603">
                  <c:v>57085.37</c:v>
                </c:pt>
                <c:pt idx="604">
                  <c:v>62504.79</c:v>
                </c:pt>
                <c:pt idx="605">
                  <c:v>61198.38</c:v>
                </c:pt>
                <c:pt idx="606">
                  <c:v>62440.63</c:v>
                </c:pt>
                <c:pt idx="607">
                  <c:v>62029.85</c:v>
                </c:pt>
                <c:pt idx="608">
                  <c:v>63167.37</c:v>
                </c:pt>
                <c:pt idx="609">
                  <c:v>68330.41</c:v>
                </c:pt>
                <c:pt idx="610">
                  <c:v>63801.2</c:v>
                </c:pt>
                <c:pt idx="611">
                  <c:v>66106.8</c:v>
                </c:pt>
                <c:pt idx="612">
                  <c:v>66925.48</c:v>
                </c:pt>
                <c:pt idx="613">
                  <c:v>68300.09</c:v>
                </c:pt>
                <c:pt idx="614">
                  <c:v>68498.880000000005</c:v>
                </c:pt>
                <c:pt idx="615">
                  <c:v>69019.789999999994</c:v>
                </c:pt>
                <c:pt idx="616">
                  <c:v>72123.91</c:v>
                </c:pt>
                <c:pt idx="617">
                  <c:v>71481.289999999994</c:v>
                </c:pt>
                <c:pt idx="618">
                  <c:v>73083.5</c:v>
                </c:pt>
                <c:pt idx="619">
                  <c:v>71396.59</c:v>
                </c:pt>
                <c:pt idx="620">
                  <c:v>69403.77</c:v>
                </c:pt>
                <c:pt idx="621">
                  <c:v>65315.12</c:v>
                </c:pt>
                <c:pt idx="622">
                  <c:v>68390.63</c:v>
                </c:pt>
                <c:pt idx="623">
                  <c:v>67548.59</c:v>
                </c:pt>
                <c:pt idx="624">
                  <c:v>61912.77</c:v>
                </c:pt>
                <c:pt idx="625">
                  <c:v>67913.67</c:v>
                </c:pt>
                <c:pt idx="626">
                  <c:v>65491.39</c:v>
                </c:pt>
                <c:pt idx="627">
                  <c:v>63778.76</c:v>
                </c:pt>
                <c:pt idx="628">
                  <c:v>64062.2</c:v>
                </c:pt>
                <c:pt idx="629">
                  <c:v>67234.17</c:v>
                </c:pt>
                <c:pt idx="630">
                  <c:v>69958.81</c:v>
                </c:pt>
                <c:pt idx="631">
                  <c:v>69987.839999999997</c:v>
                </c:pt>
                <c:pt idx="632">
                  <c:v>69455.34</c:v>
                </c:pt>
                <c:pt idx="633">
                  <c:v>70744.95</c:v>
                </c:pt>
                <c:pt idx="634">
                  <c:v>69892.83</c:v>
                </c:pt>
                <c:pt idx="635">
                  <c:v>69645.3</c:v>
                </c:pt>
                <c:pt idx="636">
                  <c:v>71333.649999999994</c:v>
                </c:pt>
                <c:pt idx="637">
                  <c:v>69702.149999999994</c:v>
                </c:pt>
                <c:pt idx="638">
                  <c:v>65446.97</c:v>
                </c:pt>
                <c:pt idx="639">
                  <c:v>65980.81</c:v>
                </c:pt>
                <c:pt idx="640">
                  <c:v>68508.84</c:v>
                </c:pt>
                <c:pt idx="641">
                  <c:v>67837.64</c:v>
                </c:pt>
                <c:pt idx="642">
                  <c:v>68896.11</c:v>
                </c:pt>
                <c:pt idx="643">
                  <c:v>69362.55</c:v>
                </c:pt>
                <c:pt idx="644">
                  <c:v>71631.360000000001</c:v>
                </c:pt>
                <c:pt idx="645">
                  <c:v>69139.02</c:v>
                </c:pt>
                <c:pt idx="646">
                  <c:v>70587.88</c:v>
                </c:pt>
                <c:pt idx="647">
                  <c:v>70060.61</c:v>
                </c:pt>
                <c:pt idx="648">
                  <c:v>67195.87</c:v>
                </c:pt>
                <c:pt idx="649">
                  <c:v>63821.47</c:v>
                </c:pt>
                <c:pt idx="650">
                  <c:v>65738.73</c:v>
                </c:pt>
                <c:pt idx="651">
                  <c:v>63426.21</c:v>
                </c:pt>
                <c:pt idx="652">
                  <c:v>63811.86</c:v>
                </c:pt>
                <c:pt idx="653">
                  <c:v>61276.69</c:v>
                </c:pt>
                <c:pt idx="654">
                  <c:v>63512.75</c:v>
                </c:pt>
                <c:pt idx="655">
                  <c:v>63843.57</c:v>
                </c:pt>
                <c:pt idx="656">
                  <c:v>64994.44</c:v>
                </c:pt>
                <c:pt idx="657">
                  <c:v>64926.64</c:v>
                </c:pt>
                <c:pt idx="658">
                  <c:v>66837.679999999993</c:v>
                </c:pt>
                <c:pt idx="659">
                  <c:v>66407.27</c:v>
                </c:pt>
                <c:pt idx="660">
                  <c:v>64276.9</c:v>
                </c:pt>
                <c:pt idx="661">
                  <c:v>64481.71</c:v>
                </c:pt>
                <c:pt idx="662">
                  <c:v>63755.32</c:v>
                </c:pt>
                <c:pt idx="663">
                  <c:v>63419.14</c:v>
                </c:pt>
                <c:pt idx="664">
                  <c:v>63113.23</c:v>
                </c:pt>
                <c:pt idx="665">
                  <c:v>63841.120000000003</c:v>
                </c:pt>
                <c:pt idx="666">
                  <c:v>60636.86</c:v>
                </c:pt>
                <c:pt idx="667">
                  <c:v>58254.01</c:v>
                </c:pt>
                <c:pt idx="668">
                  <c:v>59123.43</c:v>
                </c:pt>
                <c:pt idx="669">
                  <c:v>62889.84</c:v>
                </c:pt>
                <c:pt idx="670">
                  <c:v>63891.47</c:v>
                </c:pt>
                <c:pt idx="671">
                  <c:v>64031.13</c:v>
                </c:pt>
                <c:pt idx="672">
                  <c:v>63161.95</c:v>
                </c:pt>
                <c:pt idx="673">
                  <c:v>62334.82</c:v>
                </c:pt>
                <c:pt idx="674">
                  <c:v>61187.94</c:v>
                </c:pt>
                <c:pt idx="675">
                  <c:v>63049.96</c:v>
                </c:pt>
                <c:pt idx="676">
                  <c:v>60792.78</c:v>
                </c:pt>
                <c:pt idx="677">
                  <c:v>60793.71</c:v>
                </c:pt>
                <c:pt idx="678">
                  <c:v>61448.39</c:v>
                </c:pt>
                <c:pt idx="679">
                  <c:v>62901.45</c:v>
                </c:pt>
                <c:pt idx="680">
                  <c:v>61552.79</c:v>
                </c:pt>
                <c:pt idx="681">
                  <c:v>66267.490000000005</c:v>
                </c:pt>
                <c:pt idx="682">
                  <c:v>65231.58</c:v>
                </c:pt>
                <c:pt idx="683">
                  <c:v>67051.88</c:v>
                </c:pt>
                <c:pt idx="684">
                  <c:v>66940.800000000003</c:v>
                </c:pt>
                <c:pt idx="685">
                  <c:v>66278.37</c:v>
                </c:pt>
                <c:pt idx="686">
                  <c:v>71448.2</c:v>
                </c:pt>
                <c:pt idx="687">
                  <c:v>70136.53</c:v>
                </c:pt>
                <c:pt idx="688">
                  <c:v>69122.34</c:v>
                </c:pt>
                <c:pt idx="689">
                  <c:v>67929.56</c:v>
                </c:pt>
                <c:pt idx="690">
                  <c:v>68526.100000000006</c:v>
                </c:pt>
                <c:pt idx="691">
                  <c:v>69265.95</c:v>
                </c:pt>
                <c:pt idx="692">
                  <c:v>68518.09</c:v>
                </c:pt>
                <c:pt idx="693">
                  <c:v>69394.55</c:v>
                </c:pt>
                <c:pt idx="694">
                  <c:v>68296.22</c:v>
                </c:pt>
                <c:pt idx="695">
                  <c:v>67578.09</c:v>
                </c:pt>
                <c:pt idx="696">
                  <c:v>68364.990000000005</c:v>
                </c:pt>
                <c:pt idx="697">
                  <c:v>67491.41</c:v>
                </c:pt>
                <c:pt idx="698">
                  <c:v>67706.94</c:v>
                </c:pt>
                <c:pt idx="699">
                  <c:v>67751.600000000006</c:v>
                </c:pt>
                <c:pt idx="700">
                  <c:v>68804.78</c:v>
                </c:pt>
                <c:pt idx="701">
                  <c:v>70567.77</c:v>
                </c:pt>
                <c:pt idx="702">
                  <c:v>71082.820000000007</c:v>
                </c:pt>
                <c:pt idx="703">
                  <c:v>70757.16</c:v>
                </c:pt>
                <c:pt idx="704">
                  <c:v>69342.59</c:v>
                </c:pt>
                <c:pt idx="705">
                  <c:v>69305.77</c:v>
                </c:pt>
                <c:pt idx="706">
                  <c:v>69647.990000000005</c:v>
                </c:pt>
                <c:pt idx="707">
                  <c:v>69512.28</c:v>
                </c:pt>
                <c:pt idx="708">
                  <c:v>67332.03</c:v>
                </c:pt>
                <c:pt idx="709">
                  <c:v>68241.19</c:v>
                </c:pt>
                <c:pt idx="710">
                  <c:v>66756.399999999994</c:v>
                </c:pt>
                <c:pt idx="711">
                  <c:v>66011.09</c:v>
                </c:pt>
                <c:pt idx="712">
                  <c:v>66191</c:v>
                </c:pt>
                <c:pt idx="713">
                  <c:v>66639.05</c:v>
                </c:pt>
                <c:pt idx="714">
                  <c:v>66490.3</c:v>
                </c:pt>
                <c:pt idx="715">
                  <c:v>65140.75</c:v>
                </c:pt>
                <c:pt idx="716">
                  <c:v>64960.3</c:v>
                </c:pt>
                <c:pt idx="717">
                  <c:v>64828.66</c:v>
                </c:pt>
                <c:pt idx="718">
                  <c:v>64096.2</c:v>
                </c:pt>
                <c:pt idx="719">
                  <c:v>64252.58</c:v>
                </c:pt>
                <c:pt idx="720">
                  <c:v>63180.800000000003</c:v>
                </c:pt>
                <c:pt idx="721">
                  <c:v>60277.41</c:v>
                </c:pt>
                <c:pt idx="722">
                  <c:v>61804.639999999999</c:v>
                </c:pt>
                <c:pt idx="723">
                  <c:v>60811.28</c:v>
                </c:pt>
                <c:pt idx="724">
                  <c:v>61604.800000000003</c:v>
                </c:pt>
                <c:pt idx="725">
                  <c:v>60320.14</c:v>
                </c:pt>
                <c:pt idx="726">
                  <c:v>60887.38</c:v>
                </c:pt>
                <c:pt idx="727">
                  <c:v>62678.29</c:v>
                </c:pt>
                <c:pt idx="728">
                  <c:v>62851.98</c:v>
                </c:pt>
                <c:pt idx="729">
                  <c:v>62029.02</c:v>
                </c:pt>
                <c:pt idx="730">
                  <c:v>60173.919999999998</c:v>
                </c:pt>
                <c:pt idx="731">
                  <c:v>56977.7</c:v>
                </c:pt>
                <c:pt idx="732">
                  <c:v>56662.38</c:v>
                </c:pt>
                <c:pt idx="733">
                  <c:v>58303.54</c:v>
                </c:pt>
                <c:pt idx="734">
                  <c:v>55849.11</c:v>
                </c:pt>
                <c:pt idx="735">
                  <c:v>56705.1</c:v>
                </c:pt>
                <c:pt idx="736">
                  <c:v>58009.23</c:v>
                </c:pt>
                <c:pt idx="737">
                  <c:v>57742.5</c:v>
                </c:pt>
                <c:pt idx="738">
                  <c:v>57344.91</c:v>
                </c:pt>
                <c:pt idx="739">
                  <c:v>57899.46</c:v>
                </c:pt>
                <c:pt idx="740">
                  <c:v>59231.95</c:v>
                </c:pt>
                <c:pt idx="741">
                  <c:v>60787.79</c:v>
                </c:pt>
                <c:pt idx="742">
                  <c:v>64870.15</c:v>
                </c:pt>
                <c:pt idx="743">
                  <c:v>65097.15</c:v>
                </c:pt>
                <c:pt idx="744">
                  <c:v>64118.79</c:v>
                </c:pt>
                <c:pt idx="745">
                  <c:v>63974.07</c:v>
                </c:pt>
                <c:pt idx="746">
                  <c:v>66710.16</c:v>
                </c:pt>
                <c:pt idx="747">
                  <c:v>67163.649999999994</c:v>
                </c:pt>
                <c:pt idx="748">
                  <c:v>68154.52</c:v>
                </c:pt>
                <c:pt idx="749">
                  <c:v>67585.25</c:v>
                </c:pt>
                <c:pt idx="750">
                  <c:v>65927.67</c:v>
                </c:pt>
                <c:pt idx="751">
                  <c:v>65372.13</c:v>
                </c:pt>
                <c:pt idx="752">
                  <c:v>65777.23</c:v>
                </c:pt>
                <c:pt idx="753">
                  <c:v>67912.06</c:v>
                </c:pt>
                <c:pt idx="754">
                  <c:v>67813.34</c:v>
                </c:pt>
                <c:pt idx="755">
                  <c:v>68255.87</c:v>
                </c:pt>
                <c:pt idx="756">
                  <c:v>66819.91</c:v>
                </c:pt>
                <c:pt idx="757">
                  <c:v>66201.02</c:v>
                </c:pt>
                <c:pt idx="758">
                  <c:v>64619.25</c:v>
                </c:pt>
                <c:pt idx="759">
                  <c:v>65357.5</c:v>
                </c:pt>
                <c:pt idx="760">
                  <c:v>61415.07</c:v>
                </c:pt>
                <c:pt idx="761">
                  <c:v>60680.09</c:v>
                </c:pt>
                <c:pt idx="762">
                  <c:v>58116.98</c:v>
                </c:pt>
                <c:pt idx="763">
                  <c:v>53991.46</c:v>
                </c:pt>
                <c:pt idx="764">
                  <c:v>56034.32</c:v>
                </c:pt>
                <c:pt idx="765">
                  <c:v>55027.46</c:v>
                </c:pt>
                <c:pt idx="766">
                  <c:v>61710.14</c:v>
                </c:pt>
                <c:pt idx="767">
                  <c:v>60880.11</c:v>
                </c:pt>
                <c:pt idx="768">
                  <c:v>60945.81</c:v>
                </c:pt>
                <c:pt idx="769">
                  <c:v>58719.48</c:v>
                </c:pt>
                <c:pt idx="770">
                  <c:v>59354.52</c:v>
                </c:pt>
                <c:pt idx="771">
                  <c:v>60609.57</c:v>
                </c:pt>
                <c:pt idx="772">
                  <c:v>58737.27</c:v>
                </c:pt>
                <c:pt idx="773">
                  <c:v>57560.1</c:v>
                </c:pt>
                <c:pt idx="774">
                  <c:v>58894.11</c:v>
                </c:pt>
                <c:pt idx="775">
                  <c:v>59478.97</c:v>
                </c:pt>
                <c:pt idx="776">
                  <c:v>58483.96</c:v>
                </c:pt>
                <c:pt idx="777">
                  <c:v>59493.45</c:v>
                </c:pt>
                <c:pt idx="778">
                  <c:v>59012.79</c:v>
                </c:pt>
                <c:pt idx="779">
                  <c:v>61175.19</c:v>
                </c:pt>
                <c:pt idx="780">
                  <c:v>60381.91</c:v>
                </c:pt>
                <c:pt idx="781">
                  <c:v>64094.36</c:v>
                </c:pt>
                <c:pt idx="782">
                  <c:v>64178.99</c:v>
                </c:pt>
                <c:pt idx="783">
                  <c:v>64333.54</c:v>
                </c:pt>
                <c:pt idx="784">
                  <c:v>62880.66</c:v>
                </c:pt>
                <c:pt idx="785">
                  <c:v>59504.13</c:v>
                </c:pt>
                <c:pt idx="786">
                  <c:v>59027.63</c:v>
                </c:pt>
                <c:pt idx="787">
                  <c:v>59388.18</c:v>
                </c:pt>
                <c:pt idx="788">
                  <c:v>59119.48</c:v>
                </c:pt>
                <c:pt idx="789">
                  <c:v>58969.9</c:v>
                </c:pt>
                <c:pt idx="790">
                  <c:v>57325.49</c:v>
                </c:pt>
                <c:pt idx="791">
                  <c:v>59112.480000000003</c:v>
                </c:pt>
                <c:pt idx="792">
                  <c:v>57431.02</c:v>
                </c:pt>
                <c:pt idx="793">
                  <c:v>57971.54</c:v>
                </c:pt>
                <c:pt idx="794">
                  <c:v>56160.49</c:v>
                </c:pt>
                <c:pt idx="795">
                  <c:v>53948.75</c:v>
                </c:pt>
                <c:pt idx="796">
                  <c:v>54139.69</c:v>
                </c:pt>
                <c:pt idx="797">
                  <c:v>54841.57</c:v>
                </c:pt>
                <c:pt idx="798">
                  <c:v>57019.54</c:v>
                </c:pt>
                <c:pt idx="799">
                  <c:v>57648.71</c:v>
                </c:pt>
                <c:pt idx="800">
                  <c:v>57343.17</c:v>
                </c:pt>
                <c:pt idx="801">
                  <c:v>58127.01</c:v>
                </c:pt>
                <c:pt idx="802">
                  <c:v>60571.3</c:v>
                </c:pt>
                <c:pt idx="803">
                  <c:v>60005.120000000003</c:v>
                </c:pt>
                <c:pt idx="804">
                  <c:v>59182.84</c:v>
                </c:pt>
                <c:pt idx="805">
                  <c:v>58192.51</c:v>
                </c:pt>
                <c:pt idx="806">
                  <c:v>60308.54</c:v>
                </c:pt>
                <c:pt idx="807">
                  <c:v>61649.68</c:v>
                </c:pt>
                <c:pt idx="808">
                  <c:v>62940.46</c:v>
                </c:pt>
                <c:pt idx="809">
                  <c:v>63192.98</c:v>
                </c:pt>
                <c:pt idx="810">
                  <c:v>63394.84</c:v>
                </c:pt>
                <c:pt idx="811">
                  <c:v>63648.71</c:v>
                </c:pt>
                <c:pt idx="812">
                  <c:v>63329.8</c:v>
                </c:pt>
                <c:pt idx="813">
                  <c:v>64301.97</c:v>
                </c:pt>
                <c:pt idx="814">
                  <c:v>63143.14</c:v>
                </c:pt>
                <c:pt idx="815">
                  <c:v>65181.02</c:v>
                </c:pt>
                <c:pt idx="816">
                  <c:v>65790.66</c:v>
                </c:pt>
                <c:pt idx="817">
                  <c:v>65887.649999999994</c:v>
                </c:pt>
                <c:pt idx="818">
                  <c:v>65635.3</c:v>
                </c:pt>
                <c:pt idx="819">
                  <c:v>63329.5</c:v>
                </c:pt>
                <c:pt idx="820">
                  <c:v>60837.01</c:v>
                </c:pt>
                <c:pt idx="821">
                  <c:v>60632.79</c:v>
                </c:pt>
                <c:pt idx="822">
                  <c:v>60759.4</c:v>
                </c:pt>
                <c:pt idx="823">
                  <c:v>62067.48</c:v>
                </c:pt>
                <c:pt idx="824">
                  <c:v>62089.95</c:v>
                </c:pt>
                <c:pt idx="825">
                  <c:v>62818.95</c:v>
                </c:pt>
                <c:pt idx="826">
                  <c:v>62236.66</c:v>
                </c:pt>
                <c:pt idx="827">
                  <c:v>62131.97</c:v>
                </c:pt>
                <c:pt idx="828">
                  <c:v>60582.1</c:v>
                </c:pt>
                <c:pt idx="829">
                  <c:v>60274.5</c:v>
                </c:pt>
                <c:pt idx="830">
                  <c:v>62445.09</c:v>
                </c:pt>
                <c:pt idx="831">
                  <c:v>63193.02</c:v>
                </c:pt>
                <c:pt idx="832">
                  <c:v>62851.38</c:v>
                </c:pt>
                <c:pt idx="833">
                  <c:v>66046.13</c:v>
                </c:pt>
                <c:pt idx="834">
                  <c:v>67041.11</c:v>
                </c:pt>
                <c:pt idx="835">
                  <c:v>67612.72</c:v>
                </c:pt>
                <c:pt idx="836">
                  <c:v>67399.839999999997</c:v>
                </c:pt>
                <c:pt idx="837">
                  <c:v>68418.789999999994</c:v>
                </c:pt>
                <c:pt idx="838">
                  <c:v>68362.73</c:v>
                </c:pt>
                <c:pt idx="839">
                  <c:v>69001.7</c:v>
                </c:pt>
                <c:pt idx="840">
                  <c:v>67367.850000000006</c:v>
                </c:pt>
                <c:pt idx="841">
                  <c:v>67361.41</c:v>
                </c:pt>
                <c:pt idx="842">
                  <c:v>66432.2</c:v>
                </c:pt>
                <c:pt idx="843">
                  <c:v>68161.05</c:v>
                </c:pt>
                <c:pt idx="844">
                  <c:v>66642.41</c:v>
                </c:pt>
                <c:pt idx="845">
                  <c:v>67014.7</c:v>
                </c:pt>
                <c:pt idx="846">
                  <c:v>67929.3</c:v>
                </c:pt>
                <c:pt idx="847">
                  <c:v>69907.759999999995</c:v>
                </c:pt>
                <c:pt idx="848">
                  <c:v>72720.490000000005</c:v>
                </c:pt>
                <c:pt idx="849">
                  <c:v>72339.539999999994</c:v>
                </c:pt>
                <c:pt idx="850">
                  <c:v>70215.19</c:v>
                </c:pt>
                <c:pt idx="851">
                  <c:v>69482.47</c:v>
                </c:pt>
                <c:pt idx="852">
                  <c:v>69289.27</c:v>
                </c:pt>
                <c:pt idx="853">
                  <c:v>68741.119999999995</c:v>
                </c:pt>
                <c:pt idx="854">
                  <c:v>67811.509999999995</c:v>
                </c:pt>
                <c:pt idx="855">
                  <c:v>69359.56</c:v>
                </c:pt>
                <c:pt idx="856">
                  <c:v>75639.08</c:v>
                </c:pt>
                <c:pt idx="857">
                  <c:v>75904.86</c:v>
                </c:pt>
                <c:pt idx="858">
                  <c:v>76545.48</c:v>
                </c:pt>
                <c:pt idx="859">
                  <c:v>76778.87</c:v>
                </c:pt>
                <c:pt idx="860">
                  <c:v>80474.19</c:v>
                </c:pt>
                <c:pt idx="861">
                  <c:v>88701.48</c:v>
                </c:pt>
                <c:pt idx="862">
                  <c:v>87955.81</c:v>
                </c:pt>
                <c:pt idx="863">
                  <c:v>90584.16</c:v>
                </c:pt>
                <c:pt idx="864">
                  <c:v>87250.43</c:v>
                </c:pt>
                <c:pt idx="865">
                  <c:v>91066.01</c:v>
                </c:pt>
                <c:pt idx="866">
                  <c:v>90558.48</c:v>
                </c:pt>
                <c:pt idx="867">
                  <c:v>89845.85</c:v>
                </c:pt>
                <c:pt idx="868">
                  <c:v>90542.64</c:v>
                </c:pt>
                <c:pt idx="869">
                  <c:v>92343.79</c:v>
                </c:pt>
                <c:pt idx="870">
                  <c:v>94339.49</c:v>
                </c:pt>
                <c:pt idx="871">
                  <c:v>98504.73</c:v>
                </c:pt>
                <c:pt idx="872">
                  <c:v>98997.66</c:v>
                </c:pt>
                <c:pt idx="873">
                  <c:v>97777.279999999999</c:v>
                </c:pt>
                <c:pt idx="874">
                  <c:v>98013.82</c:v>
                </c:pt>
                <c:pt idx="875">
                  <c:v>93102.3</c:v>
                </c:pt>
                <c:pt idx="876">
                  <c:v>91985.32</c:v>
                </c:pt>
                <c:pt idx="877">
                  <c:v>95962.53</c:v>
                </c:pt>
                <c:pt idx="878">
                  <c:v>95652.47</c:v>
                </c:pt>
                <c:pt idx="879">
                  <c:v>97461.52</c:v>
                </c:pt>
                <c:pt idx="880">
                  <c:v>96449.05</c:v>
                </c:pt>
                <c:pt idx="881">
                  <c:v>97279.79</c:v>
                </c:pt>
                <c:pt idx="882">
                  <c:v>95865.3</c:v>
                </c:pt>
                <c:pt idx="883">
                  <c:v>96002.16</c:v>
                </c:pt>
                <c:pt idx="884">
                  <c:v>98768.53</c:v>
                </c:pt>
                <c:pt idx="885">
                  <c:v>96593.57</c:v>
                </c:pt>
                <c:pt idx="886">
                  <c:v>99920.71</c:v>
                </c:pt>
                <c:pt idx="887">
                  <c:v>99923.34</c:v>
                </c:pt>
                <c:pt idx="888">
                  <c:v>101236.02</c:v>
                </c:pt>
                <c:pt idx="889">
                  <c:v>97432.72</c:v>
                </c:pt>
                <c:pt idx="890">
                  <c:v>96675.43</c:v>
                </c:pt>
                <c:pt idx="891">
                  <c:v>101173.03</c:v>
                </c:pt>
                <c:pt idx="892">
                  <c:v>100043</c:v>
                </c:pt>
                <c:pt idx="893">
                  <c:v>101459.26</c:v>
                </c:pt>
                <c:pt idx="894">
                  <c:v>101372.97</c:v>
                </c:pt>
                <c:pt idx="895">
                  <c:v>104298.7</c:v>
                </c:pt>
                <c:pt idx="896">
                  <c:v>106029.72</c:v>
                </c:pt>
                <c:pt idx="897">
                  <c:v>106140.6</c:v>
                </c:pt>
                <c:pt idx="898">
                  <c:v>100041.54</c:v>
                </c:pt>
                <c:pt idx="899">
                  <c:v>97490.95</c:v>
                </c:pt>
                <c:pt idx="900">
                  <c:v>97755.93</c:v>
                </c:pt>
                <c:pt idx="901">
                  <c:v>97224.73</c:v>
                </c:pt>
                <c:pt idx="902">
                  <c:v>95104.94</c:v>
                </c:pt>
                <c:pt idx="903">
                  <c:v>94686.24</c:v>
                </c:pt>
                <c:pt idx="904">
                  <c:v>98676.09</c:v>
                </c:pt>
                <c:pt idx="905">
                  <c:v>99299.199999999997</c:v>
                </c:pt>
                <c:pt idx="906">
                  <c:v>95795.520000000004</c:v>
                </c:pt>
                <c:pt idx="907">
                  <c:v>94164.86</c:v>
                </c:pt>
                <c:pt idx="908">
                  <c:v>95163.93</c:v>
                </c:pt>
                <c:pt idx="909">
                  <c:v>93530.23</c:v>
                </c:pt>
                <c:pt idx="910">
                  <c:v>92643.21</c:v>
                </c:pt>
                <c:pt idx="911">
                  <c:v>93429.2</c:v>
                </c:pt>
                <c:pt idx="912">
                  <c:v>94419.76</c:v>
                </c:pt>
                <c:pt idx="913">
                  <c:v>96886.88</c:v>
                </c:pt>
                <c:pt idx="914">
                  <c:v>98107.43</c:v>
                </c:pt>
                <c:pt idx="915">
                  <c:v>98236.23</c:v>
                </c:pt>
                <c:pt idx="916">
                  <c:v>98314.96</c:v>
                </c:pt>
                <c:pt idx="917">
                  <c:v>102078.09</c:v>
                </c:pt>
                <c:pt idx="918">
                  <c:v>96922.7</c:v>
                </c:pt>
                <c:pt idx="919">
                  <c:v>95043.520000000004</c:v>
                </c:pt>
                <c:pt idx="920">
                  <c:v>92484.04</c:v>
                </c:pt>
                <c:pt idx="921">
                  <c:v>94701.45</c:v>
                </c:pt>
                <c:pt idx="922">
                  <c:v>94566.59</c:v>
                </c:pt>
                <c:pt idx="923">
                  <c:v>94488.44</c:v>
                </c:pt>
                <c:pt idx="924">
                  <c:v>94516.52</c:v>
                </c:pt>
                <c:pt idx="925">
                  <c:v>96534.05</c:v>
                </c:pt>
                <c:pt idx="926">
                  <c:v>100504.49</c:v>
                </c:pt>
                <c:pt idx="927">
                  <c:v>99756.91</c:v>
                </c:pt>
                <c:pt idx="928">
                  <c:v>104462.04</c:v>
                </c:pt>
                <c:pt idx="929">
                  <c:v>104408.07</c:v>
                </c:pt>
                <c:pt idx="930">
                  <c:v>101089.61</c:v>
                </c:pt>
                <c:pt idx="931">
                  <c:v>102016.66</c:v>
                </c:pt>
                <c:pt idx="932">
                  <c:v>106146.27</c:v>
                </c:pt>
                <c:pt idx="933">
                  <c:v>103653.07</c:v>
                </c:pt>
                <c:pt idx="934">
                  <c:v>103960.17</c:v>
                </c:pt>
                <c:pt idx="935">
                  <c:v>104819.48</c:v>
                </c:pt>
                <c:pt idx="936">
                  <c:v>104714.65</c:v>
                </c:pt>
                <c:pt idx="937">
                  <c:v>102682.5</c:v>
                </c:pt>
                <c:pt idx="938">
                  <c:v>102087.69</c:v>
                </c:pt>
                <c:pt idx="939">
                  <c:v>101332.48</c:v>
                </c:pt>
                <c:pt idx="940">
                  <c:v>103703.21</c:v>
                </c:pt>
                <c:pt idx="941">
                  <c:v>104735.3</c:v>
                </c:pt>
                <c:pt idx="942">
                  <c:v>102405.02</c:v>
                </c:pt>
                <c:pt idx="943">
                  <c:v>100655.91</c:v>
                </c:pt>
                <c:pt idx="944">
                  <c:v>97688.98</c:v>
                </c:pt>
                <c:pt idx="945">
                  <c:v>101405.42</c:v>
                </c:pt>
                <c:pt idx="946">
                  <c:v>97871.82</c:v>
                </c:pt>
                <c:pt idx="947">
                  <c:v>96615.45</c:v>
                </c:pt>
                <c:pt idx="948">
                  <c:v>96593.3</c:v>
                </c:pt>
                <c:pt idx="949">
                  <c:v>96529.09</c:v>
                </c:pt>
                <c:pt idx="950">
                  <c:v>96482.45</c:v>
                </c:pt>
                <c:pt idx="951">
                  <c:v>96500.09</c:v>
                </c:pt>
                <c:pt idx="952">
                  <c:v>97437.55</c:v>
                </c:pt>
                <c:pt idx="953">
                  <c:v>95747.43</c:v>
                </c:pt>
                <c:pt idx="954">
                  <c:v>97885.86</c:v>
                </c:pt>
                <c:pt idx="955">
                  <c:v>96623.87</c:v>
                </c:pt>
                <c:pt idx="956">
                  <c:v>97508.97</c:v>
                </c:pt>
                <c:pt idx="957">
                  <c:v>97580.35</c:v>
                </c:pt>
                <c:pt idx="958">
                  <c:v>96175.03</c:v>
                </c:pt>
                <c:pt idx="959">
                  <c:v>95773.38</c:v>
                </c:pt>
                <c:pt idx="960">
                  <c:v>95539.55</c:v>
                </c:pt>
                <c:pt idx="961">
                  <c:v>96635.61</c:v>
                </c:pt>
                <c:pt idx="962">
                  <c:v>98333.94</c:v>
                </c:pt>
                <c:pt idx="963">
                  <c:v>96125.55</c:v>
                </c:pt>
                <c:pt idx="964">
                  <c:v>96577.76</c:v>
                </c:pt>
                <c:pt idx="965">
                  <c:v>96273.919999999998</c:v>
                </c:pt>
                <c:pt idx="966">
                  <c:v>91418.17</c:v>
                </c:pt>
                <c:pt idx="967">
                  <c:v>88736.17</c:v>
                </c:pt>
                <c:pt idx="968">
                  <c:v>84347.02</c:v>
                </c:pt>
                <c:pt idx="969">
                  <c:v>84704.23</c:v>
                </c:pt>
                <c:pt idx="970">
                  <c:v>84373.01</c:v>
                </c:pt>
                <c:pt idx="971">
                  <c:v>86031.91</c:v>
                </c:pt>
                <c:pt idx="972">
                  <c:v>94248.35</c:v>
                </c:pt>
                <c:pt idx="973">
                  <c:v>86065.67</c:v>
                </c:pt>
                <c:pt idx="974">
                  <c:v>87222.2</c:v>
                </c:pt>
                <c:pt idx="975">
                  <c:v>90623.56</c:v>
                </c:pt>
                <c:pt idx="976">
                  <c:v>89961.73</c:v>
                </c:pt>
                <c:pt idx="977">
                  <c:v>86742.67</c:v>
                </c:pt>
                <c:pt idx="978">
                  <c:v>86154.59</c:v>
                </c:pt>
                <c:pt idx="979">
                  <c:v>80601.039999999994</c:v>
                </c:pt>
                <c:pt idx="980">
                  <c:v>78532</c:v>
                </c:pt>
                <c:pt idx="981">
                  <c:v>82862.210000000006</c:v>
                </c:pt>
                <c:pt idx="982">
                  <c:v>83722.36</c:v>
                </c:pt>
                <c:pt idx="983">
                  <c:v>81066.7</c:v>
                </c:pt>
                <c:pt idx="984">
                  <c:v>83969.1</c:v>
                </c:pt>
                <c:pt idx="985">
                  <c:v>84343.11</c:v>
                </c:pt>
                <c:pt idx="986">
                  <c:v>82579.69</c:v>
                </c:pt>
                <c:pt idx="987">
                  <c:v>84075.69</c:v>
                </c:pt>
                <c:pt idx="988">
                  <c:v>82718.5</c:v>
                </c:pt>
                <c:pt idx="989">
                  <c:v>86854.23</c:v>
                </c:pt>
                <c:pt idx="990">
                  <c:v>84167.2</c:v>
                </c:pt>
                <c:pt idx="991">
                  <c:v>84043.24</c:v>
                </c:pt>
                <c:pt idx="992">
                  <c:v>83832.479999999996</c:v>
                </c:pt>
                <c:pt idx="993">
                  <c:v>86054.38</c:v>
                </c:pt>
                <c:pt idx="994">
                  <c:v>87498.91</c:v>
                </c:pt>
                <c:pt idx="995">
                  <c:v>87471.7</c:v>
                </c:pt>
                <c:pt idx="996">
                  <c:v>86900.88</c:v>
                </c:pt>
                <c:pt idx="997">
                  <c:v>87177.1</c:v>
                </c:pt>
                <c:pt idx="998">
                  <c:v>84353.15</c:v>
                </c:pt>
                <c:pt idx="999">
                  <c:v>82597.59</c:v>
                </c:pt>
                <c:pt idx="1000">
                  <c:v>81817.41</c:v>
                </c:pt>
              </c:numCache>
            </c:numRef>
          </c:val>
          <c:smooth val="0"/>
          <c:extLst>
            <c:ext xmlns:c16="http://schemas.microsoft.com/office/drawing/2014/chart" uri="{C3380CC4-5D6E-409C-BE32-E72D297353CC}">
              <c16:uniqueId val="{00000001-88CF-498E-A80A-0B7A40FBE858}"/>
            </c:ext>
          </c:extLst>
        </c:ser>
        <c:dLbls>
          <c:showLegendKey val="0"/>
          <c:showVal val="0"/>
          <c:showCatName val="0"/>
          <c:showSerName val="0"/>
          <c:showPercent val="0"/>
          <c:showBubbleSize val="0"/>
        </c:dLbls>
        <c:marker val="1"/>
        <c:smooth val="0"/>
        <c:axId val="399455360"/>
        <c:axId val="399459200"/>
      </c:lineChart>
      <c:lineChart>
        <c:grouping val="standard"/>
        <c:varyColors val="0"/>
        <c:ser>
          <c:idx val="1"/>
          <c:order val="1"/>
          <c:tx>
            <c:strRef>
              <c:f>'BTC-GOLD'!$D$3</c:f>
              <c:strCache>
                <c:ptCount val="1"/>
                <c:pt idx="0">
                  <c:v>Promedio de cierre GOLD</c:v>
                </c:pt>
              </c:strCache>
            </c:strRef>
          </c:tx>
          <c:spPr>
            <a:ln w="28575" cap="rnd">
              <a:solidFill>
                <a:schemeClr val="accent2"/>
              </a:solidFill>
              <a:round/>
            </a:ln>
            <a:effectLst/>
          </c:spPr>
          <c:marker>
            <c:symbol val="none"/>
          </c:marker>
          <c:trendline>
            <c:spPr>
              <a:ln w="19050" cap="rnd">
                <a:solidFill>
                  <a:schemeClr val="accent2">
                    <a:lumMod val="75000"/>
                  </a:schemeClr>
                </a:solidFill>
                <a:prstDash val="solid"/>
              </a:ln>
              <a:effectLst/>
            </c:spPr>
            <c:trendlineType val="linear"/>
            <c:dispRSqr val="0"/>
            <c:dispEq val="0"/>
          </c:trendline>
          <c:cat>
            <c:strRef>
              <c:f>'BTC-GOLD'!$B$4:$B$1005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'BTC-GOLD'!$D$4:$D$1005</c:f>
              <c:numCache>
                <c:formatCode>_("$"* #,##0.00_);_("$"* \(#,##0.00\);_("$"* "-"??_);_(@_)</c:formatCode>
                <c:ptCount val="1001"/>
                <c:pt idx="0">
                  <c:v>1761.80004882812</c:v>
                </c:pt>
                <c:pt idx="1">
                  <c:v>1761.80004882812</c:v>
                </c:pt>
                <c:pt idx="2">
                  <c:v>1761.80004882812</c:v>
                </c:pt>
                <c:pt idx="3">
                  <c:v>1734.90002441406</c:v>
                </c:pt>
                <c:pt idx="4">
                  <c:v>1737.90002441406</c:v>
                </c:pt>
                <c:pt idx="5">
                  <c:v>1740.59997558593</c:v>
                </c:pt>
                <c:pt idx="6">
                  <c:v>1737.90002441406</c:v>
                </c:pt>
                <c:pt idx="7">
                  <c:v>1740.59997558593</c:v>
                </c:pt>
                <c:pt idx="8">
                  <c:v>1730</c:v>
                </c:pt>
                <c:pt idx="9">
                  <c:v>1723.30004882812</c:v>
                </c:pt>
                <c:pt idx="10">
                  <c:v>1734.19995117187</c:v>
                </c:pt>
                <c:pt idx="11">
                  <c:v>1704.5</c:v>
                </c:pt>
                <c:pt idx="12">
                  <c:v>1702.40002441406</c:v>
                </c:pt>
                <c:pt idx="13">
                  <c:v>1704.5</c:v>
                </c:pt>
                <c:pt idx="14">
                  <c:v>1702.40002441406</c:v>
                </c:pt>
                <c:pt idx="15">
                  <c:v>1709.19995117187</c:v>
                </c:pt>
                <c:pt idx="16">
                  <c:v>1710</c:v>
                </c:pt>
                <c:pt idx="17">
                  <c:v>1699.5</c:v>
                </c:pt>
                <c:pt idx="18">
                  <c:v>1712.69995117187</c:v>
                </c:pt>
                <c:pt idx="19">
                  <c:v>1727.09997558593</c:v>
                </c:pt>
                <c:pt idx="20">
                  <c:v>1712.69995117187</c:v>
                </c:pt>
                <c:pt idx="21">
                  <c:v>1727.09997558593</c:v>
                </c:pt>
                <c:pt idx="22">
                  <c:v>1719</c:v>
                </c:pt>
                <c:pt idx="23">
                  <c:v>1717.69995117187</c:v>
                </c:pt>
                <c:pt idx="24">
                  <c:v>1719.09997558593</c:v>
                </c:pt>
                <c:pt idx="25">
                  <c:v>1750.30004882812</c:v>
                </c:pt>
                <c:pt idx="26">
                  <c:v>1762.90002441406</c:v>
                </c:pt>
                <c:pt idx="27">
                  <c:v>1750.30004882812</c:v>
                </c:pt>
                <c:pt idx="28">
                  <c:v>1762.90002441406</c:v>
                </c:pt>
                <c:pt idx="29">
                  <c:v>1769</c:v>
                </c:pt>
                <c:pt idx="30">
                  <c:v>1771.09997558593</c:v>
                </c:pt>
                <c:pt idx="31">
                  <c:v>1758</c:v>
                </c:pt>
                <c:pt idx="32">
                  <c:v>1788.5</c:v>
                </c:pt>
                <c:pt idx="33">
                  <c:v>1772.90002441406</c:v>
                </c:pt>
                <c:pt idx="34">
                  <c:v>1788.5</c:v>
                </c:pt>
                <c:pt idx="35">
                  <c:v>1772.90002441406</c:v>
                </c:pt>
                <c:pt idx="36">
                  <c:v>1786.80004882812</c:v>
                </c:pt>
                <c:pt idx="37">
                  <c:v>1794</c:v>
                </c:pt>
                <c:pt idx="38">
                  <c:v>1795.59997558593</c:v>
                </c:pt>
                <c:pt idx="39">
                  <c:v>1789.69995117187</c:v>
                </c:pt>
                <c:pt idx="40">
                  <c:v>1798.59997558593</c:v>
                </c:pt>
                <c:pt idx="41">
                  <c:v>1789.69995117187</c:v>
                </c:pt>
                <c:pt idx="42">
                  <c:v>1798.59997558593</c:v>
                </c:pt>
                <c:pt idx="43">
                  <c:v>1781.40002441406</c:v>
                </c:pt>
                <c:pt idx="44">
                  <c:v>1773.19995117187</c:v>
                </c:pt>
                <c:pt idx="45">
                  <c:v>1760.30004882812</c:v>
                </c:pt>
                <c:pt idx="46">
                  <c:v>1755.30004882812</c:v>
                </c:pt>
                <c:pt idx="47">
                  <c:v>1747.59997558593</c:v>
                </c:pt>
                <c:pt idx="48">
                  <c:v>1755.30004882812</c:v>
                </c:pt>
                <c:pt idx="49">
                  <c:v>1747.59997558593</c:v>
                </c:pt>
                <c:pt idx="50">
                  <c:v>1734</c:v>
                </c:pt>
                <c:pt idx="51">
                  <c:v>1746.80004882812</c:v>
                </c:pt>
                <c:pt idx="52">
                  <c:v>1747.80004882812</c:v>
                </c:pt>
                <c:pt idx="53">
                  <c:v>1757.69995117187</c:v>
                </c:pt>
                <c:pt idx="54">
                  <c:v>1736.09997558593</c:v>
                </c:pt>
                <c:pt idx="55">
                  <c:v>1757.69995117187</c:v>
                </c:pt>
                <c:pt idx="56">
                  <c:v>1736.09997558593</c:v>
                </c:pt>
                <c:pt idx="57">
                  <c:v>1736.59997558593</c:v>
                </c:pt>
                <c:pt idx="58">
                  <c:v>1723.19995117187</c:v>
                </c:pt>
                <c:pt idx="59">
                  <c:v>1712.80004882812</c:v>
                </c:pt>
                <c:pt idx="60">
                  <c:v>1696.59997558593</c:v>
                </c:pt>
                <c:pt idx="61">
                  <c:v>1709.80004882812</c:v>
                </c:pt>
                <c:pt idx="62">
                  <c:v>1696.59997558593</c:v>
                </c:pt>
                <c:pt idx="63">
                  <c:v>1709.80004882812</c:v>
                </c:pt>
                <c:pt idx="64">
                  <c:v>1696.59997558593</c:v>
                </c:pt>
                <c:pt idx="65">
                  <c:v>1700.40002441406</c:v>
                </c:pt>
                <c:pt idx="66">
                  <c:v>1715.30004882812</c:v>
                </c:pt>
                <c:pt idx="67">
                  <c:v>1708</c:v>
                </c:pt>
                <c:pt idx="68">
                  <c:v>1716.19995117187</c:v>
                </c:pt>
                <c:pt idx="69">
                  <c:v>1708</c:v>
                </c:pt>
                <c:pt idx="70">
                  <c:v>1716.19995117187</c:v>
                </c:pt>
                <c:pt idx="71">
                  <c:v>1728.09997558593</c:v>
                </c:pt>
                <c:pt idx="72">
                  <c:v>1705</c:v>
                </c:pt>
                <c:pt idx="73">
                  <c:v>1696.5</c:v>
                </c:pt>
                <c:pt idx="74">
                  <c:v>1665.40002441406</c:v>
                </c:pt>
                <c:pt idx="75">
                  <c:v>1671.69995117187</c:v>
                </c:pt>
                <c:pt idx="76">
                  <c:v>1665.40002441406</c:v>
                </c:pt>
                <c:pt idx="77">
                  <c:v>1671.69995117187</c:v>
                </c:pt>
                <c:pt idx="78">
                  <c:v>1666.19995117187</c:v>
                </c:pt>
                <c:pt idx="79">
                  <c:v>1659.69995117187</c:v>
                </c:pt>
                <c:pt idx="80">
                  <c:v>1664.59997558593</c:v>
                </c:pt>
                <c:pt idx="81">
                  <c:v>1670.80004882812</c:v>
                </c:pt>
                <c:pt idx="82">
                  <c:v>1645.30004882812</c:v>
                </c:pt>
                <c:pt idx="83">
                  <c:v>1670.80004882812</c:v>
                </c:pt>
                <c:pt idx="84">
                  <c:v>1645.30004882812</c:v>
                </c:pt>
                <c:pt idx="85">
                  <c:v>1623.30004882812</c:v>
                </c:pt>
                <c:pt idx="86">
                  <c:v>1626.69995117187</c:v>
                </c:pt>
                <c:pt idx="87">
                  <c:v>1660.40002441406</c:v>
                </c:pt>
                <c:pt idx="88">
                  <c:v>1658.5</c:v>
                </c:pt>
                <c:pt idx="89">
                  <c:v>1662.40002441406</c:v>
                </c:pt>
                <c:pt idx="90">
                  <c:v>1658.5</c:v>
                </c:pt>
                <c:pt idx="91">
                  <c:v>1662.40002441406</c:v>
                </c:pt>
                <c:pt idx="92">
                  <c:v>1692.90002441406</c:v>
                </c:pt>
                <c:pt idx="93">
                  <c:v>1721.09997558593</c:v>
                </c:pt>
                <c:pt idx="94">
                  <c:v>1711.40002441406</c:v>
                </c:pt>
                <c:pt idx="95">
                  <c:v>1711.69995117187</c:v>
                </c:pt>
                <c:pt idx="96">
                  <c:v>1700.5</c:v>
                </c:pt>
                <c:pt idx="97">
                  <c:v>1711.69995117187</c:v>
                </c:pt>
                <c:pt idx="98">
                  <c:v>1700.5</c:v>
                </c:pt>
                <c:pt idx="99">
                  <c:v>1667.30004882812</c:v>
                </c:pt>
                <c:pt idx="100">
                  <c:v>1678.69995117187</c:v>
                </c:pt>
                <c:pt idx="101">
                  <c:v>1670.30004882812</c:v>
                </c:pt>
                <c:pt idx="102">
                  <c:v>1670</c:v>
                </c:pt>
                <c:pt idx="103">
                  <c:v>1641.69995117187</c:v>
                </c:pt>
                <c:pt idx="104">
                  <c:v>1670</c:v>
                </c:pt>
                <c:pt idx="105">
                  <c:v>1641.69995117187</c:v>
                </c:pt>
                <c:pt idx="106">
                  <c:v>1657</c:v>
                </c:pt>
                <c:pt idx="107">
                  <c:v>1649</c:v>
                </c:pt>
                <c:pt idx="108">
                  <c:v>1627.5</c:v>
                </c:pt>
                <c:pt idx="109">
                  <c:v>1630.80004882812</c:v>
                </c:pt>
                <c:pt idx="110">
                  <c:v>1651</c:v>
                </c:pt>
                <c:pt idx="111">
                  <c:v>1630.80004882812</c:v>
                </c:pt>
                <c:pt idx="112">
                  <c:v>1651</c:v>
                </c:pt>
                <c:pt idx="113">
                  <c:v>1648.69995117187</c:v>
                </c:pt>
                <c:pt idx="114">
                  <c:v>1652.80004882812</c:v>
                </c:pt>
                <c:pt idx="115">
                  <c:v>1664</c:v>
                </c:pt>
                <c:pt idx="116">
                  <c:v>1660.69995117187</c:v>
                </c:pt>
                <c:pt idx="117">
                  <c:v>1639.59997558593</c:v>
                </c:pt>
                <c:pt idx="118">
                  <c:v>1660.69995117187</c:v>
                </c:pt>
                <c:pt idx="119">
                  <c:v>1639.59997558593</c:v>
                </c:pt>
                <c:pt idx="120">
                  <c:v>1635.90002441406</c:v>
                </c:pt>
                <c:pt idx="121">
                  <c:v>1645</c:v>
                </c:pt>
                <c:pt idx="122">
                  <c:v>1645.69995117187</c:v>
                </c:pt>
                <c:pt idx="123">
                  <c:v>1627.30004882812</c:v>
                </c:pt>
                <c:pt idx="124">
                  <c:v>1672.5</c:v>
                </c:pt>
                <c:pt idx="125">
                  <c:v>1627.30004882812</c:v>
                </c:pt>
                <c:pt idx="126">
                  <c:v>1672.5</c:v>
                </c:pt>
                <c:pt idx="127">
                  <c:v>1676.5</c:v>
                </c:pt>
                <c:pt idx="128">
                  <c:v>1712.09997558593</c:v>
                </c:pt>
                <c:pt idx="129">
                  <c:v>1710.09997558593</c:v>
                </c:pt>
                <c:pt idx="130">
                  <c:v>1750.30004882812</c:v>
                </c:pt>
                <c:pt idx="131">
                  <c:v>1766</c:v>
                </c:pt>
                <c:pt idx="132">
                  <c:v>1750.30004882812</c:v>
                </c:pt>
                <c:pt idx="133">
                  <c:v>1766</c:v>
                </c:pt>
                <c:pt idx="134">
                  <c:v>1773.59997558593</c:v>
                </c:pt>
                <c:pt idx="135">
                  <c:v>1773.80004882812</c:v>
                </c:pt>
                <c:pt idx="136">
                  <c:v>1773</c:v>
                </c:pt>
                <c:pt idx="137">
                  <c:v>1760.80004882812</c:v>
                </c:pt>
                <c:pt idx="138">
                  <c:v>1751.90002441406</c:v>
                </c:pt>
                <c:pt idx="139">
                  <c:v>1760.80004882812</c:v>
                </c:pt>
                <c:pt idx="140">
                  <c:v>1751.90002441406</c:v>
                </c:pt>
                <c:pt idx="141">
                  <c:v>1737.40002441406</c:v>
                </c:pt>
                <c:pt idx="142">
                  <c:v>1738.30004882812</c:v>
                </c:pt>
                <c:pt idx="143">
                  <c:v>1744.90002441406</c:v>
                </c:pt>
                <c:pt idx="144">
                  <c:v>1738.30004882812</c:v>
                </c:pt>
                <c:pt idx="145">
                  <c:v>1753.30004882812</c:v>
                </c:pt>
                <c:pt idx="146">
                  <c:v>1738.30004882812</c:v>
                </c:pt>
                <c:pt idx="147">
                  <c:v>1753.30004882812</c:v>
                </c:pt>
                <c:pt idx="148">
                  <c:v>1740.09997558593</c:v>
                </c:pt>
                <c:pt idx="149">
                  <c:v>1748.40002441406</c:v>
                </c:pt>
                <c:pt idx="150">
                  <c:v>1746</c:v>
                </c:pt>
                <c:pt idx="151">
                  <c:v>1801.09997558593</c:v>
                </c:pt>
                <c:pt idx="152">
                  <c:v>1795.90002441406</c:v>
                </c:pt>
                <c:pt idx="153">
                  <c:v>1801.09997558593</c:v>
                </c:pt>
                <c:pt idx="154">
                  <c:v>1795.90002441406</c:v>
                </c:pt>
                <c:pt idx="155">
                  <c:v>1767.40002441406</c:v>
                </c:pt>
                <c:pt idx="156">
                  <c:v>1769.30004882812</c:v>
                </c:pt>
                <c:pt idx="157">
                  <c:v>1785.5</c:v>
                </c:pt>
                <c:pt idx="158">
                  <c:v>1788.69995117187</c:v>
                </c:pt>
                <c:pt idx="159">
                  <c:v>1798.09997558593</c:v>
                </c:pt>
                <c:pt idx="160">
                  <c:v>1788.69995117187</c:v>
                </c:pt>
                <c:pt idx="161">
                  <c:v>1798.09997558593</c:v>
                </c:pt>
                <c:pt idx="162">
                  <c:v>1780.5</c:v>
                </c:pt>
                <c:pt idx="163">
                  <c:v>1813.90002441406</c:v>
                </c:pt>
                <c:pt idx="164">
                  <c:v>1807.5</c:v>
                </c:pt>
                <c:pt idx="165">
                  <c:v>1777.19995117187</c:v>
                </c:pt>
                <c:pt idx="166">
                  <c:v>1790</c:v>
                </c:pt>
                <c:pt idx="167">
                  <c:v>1777.19995117187</c:v>
                </c:pt>
                <c:pt idx="168">
                  <c:v>1790</c:v>
                </c:pt>
                <c:pt idx="169">
                  <c:v>1787.69995117187</c:v>
                </c:pt>
                <c:pt idx="170">
                  <c:v>1815.90002441406</c:v>
                </c:pt>
                <c:pt idx="171">
                  <c:v>1815.90002441406</c:v>
                </c:pt>
                <c:pt idx="172">
                  <c:v>1787</c:v>
                </c:pt>
                <c:pt idx="173">
                  <c:v>1795.90002441406</c:v>
                </c:pt>
                <c:pt idx="174">
                  <c:v>1787</c:v>
                </c:pt>
                <c:pt idx="175">
                  <c:v>1795.90002441406</c:v>
                </c:pt>
                <c:pt idx="176">
                  <c:v>1787</c:v>
                </c:pt>
                <c:pt idx="177">
                  <c:v>1814.80004882812</c:v>
                </c:pt>
                <c:pt idx="178">
                  <c:v>1807.90002441406</c:v>
                </c:pt>
                <c:pt idx="179">
                  <c:v>1819.5</c:v>
                </c:pt>
                <c:pt idx="180">
                  <c:v>1819.69995117187</c:v>
                </c:pt>
                <c:pt idx="181">
                  <c:v>1819.5</c:v>
                </c:pt>
                <c:pt idx="182">
                  <c:v>1819.69995117187</c:v>
                </c:pt>
                <c:pt idx="183">
                  <c:v>1819.5</c:v>
                </c:pt>
                <c:pt idx="184">
                  <c:v>1839.69995117187</c:v>
                </c:pt>
                <c:pt idx="185">
                  <c:v>1852.80004882812</c:v>
                </c:pt>
                <c:pt idx="186">
                  <c:v>1834.80004882812</c:v>
                </c:pt>
                <c:pt idx="187">
                  <c:v>1864.19995117187</c:v>
                </c:pt>
                <c:pt idx="188">
                  <c:v>1834.80004882812</c:v>
                </c:pt>
                <c:pt idx="189">
                  <c:v>1864.19995117187</c:v>
                </c:pt>
                <c:pt idx="190">
                  <c:v>1872.69995117187</c:v>
                </c:pt>
                <c:pt idx="191">
                  <c:v>1871.59997558593</c:v>
                </c:pt>
                <c:pt idx="192">
                  <c:v>1874.59997558593</c:v>
                </c:pt>
                <c:pt idx="193">
                  <c:v>1895.5</c:v>
                </c:pt>
                <c:pt idx="194">
                  <c:v>1918.40002441406</c:v>
                </c:pt>
                <c:pt idx="195">
                  <c:v>1895.5</c:v>
                </c:pt>
                <c:pt idx="196">
                  <c:v>1918.40002441406</c:v>
                </c:pt>
                <c:pt idx="197">
                  <c:v>1895.5</c:v>
                </c:pt>
                <c:pt idx="198">
                  <c:v>1907.19995117187</c:v>
                </c:pt>
                <c:pt idx="199">
                  <c:v>1904.40002441406</c:v>
                </c:pt>
                <c:pt idx="200">
                  <c:v>1922.09997558593</c:v>
                </c:pt>
                <c:pt idx="201">
                  <c:v>1926.40002441406</c:v>
                </c:pt>
                <c:pt idx="202">
                  <c:v>1922.09997558593</c:v>
                </c:pt>
                <c:pt idx="203">
                  <c:v>1926.40002441406</c:v>
                </c:pt>
                <c:pt idx="204">
                  <c:v>1927.09997558593</c:v>
                </c:pt>
                <c:pt idx="205">
                  <c:v>1933.90002441406</c:v>
                </c:pt>
                <c:pt idx="206">
                  <c:v>1941.19995117187</c:v>
                </c:pt>
                <c:pt idx="207">
                  <c:v>1929.09997558593</c:v>
                </c:pt>
                <c:pt idx="208">
                  <c:v>1928.59997558593</c:v>
                </c:pt>
                <c:pt idx="209">
                  <c:v>1929.09997558593</c:v>
                </c:pt>
                <c:pt idx="210">
                  <c:v>1928.59997558593</c:v>
                </c:pt>
                <c:pt idx="211">
                  <c:v>1922.90002441406</c:v>
                </c:pt>
                <c:pt idx="212">
                  <c:v>1929.5</c:v>
                </c:pt>
                <c:pt idx="213">
                  <c:v>1927.80004882812</c:v>
                </c:pt>
                <c:pt idx="214">
                  <c:v>1916.30004882812</c:v>
                </c:pt>
                <c:pt idx="215">
                  <c:v>1862.90002441406</c:v>
                </c:pt>
                <c:pt idx="216">
                  <c:v>1916.30004882812</c:v>
                </c:pt>
                <c:pt idx="217">
                  <c:v>1862.90002441406</c:v>
                </c:pt>
                <c:pt idx="218">
                  <c:v>1866.19995117187</c:v>
                </c:pt>
                <c:pt idx="219">
                  <c:v>1871.69995117187</c:v>
                </c:pt>
                <c:pt idx="220">
                  <c:v>1877.40002441406</c:v>
                </c:pt>
                <c:pt idx="221">
                  <c:v>1866.19995117187</c:v>
                </c:pt>
                <c:pt idx="222">
                  <c:v>1862.80004882812</c:v>
                </c:pt>
                <c:pt idx="223">
                  <c:v>1866.19995117187</c:v>
                </c:pt>
                <c:pt idx="224">
                  <c:v>1862.80004882812</c:v>
                </c:pt>
                <c:pt idx="225">
                  <c:v>1851.90002441406</c:v>
                </c:pt>
                <c:pt idx="226">
                  <c:v>1854</c:v>
                </c:pt>
                <c:pt idx="227">
                  <c:v>1834.19995117187</c:v>
                </c:pt>
                <c:pt idx="228">
                  <c:v>1842</c:v>
                </c:pt>
                <c:pt idx="229">
                  <c:v>1840.40002441406</c:v>
                </c:pt>
                <c:pt idx="230">
                  <c:v>1842</c:v>
                </c:pt>
                <c:pt idx="231">
                  <c:v>1840.40002441406</c:v>
                </c:pt>
                <c:pt idx="232">
                  <c:v>1842</c:v>
                </c:pt>
                <c:pt idx="233">
                  <c:v>1833</c:v>
                </c:pt>
                <c:pt idx="234">
                  <c:v>1832</c:v>
                </c:pt>
                <c:pt idx="235">
                  <c:v>1818</c:v>
                </c:pt>
                <c:pt idx="236">
                  <c:v>1808.80004882812</c:v>
                </c:pt>
                <c:pt idx="237">
                  <c:v>1818</c:v>
                </c:pt>
                <c:pt idx="238">
                  <c:v>1808.80004882812</c:v>
                </c:pt>
                <c:pt idx="239">
                  <c:v>1817</c:v>
                </c:pt>
                <c:pt idx="240">
                  <c:v>1828.90002441406</c:v>
                </c:pt>
                <c:pt idx="241">
                  <c:v>1837.69995117187</c:v>
                </c:pt>
                <c:pt idx="242">
                  <c:v>1833.5</c:v>
                </c:pt>
                <c:pt idx="243">
                  <c:v>1847.69995117187</c:v>
                </c:pt>
                <c:pt idx="244">
                  <c:v>1833.5</c:v>
                </c:pt>
                <c:pt idx="245">
                  <c:v>1847.69995117187</c:v>
                </c:pt>
                <c:pt idx="246">
                  <c:v>1847.90002441406</c:v>
                </c:pt>
                <c:pt idx="247">
                  <c:v>1813.90002441406</c:v>
                </c:pt>
                <c:pt idx="248">
                  <c:v>1812.69995117187</c:v>
                </c:pt>
                <c:pt idx="249">
                  <c:v>1829.30004882812</c:v>
                </c:pt>
                <c:pt idx="250">
                  <c:v>1862</c:v>
                </c:pt>
                <c:pt idx="251">
                  <c:v>1829.30004882812</c:v>
                </c:pt>
                <c:pt idx="252">
                  <c:v>1862</c:v>
                </c:pt>
                <c:pt idx="253">
                  <c:v>1911.69995117187</c:v>
                </c:pt>
                <c:pt idx="254">
                  <c:v>1906.19995117187</c:v>
                </c:pt>
                <c:pt idx="255">
                  <c:v>1926.59997558593</c:v>
                </c:pt>
                <c:pt idx="256">
                  <c:v>1919</c:v>
                </c:pt>
                <c:pt idx="257">
                  <c:v>1969.80004882812</c:v>
                </c:pt>
                <c:pt idx="258">
                  <c:v>1919</c:v>
                </c:pt>
                <c:pt idx="259">
                  <c:v>1969.80004882812</c:v>
                </c:pt>
                <c:pt idx="260">
                  <c:v>1979.19995117187</c:v>
                </c:pt>
                <c:pt idx="261">
                  <c:v>1938</c:v>
                </c:pt>
                <c:pt idx="262">
                  <c:v>1946.80004882812</c:v>
                </c:pt>
                <c:pt idx="263">
                  <c:v>1993.80004882812</c:v>
                </c:pt>
                <c:pt idx="264">
                  <c:v>1982.09997558593</c:v>
                </c:pt>
                <c:pt idx="265">
                  <c:v>1993.80004882812</c:v>
                </c:pt>
                <c:pt idx="266">
                  <c:v>1982.09997558593</c:v>
                </c:pt>
                <c:pt idx="267">
                  <c:v>1952.40002441406</c:v>
                </c:pt>
                <c:pt idx="268">
                  <c:v>1972.40002441406</c:v>
                </c:pt>
                <c:pt idx="269">
                  <c:v>1966.09997558593</c:v>
                </c:pt>
                <c:pt idx="270">
                  <c:v>1980.30004882812</c:v>
                </c:pt>
                <c:pt idx="271">
                  <c:v>1969</c:v>
                </c:pt>
                <c:pt idx="272">
                  <c:v>1980.30004882812</c:v>
                </c:pt>
                <c:pt idx="273">
                  <c:v>1969</c:v>
                </c:pt>
                <c:pt idx="274">
                  <c:v>1983.90002441406</c:v>
                </c:pt>
                <c:pt idx="275">
                  <c:v>2022.19995117187</c:v>
                </c:pt>
                <c:pt idx="276">
                  <c:v>2020.90002441406</c:v>
                </c:pt>
                <c:pt idx="277">
                  <c:v>2011.90002441406</c:v>
                </c:pt>
                <c:pt idx="278">
                  <c:v>2020.90002441406</c:v>
                </c:pt>
                <c:pt idx="279">
                  <c:v>2011.90002441406</c:v>
                </c:pt>
                <c:pt idx="280">
                  <c:v>2020.90002441406</c:v>
                </c:pt>
                <c:pt idx="281">
                  <c:v>1989.09997558593</c:v>
                </c:pt>
                <c:pt idx="282">
                  <c:v>2004.80004882812</c:v>
                </c:pt>
                <c:pt idx="283">
                  <c:v>2010.90002441406</c:v>
                </c:pt>
                <c:pt idx="284">
                  <c:v>2041.30004882812</c:v>
                </c:pt>
                <c:pt idx="285">
                  <c:v>2002.19995117187</c:v>
                </c:pt>
                <c:pt idx="286">
                  <c:v>2041.30004882812</c:v>
                </c:pt>
                <c:pt idx="287">
                  <c:v>2002.19995117187</c:v>
                </c:pt>
                <c:pt idx="288">
                  <c:v>1994.19995117187</c:v>
                </c:pt>
                <c:pt idx="289">
                  <c:v>2007.40002441406</c:v>
                </c:pt>
                <c:pt idx="290">
                  <c:v>1995.19995117187</c:v>
                </c:pt>
                <c:pt idx="291">
                  <c:v>2007.59997558593</c:v>
                </c:pt>
                <c:pt idx="292">
                  <c:v>1979.5</c:v>
                </c:pt>
                <c:pt idx="293">
                  <c:v>2007.59997558593</c:v>
                </c:pt>
                <c:pt idx="294">
                  <c:v>1979.5</c:v>
                </c:pt>
                <c:pt idx="295">
                  <c:v>1989.09997558593</c:v>
                </c:pt>
                <c:pt idx="296">
                  <c:v>1994</c:v>
                </c:pt>
                <c:pt idx="297">
                  <c:v>1985.69995117187</c:v>
                </c:pt>
                <c:pt idx="298">
                  <c:v>1989.90002441406</c:v>
                </c:pt>
                <c:pt idx="299">
                  <c:v>1990.09997558593</c:v>
                </c:pt>
                <c:pt idx="300">
                  <c:v>1989.90002441406</c:v>
                </c:pt>
                <c:pt idx="301">
                  <c:v>1990.09997558593</c:v>
                </c:pt>
                <c:pt idx="302">
                  <c:v>1983.40002441406</c:v>
                </c:pt>
                <c:pt idx="303">
                  <c:v>2014.30004882812</c:v>
                </c:pt>
                <c:pt idx="304">
                  <c:v>2028.59997558593</c:v>
                </c:pt>
                <c:pt idx="305">
                  <c:v>2048</c:v>
                </c:pt>
                <c:pt idx="306">
                  <c:v>2017.40002441406</c:v>
                </c:pt>
                <c:pt idx="307">
                  <c:v>2048</c:v>
                </c:pt>
                <c:pt idx="308">
                  <c:v>2017.40002441406</c:v>
                </c:pt>
                <c:pt idx="309">
                  <c:v>2026.30004882812</c:v>
                </c:pt>
                <c:pt idx="310">
                  <c:v>2036.19995117187</c:v>
                </c:pt>
                <c:pt idx="311">
                  <c:v>2030.5</c:v>
                </c:pt>
                <c:pt idx="312">
                  <c:v>2014.69995117187</c:v>
                </c:pt>
                <c:pt idx="313">
                  <c:v>2014.5</c:v>
                </c:pt>
                <c:pt idx="314">
                  <c:v>2014.69995117187</c:v>
                </c:pt>
                <c:pt idx="315">
                  <c:v>2014.5</c:v>
                </c:pt>
                <c:pt idx="316">
                  <c:v>2018</c:v>
                </c:pt>
                <c:pt idx="317">
                  <c:v>1988.40002441406</c:v>
                </c:pt>
                <c:pt idx="318">
                  <c:v>1980.69995117187</c:v>
                </c:pt>
                <c:pt idx="319">
                  <c:v>1956.5</c:v>
                </c:pt>
                <c:pt idx="320">
                  <c:v>1978.69995117187</c:v>
                </c:pt>
                <c:pt idx="321">
                  <c:v>1956.5</c:v>
                </c:pt>
                <c:pt idx="322">
                  <c:v>1978.69995117187</c:v>
                </c:pt>
                <c:pt idx="323">
                  <c:v>1974.80004882812</c:v>
                </c:pt>
                <c:pt idx="324">
                  <c:v>1972.40002441406</c:v>
                </c:pt>
                <c:pt idx="325">
                  <c:v>1962.80004882812</c:v>
                </c:pt>
                <c:pt idx="326">
                  <c:v>1943.09997558593</c:v>
                </c:pt>
                <c:pt idx="327">
                  <c:v>1944.09997558593</c:v>
                </c:pt>
                <c:pt idx="328">
                  <c:v>1943.09997558593</c:v>
                </c:pt>
                <c:pt idx="329">
                  <c:v>1944.09997558593</c:v>
                </c:pt>
                <c:pt idx="330">
                  <c:v>1943.09997558593</c:v>
                </c:pt>
                <c:pt idx="331">
                  <c:v>1958</c:v>
                </c:pt>
                <c:pt idx="332">
                  <c:v>1963.90002441406</c:v>
                </c:pt>
                <c:pt idx="333">
                  <c:v>1978</c:v>
                </c:pt>
                <c:pt idx="334">
                  <c:v>1952.40002441406</c:v>
                </c:pt>
                <c:pt idx="335">
                  <c:v>1978</c:v>
                </c:pt>
                <c:pt idx="336">
                  <c:v>1952.40002441406</c:v>
                </c:pt>
                <c:pt idx="337">
                  <c:v>1958</c:v>
                </c:pt>
                <c:pt idx="338">
                  <c:v>1965.5</c:v>
                </c:pt>
                <c:pt idx="339">
                  <c:v>1942.69995117187</c:v>
                </c:pt>
                <c:pt idx="340">
                  <c:v>1963.59997558593</c:v>
                </c:pt>
                <c:pt idx="341">
                  <c:v>1962.19995117187</c:v>
                </c:pt>
                <c:pt idx="342">
                  <c:v>1963.59997558593</c:v>
                </c:pt>
                <c:pt idx="343">
                  <c:v>1962.19995117187</c:v>
                </c:pt>
                <c:pt idx="344">
                  <c:v>1955.30004882812</c:v>
                </c:pt>
                <c:pt idx="345">
                  <c:v>1944.59997558593</c:v>
                </c:pt>
                <c:pt idx="346">
                  <c:v>1955.30004882812</c:v>
                </c:pt>
                <c:pt idx="347">
                  <c:v>1957.80004882812</c:v>
                </c:pt>
                <c:pt idx="348">
                  <c:v>1958.40002441406</c:v>
                </c:pt>
                <c:pt idx="349">
                  <c:v>1957.80004882812</c:v>
                </c:pt>
                <c:pt idx="350">
                  <c:v>1958.40002441406</c:v>
                </c:pt>
                <c:pt idx="351">
                  <c:v>1957.80004882812</c:v>
                </c:pt>
                <c:pt idx="352">
                  <c:v>1935.5</c:v>
                </c:pt>
                <c:pt idx="353">
                  <c:v>1933.30004882812</c:v>
                </c:pt>
                <c:pt idx="354">
                  <c:v>1912.69995117187</c:v>
                </c:pt>
                <c:pt idx="355">
                  <c:v>1919.09997558593</c:v>
                </c:pt>
                <c:pt idx="356">
                  <c:v>1912.69995117187</c:v>
                </c:pt>
                <c:pt idx="357">
                  <c:v>1919.09997558593</c:v>
                </c:pt>
                <c:pt idx="358">
                  <c:v>1923.69995117187</c:v>
                </c:pt>
                <c:pt idx="359">
                  <c:v>1914</c:v>
                </c:pt>
                <c:pt idx="360">
                  <c:v>1912.30004882812</c:v>
                </c:pt>
                <c:pt idx="361">
                  <c:v>1909.19995117187</c:v>
                </c:pt>
                <c:pt idx="362">
                  <c:v>1921.09997558593</c:v>
                </c:pt>
                <c:pt idx="363">
                  <c:v>1909.19995117187</c:v>
                </c:pt>
                <c:pt idx="364">
                  <c:v>1921.09997558593</c:v>
                </c:pt>
                <c:pt idx="365">
                  <c:v>1921.69995117187</c:v>
                </c:pt>
                <c:pt idx="366">
                  <c:v>1921.09997558593</c:v>
                </c:pt>
                <c:pt idx="367">
                  <c:v>1919.59997558593</c:v>
                </c:pt>
                <c:pt idx="368">
                  <c:v>1908.69995117187</c:v>
                </c:pt>
                <c:pt idx="369">
                  <c:v>1926.19995117187</c:v>
                </c:pt>
                <c:pt idx="370">
                  <c:v>1908.69995117187</c:v>
                </c:pt>
                <c:pt idx="371">
                  <c:v>1926.19995117187</c:v>
                </c:pt>
                <c:pt idx="372">
                  <c:v>1925</c:v>
                </c:pt>
                <c:pt idx="373">
                  <c:v>1931.30004882812</c:v>
                </c:pt>
                <c:pt idx="374">
                  <c:v>1956.19995117187</c:v>
                </c:pt>
                <c:pt idx="375">
                  <c:v>1959.19995117187</c:v>
                </c:pt>
                <c:pt idx="376">
                  <c:v>1960.09997558593</c:v>
                </c:pt>
                <c:pt idx="377">
                  <c:v>1959.19995117187</c:v>
                </c:pt>
                <c:pt idx="378">
                  <c:v>1960.09997558593</c:v>
                </c:pt>
                <c:pt idx="379">
                  <c:v>1952.40002441406</c:v>
                </c:pt>
                <c:pt idx="380">
                  <c:v>1977.19995117187</c:v>
                </c:pt>
                <c:pt idx="381">
                  <c:v>1977.5</c:v>
                </c:pt>
                <c:pt idx="382">
                  <c:v>1968.30004882812</c:v>
                </c:pt>
                <c:pt idx="383">
                  <c:v>1964.30004882812</c:v>
                </c:pt>
                <c:pt idx="384">
                  <c:v>1968.30004882812</c:v>
                </c:pt>
                <c:pt idx="385">
                  <c:v>1964.30004882812</c:v>
                </c:pt>
                <c:pt idx="386">
                  <c:v>1960.30004882812</c:v>
                </c:pt>
                <c:pt idx="387">
                  <c:v>1962.09997558593</c:v>
                </c:pt>
                <c:pt idx="388">
                  <c:v>1968.90002441406</c:v>
                </c:pt>
                <c:pt idx="389">
                  <c:v>1945.40002441406</c:v>
                </c:pt>
                <c:pt idx="390">
                  <c:v>1960.40002441406</c:v>
                </c:pt>
                <c:pt idx="391">
                  <c:v>1945.40002441406</c:v>
                </c:pt>
                <c:pt idx="392">
                  <c:v>1960.40002441406</c:v>
                </c:pt>
                <c:pt idx="393">
                  <c:v>1970.5</c:v>
                </c:pt>
                <c:pt idx="394">
                  <c:v>1940.69995117187</c:v>
                </c:pt>
                <c:pt idx="395">
                  <c:v>1937.40002441406</c:v>
                </c:pt>
                <c:pt idx="396">
                  <c:v>1932</c:v>
                </c:pt>
                <c:pt idx="397">
                  <c:v>1939.59997558593</c:v>
                </c:pt>
                <c:pt idx="398">
                  <c:v>1932</c:v>
                </c:pt>
                <c:pt idx="399">
                  <c:v>1939.59997558593</c:v>
                </c:pt>
                <c:pt idx="400">
                  <c:v>1933.5</c:v>
                </c:pt>
                <c:pt idx="401">
                  <c:v>1924.09997558593</c:v>
                </c:pt>
                <c:pt idx="402">
                  <c:v>1915.40002441406</c:v>
                </c:pt>
                <c:pt idx="403">
                  <c:v>1914.40002441406</c:v>
                </c:pt>
                <c:pt idx="404">
                  <c:v>1912.90002441406</c:v>
                </c:pt>
                <c:pt idx="405">
                  <c:v>1914.40002441406</c:v>
                </c:pt>
                <c:pt idx="406">
                  <c:v>1912.90002441406</c:v>
                </c:pt>
                <c:pt idx="407">
                  <c:v>1910.59997558593</c:v>
                </c:pt>
                <c:pt idx="408">
                  <c:v>1902.5</c:v>
                </c:pt>
                <c:pt idx="409">
                  <c:v>1896.09997558593</c:v>
                </c:pt>
                <c:pt idx="410">
                  <c:v>1884.09997558593</c:v>
                </c:pt>
                <c:pt idx="411">
                  <c:v>1886.09997558593</c:v>
                </c:pt>
                <c:pt idx="412">
                  <c:v>1884.09997558593</c:v>
                </c:pt>
                <c:pt idx="413">
                  <c:v>1886.09997558593</c:v>
                </c:pt>
                <c:pt idx="414">
                  <c:v>1893.30004882812</c:v>
                </c:pt>
                <c:pt idx="415">
                  <c:v>1896.40002441406</c:v>
                </c:pt>
                <c:pt idx="416">
                  <c:v>1918.5</c:v>
                </c:pt>
                <c:pt idx="417">
                  <c:v>1918.19995117187</c:v>
                </c:pt>
                <c:pt idx="418">
                  <c:v>1911.09997558593</c:v>
                </c:pt>
                <c:pt idx="419">
                  <c:v>1918.19995117187</c:v>
                </c:pt>
                <c:pt idx="420">
                  <c:v>1911.09997558593</c:v>
                </c:pt>
                <c:pt idx="421">
                  <c:v>1917.90002441406</c:v>
                </c:pt>
                <c:pt idx="422">
                  <c:v>1936.5</c:v>
                </c:pt>
                <c:pt idx="423">
                  <c:v>1944.30004882812</c:v>
                </c:pt>
                <c:pt idx="424">
                  <c:v>1938.19995117187</c:v>
                </c:pt>
                <c:pt idx="425">
                  <c:v>1939.80004882812</c:v>
                </c:pt>
                <c:pt idx="426">
                  <c:v>1938.19995117187</c:v>
                </c:pt>
                <c:pt idx="427">
                  <c:v>1939.80004882812</c:v>
                </c:pt>
                <c:pt idx="428">
                  <c:v>1938.19995117187</c:v>
                </c:pt>
                <c:pt idx="429">
                  <c:v>1926.19995117187</c:v>
                </c:pt>
                <c:pt idx="430">
                  <c:v>1918.09997558593</c:v>
                </c:pt>
                <c:pt idx="431">
                  <c:v>1917.5</c:v>
                </c:pt>
                <c:pt idx="432">
                  <c:v>1918.40002441406</c:v>
                </c:pt>
                <c:pt idx="433">
                  <c:v>1917.5</c:v>
                </c:pt>
                <c:pt idx="434">
                  <c:v>1918.40002441406</c:v>
                </c:pt>
                <c:pt idx="435">
                  <c:v>1923.30004882812</c:v>
                </c:pt>
                <c:pt idx="436">
                  <c:v>1911.30004882812</c:v>
                </c:pt>
                <c:pt idx="437">
                  <c:v>1909.09997558593</c:v>
                </c:pt>
                <c:pt idx="438">
                  <c:v>1910</c:v>
                </c:pt>
                <c:pt idx="439">
                  <c:v>1923.69995117187</c:v>
                </c:pt>
                <c:pt idx="440">
                  <c:v>1910</c:v>
                </c:pt>
                <c:pt idx="441">
                  <c:v>1923.69995117187</c:v>
                </c:pt>
                <c:pt idx="442">
                  <c:v>1931.5</c:v>
                </c:pt>
                <c:pt idx="443">
                  <c:v>1932</c:v>
                </c:pt>
                <c:pt idx="444">
                  <c:v>1945.59997558593</c:v>
                </c:pt>
                <c:pt idx="445">
                  <c:v>1919.19995117187</c:v>
                </c:pt>
                <c:pt idx="446">
                  <c:v>1925.40002441406</c:v>
                </c:pt>
                <c:pt idx="447">
                  <c:v>1919.19995117187</c:v>
                </c:pt>
                <c:pt idx="448">
                  <c:v>1925.40002441406</c:v>
                </c:pt>
                <c:pt idx="449">
                  <c:v>1916.59997558593</c:v>
                </c:pt>
                <c:pt idx="450">
                  <c:v>1900.40002441406</c:v>
                </c:pt>
                <c:pt idx="451">
                  <c:v>1871.59997558593</c:v>
                </c:pt>
                <c:pt idx="452">
                  <c:v>1860.40002441406</c:v>
                </c:pt>
                <c:pt idx="453">
                  <c:v>1848.09997558593</c:v>
                </c:pt>
                <c:pt idx="454">
                  <c:v>1860.40002441406</c:v>
                </c:pt>
                <c:pt idx="455">
                  <c:v>1848.09997558593</c:v>
                </c:pt>
                <c:pt idx="456">
                  <c:v>1830</c:v>
                </c:pt>
                <c:pt idx="457">
                  <c:v>1824.59997558593</c:v>
                </c:pt>
                <c:pt idx="458">
                  <c:v>1818.5</c:v>
                </c:pt>
                <c:pt idx="459">
                  <c:v>1816.59997558593</c:v>
                </c:pt>
                <c:pt idx="460">
                  <c:v>1830.19995117187</c:v>
                </c:pt>
                <c:pt idx="461">
                  <c:v>1816.59997558593</c:v>
                </c:pt>
                <c:pt idx="462">
                  <c:v>1830.19995117187</c:v>
                </c:pt>
                <c:pt idx="463">
                  <c:v>1849.5</c:v>
                </c:pt>
                <c:pt idx="464">
                  <c:v>1861</c:v>
                </c:pt>
                <c:pt idx="465">
                  <c:v>1872.80004882812</c:v>
                </c:pt>
                <c:pt idx="466">
                  <c:v>1869.30004882812</c:v>
                </c:pt>
                <c:pt idx="467">
                  <c:v>1927.40002441406</c:v>
                </c:pt>
                <c:pt idx="468">
                  <c:v>1869.30004882812</c:v>
                </c:pt>
                <c:pt idx="469">
                  <c:v>1927.40002441406</c:v>
                </c:pt>
                <c:pt idx="470">
                  <c:v>1921.09997558593</c:v>
                </c:pt>
                <c:pt idx="471">
                  <c:v>1922.69995117187</c:v>
                </c:pt>
                <c:pt idx="472">
                  <c:v>1955.30004882812</c:v>
                </c:pt>
                <c:pt idx="473">
                  <c:v>1968.40002441406</c:v>
                </c:pt>
                <c:pt idx="474">
                  <c:v>1982.5</c:v>
                </c:pt>
                <c:pt idx="475">
                  <c:v>1968.40002441406</c:v>
                </c:pt>
                <c:pt idx="476">
                  <c:v>1982.5</c:v>
                </c:pt>
                <c:pt idx="477">
                  <c:v>1976.30004882812</c:v>
                </c:pt>
                <c:pt idx="478">
                  <c:v>1975</c:v>
                </c:pt>
                <c:pt idx="479">
                  <c:v>1984.09997558593</c:v>
                </c:pt>
                <c:pt idx="480">
                  <c:v>1987.19995117187</c:v>
                </c:pt>
                <c:pt idx="481">
                  <c:v>1988.59997558593</c:v>
                </c:pt>
                <c:pt idx="482">
                  <c:v>1987.19995117187</c:v>
                </c:pt>
                <c:pt idx="483">
                  <c:v>1988.59997558593</c:v>
                </c:pt>
                <c:pt idx="484">
                  <c:v>1996.19995117187</c:v>
                </c:pt>
                <c:pt idx="485">
                  <c:v>1985.19995117187</c:v>
                </c:pt>
                <c:pt idx="486">
                  <c:v>1978.80004882812</c:v>
                </c:pt>
                <c:pt idx="487">
                  <c:v>1985.59997558593</c:v>
                </c:pt>
                <c:pt idx="488">
                  <c:v>1991.5</c:v>
                </c:pt>
                <c:pt idx="489">
                  <c:v>1985.59997558593</c:v>
                </c:pt>
                <c:pt idx="490">
                  <c:v>1991.5</c:v>
                </c:pt>
                <c:pt idx="491">
                  <c:v>1981.59997558593</c:v>
                </c:pt>
                <c:pt idx="492">
                  <c:v>1966.80004882812</c:v>
                </c:pt>
                <c:pt idx="493">
                  <c:v>1951.5</c:v>
                </c:pt>
                <c:pt idx="494">
                  <c:v>1964.19995117187</c:v>
                </c:pt>
                <c:pt idx="495">
                  <c:v>1932.59997558593</c:v>
                </c:pt>
                <c:pt idx="496">
                  <c:v>1964.19995117187</c:v>
                </c:pt>
                <c:pt idx="497">
                  <c:v>1932.59997558593</c:v>
                </c:pt>
                <c:pt idx="498">
                  <c:v>1945.5</c:v>
                </c:pt>
                <c:pt idx="499">
                  <c:v>1961.80004882812</c:v>
                </c:pt>
                <c:pt idx="500">
                  <c:v>1960.09997558593</c:v>
                </c:pt>
                <c:pt idx="501">
                  <c:v>1983.90002441406</c:v>
                </c:pt>
                <c:pt idx="502">
                  <c:v>1981.59997558593</c:v>
                </c:pt>
                <c:pt idx="503">
                  <c:v>1983.90002441406</c:v>
                </c:pt>
                <c:pt idx="504">
                  <c:v>1981.59997558593</c:v>
                </c:pt>
                <c:pt idx="505">
                  <c:v>1977.69995117187</c:v>
                </c:pt>
                <c:pt idx="506">
                  <c:v>1999.30004882812</c:v>
                </c:pt>
                <c:pt idx="507">
                  <c:v>1991.40002441406</c:v>
                </c:pt>
                <c:pt idx="508">
                  <c:v>1999.30004882812</c:v>
                </c:pt>
                <c:pt idx="509">
                  <c:v>2002.19995117187</c:v>
                </c:pt>
                <c:pt idx="510">
                  <c:v>1999.30004882812</c:v>
                </c:pt>
                <c:pt idx="511">
                  <c:v>2002.19995117187</c:v>
                </c:pt>
                <c:pt idx="512">
                  <c:v>2011.80004882812</c:v>
                </c:pt>
                <c:pt idx="513">
                  <c:v>2039.69995117187</c:v>
                </c:pt>
                <c:pt idx="514">
                  <c:v>2047.09997558593</c:v>
                </c:pt>
                <c:pt idx="515">
                  <c:v>2038.09997558593</c:v>
                </c:pt>
                <c:pt idx="516">
                  <c:v>2071</c:v>
                </c:pt>
                <c:pt idx="517">
                  <c:v>2038.09997558593</c:v>
                </c:pt>
                <c:pt idx="518">
                  <c:v>2071</c:v>
                </c:pt>
                <c:pt idx="519">
                  <c:v>2024.09997558593</c:v>
                </c:pt>
                <c:pt idx="520">
                  <c:v>2018.5</c:v>
                </c:pt>
                <c:pt idx="521">
                  <c:v>2030.5</c:v>
                </c:pt>
                <c:pt idx="522">
                  <c:v>2029.90002441406</c:v>
                </c:pt>
                <c:pt idx="523">
                  <c:v>1998.30004882812</c:v>
                </c:pt>
                <c:pt idx="524">
                  <c:v>2029.90002441406</c:v>
                </c:pt>
                <c:pt idx="525">
                  <c:v>1998.30004882812</c:v>
                </c:pt>
                <c:pt idx="526">
                  <c:v>1978</c:v>
                </c:pt>
                <c:pt idx="527">
                  <c:v>1977.80004882812</c:v>
                </c:pt>
                <c:pt idx="528">
                  <c:v>1982.30004882812</c:v>
                </c:pt>
                <c:pt idx="529">
                  <c:v>2030.19995117187</c:v>
                </c:pt>
                <c:pt idx="530">
                  <c:v>2021.09997558593</c:v>
                </c:pt>
                <c:pt idx="531">
                  <c:v>2030.19995117187</c:v>
                </c:pt>
                <c:pt idx="532">
                  <c:v>2021.09997558593</c:v>
                </c:pt>
                <c:pt idx="533">
                  <c:v>2026.30004882812</c:v>
                </c:pt>
                <c:pt idx="534">
                  <c:v>2038.40002441406</c:v>
                </c:pt>
                <c:pt idx="535">
                  <c:v>2034.5</c:v>
                </c:pt>
                <c:pt idx="536">
                  <c:v>2039.09997558593</c:v>
                </c:pt>
                <c:pt idx="537">
                  <c:v>2057.10009765625</c:v>
                </c:pt>
                <c:pt idx="538">
                  <c:v>2039.09997558593</c:v>
                </c:pt>
                <c:pt idx="539">
                  <c:v>2057.10009765625</c:v>
                </c:pt>
                <c:pt idx="540">
                  <c:v>2039.09997558593</c:v>
                </c:pt>
                <c:pt idx="541">
                  <c:v>2058.19995117187</c:v>
                </c:pt>
                <c:pt idx="542">
                  <c:v>2081.89990234375</c:v>
                </c:pt>
                <c:pt idx="543">
                  <c:v>2073.89990234375</c:v>
                </c:pt>
                <c:pt idx="544">
                  <c:v>2062.39990234375</c:v>
                </c:pt>
                <c:pt idx="545">
                  <c:v>2073.89990234375</c:v>
                </c:pt>
                <c:pt idx="546">
                  <c:v>2062.39990234375</c:v>
                </c:pt>
                <c:pt idx="547">
                  <c:v>2073.89990234375</c:v>
                </c:pt>
                <c:pt idx="548">
                  <c:v>2064.39990234375</c:v>
                </c:pt>
                <c:pt idx="549">
                  <c:v>2034.19995117187</c:v>
                </c:pt>
                <c:pt idx="550">
                  <c:v>2042.30004882812</c:v>
                </c:pt>
                <c:pt idx="551">
                  <c:v>2042.40002441406</c:v>
                </c:pt>
                <c:pt idx="552">
                  <c:v>2042.30004882812</c:v>
                </c:pt>
                <c:pt idx="553">
                  <c:v>2042.40002441406</c:v>
                </c:pt>
                <c:pt idx="554">
                  <c:v>2026.59997558593</c:v>
                </c:pt>
                <c:pt idx="555">
                  <c:v>2026.40002441406</c:v>
                </c:pt>
                <c:pt idx="556">
                  <c:v>2021.69995117187</c:v>
                </c:pt>
                <c:pt idx="557">
                  <c:v>2014.30004882812</c:v>
                </c:pt>
                <c:pt idx="558">
                  <c:v>2046.69995117187</c:v>
                </c:pt>
                <c:pt idx="559">
                  <c:v>2014.30004882812</c:v>
                </c:pt>
                <c:pt idx="560">
                  <c:v>2046.69995117187</c:v>
                </c:pt>
                <c:pt idx="561">
                  <c:v>2014.30004882812</c:v>
                </c:pt>
                <c:pt idx="562">
                  <c:v>2026</c:v>
                </c:pt>
                <c:pt idx="563">
                  <c:v>2002.59997558593</c:v>
                </c:pt>
                <c:pt idx="564">
                  <c:v>2018.59997558593</c:v>
                </c:pt>
                <c:pt idx="565">
                  <c:v>2026.5</c:v>
                </c:pt>
                <c:pt idx="566">
                  <c:v>2018.59997558593</c:v>
                </c:pt>
                <c:pt idx="567">
                  <c:v>2026.5</c:v>
                </c:pt>
                <c:pt idx="568">
                  <c:v>2019.80004882812</c:v>
                </c:pt>
                <c:pt idx="569">
                  <c:v>2023.69995117187</c:v>
                </c:pt>
                <c:pt idx="570">
                  <c:v>2013.90002441406</c:v>
                </c:pt>
                <c:pt idx="571">
                  <c:v>2016.90002441406</c:v>
                </c:pt>
                <c:pt idx="572">
                  <c:v>2016.80004882812</c:v>
                </c:pt>
                <c:pt idx="573">
                  <c:v>2016.90002441406</c:v>
                </c:pt>
                <c:pt idx="574">
                  <c:v>2016.80004882812</c:v>
                </c:pt>
                <c:pt idx="575">
                  <c:v>2025.19995117187</c:v>
                </c:pt>
                <c:pt idx="576">
                  <c:v>2031.5</c:v>
                </c:pt>
                <c:pt idx="577">
                  <c:v>2048.39990234375</c:v>
                </c:pt>
                <c:pt idx="578">
                  <c:v>2053</c:v>
                </c:pt>
                <c:pt idx="579">
                  <c:v>2036.09997558593</c:v>
                </c:pt>
                <c:pt idx="580">
                  <c:v>2053</c:v>
                </c:pt>
                <c:pt idx="581">
                  <c:v>2036.09997558593</c:v>
                </c:pt>
                <c:pt idx="582">
                  <c:v>2025.69995117187</c:v>
                </c:pt>
                <c:pt idx="583">
                  <c:v>2034.5</c:v>
                </c:pt>
                <c:pt idx="584">
                  <c:v>2035.19995117187</c:v>
                </c:pt>
                <c:pt idx="585">
                  <c:v>2032.19995117187</c:v>
                </c:pt>
                <c:pt idx="586">
                  <c:v>2023.30004882812</c:v>
                </c:pt>
                <c:pt idx="587">
                  <c:v>2032.19995117187</c:v>
                </c:pt>
                <c:pt idx="588">
                  <c:v>2023.30004882812</c:v>
                </c:pt>
                <c:pt idx="589">
                  <c:v>2018.19995117187</c:v>
                </c:pt>
                <c:pt idx="590">
                  <c:v>1992.90002441406</c:v>
                </c:pt>
                <c:pt idx="591">
                  <c:v>1990.30004882812</c:v>
                </c:pt>
                <c:pt idx="592">
                  <c:v>2002.09997558593</c:v>
                </c:pt>
                <c:pt idx="593">
                  <c:v>2011.5</c:v>
                </c:pt>
                <c:pt idx="594">
                  <c:v>2002.09997558593</c:v>
                </c:pt>
                <c:pt idx="595">
                  <c:v>2011.5</c:v>
                </c:pt>
                <c:pt idx="596">
                  <c:v>2002.09997558593</c:v>
                </c:pt>
                <c:pt idx="597">
                  <c:v>2027.5</c:v>
                </c:pt>
                <c:pt idx="598">
                  <c:v>2022.30004882812</c:v>
                </c:pt>
                <c:pt idx="599">
                  <c:v>2019.69995117187</c:v>
                </c:pt>
                <c:pt idx="600">
                  <c:v>2038.59997558593</c:v>
                </c:pt>
                <c:pt idx="601">
                  <c:v>2019.69995117187</c:v>
                </c:pt>
                <c:pt idx="602">
                  <c:v>2038.59997558593</c:v>
                </c:pt>
                <c:pt idx="603">
                  <c:v>2028.5</c:v>
                </c:pt>
                <c:pt idx="604">
                  <c:v>2034</c:v>
                </c:pt>
                <c:pt idx="605">
                  <c:v>2033</c:v>
                </c:pt>
                <c:pt idx="606">
                  <c:v>2045.69995117187</c:v>
                </c:pt>
                <c:pt idx="607">
                  <c:v>2086.89990234375</c:v>
                </c:pt>
                <c:pt idx="608">
                  <c:v>2045.69995117187</c:v>
                </c:pt>
                <c:pt idx="609">
                  <c:v>2086.89990234375</c:v>
                </c:pt>
                <c:pt idx="610">
                  <c:v>2117.69995117187</c:v>
                </c:pt>
                <c:pt idx="611">
                  <c:v>2133.5</c:v>
                </c:pt>
                <c:pt idx="612">
                  <c:v>2150.30004882812</c:v>
                </c:pt>
                <c:pt idx="613">
                  <c:v>2158</c:v>
                </c:pt>
                <c:pt idx="614">
                  <c:v>2178.60009765625</c:v>
                </c:pt>
                <c:pt idx="615">
                  <c:v>2158</c:v>
                </c:pt>
                <c:pt idx="616">
                  <c:v>2178.60009765625</c:v>
                </c:pt>
                <c:pt idx="617">
                  <c:v>2182.5</c:v>
                </c:pt>
                <c:pt idx="618">
                  <c:v>2160.39990234375</c:v>
                </c:pt>
                <c:pt idx="619">
                  <c:v>2175.39990234375</c:v>
                </c:pt>
                <c:pt idx="620">
                  <c:v>2163</c:v>
                </c:pt>
                <c:pt idx="621">
                  <c:v>2157.30004882812</c:v>
                </c:pt>
                <c:pt idx="622">
                  <c:v>2163</c:v>
                </c:pt>
                <c:pt idx="623">
                  <c:v>2157.30004882812</c:v>
                </c:pt>
                <c:pt idx="624">
                  <c:v>2160.69995117187</c:v>
                </c:pt>
                <c:pt idx="625">
                  <c:v>2156.30004882812</c:v>
                </c:pt>
                <c:pt idx="626">
                  <c:v>2157.89990234375</c:v>
                </c:pt>
                <c:pt idx="627">
                  <c:v>2182.39990234375</c:v>
                </c:pt>
                <c:pt idx="628">
                  <c:v>2158.10009765625</c:v>
                </c:pt>
                <c:pt idx="629">
                  <c:v>2182.39990234375</c:v>
                </c:pt>
                <c:pt idx="630">
                  <c:v>2158.10009765625</c:v>
                </c:pt>
                <c:pt idx="631">
                  <c:v>2174.80004882812</c:v>
                </c:pt>
                <c:pt idx="632">
                  <c:v>2175.60009765625</c:v>
                </c:pt>
                <c:pt idx="633">
                  <c:v>2190.60009765625</c:v>
                </c:pt>
                <c:pt idx="634">
                  <c:v>2217.39990234375</c:v>
                </c:pt>
                <c:pt idx="635">
                  <c:v>2190.60009765625</c:v>
                </c:pt>
                <c:pt idx="636">
                  <c:v>2217.39990234375</c:v>
                </c:pt>
                <c:pt idx="637">
                  <c:v>2190.60009765625</c:v>
                </c:pt>
                <c:pt idx="638">
                  <c:v>2236.5</c:v>
                </c:pt>
                <c:pt idx="639">
                  <c:v>2261</c:v>
                </c:pt>
                <c:pt idx="640">
                  <c:v>2294.39990234375</c:v>
                </c:pt>
                <c:pt idx="641">
                  <c:v>2288.80004882812</c:v>
                </c:pt>
                <c:pt idx="642">
                  <c:v>2325.69995117187</c:v>
                </c:pt>
                <c:pt idx="643">
                  <c:v>2288.80004882812</c:v>
                </c:pt>
                <c:pt idx="644">
                  <c:v>2325.69995117187</c:v>
                </c:pt>
                <c:pt idx="645">
                  <c:v>2331.69995117187</c:v>
                </c:pt>
                <c:pt idx="646">
                  <c:v>2343.5</c:v>
                </c:pt>
                <c:pt idx="647">
                  <c:v>2329.60009765625</c:v>
                </c:pt>
                <c:pt idx="648">
                  <c:v>2354.80004882812</c:v>
                </c:pt>
                <c:pt idx="649">
                  <c:v>2356.19995117187</c:v>
                </c:pt>
                <c:pt idx="650">
                  <c:v>2354.80004882812</c:v>
                </c:pt>
                <c:pt idx="651">
                  <c:v>2356.19995117187</c:v>
                </c:pt>
                <c:pt idx="652">
                  <c:v>2365.80004882812</c:v>
                </c:pt>
                <c:pt idx="653">
                  <c:v>2390.80004882812</c:v>
                </c:pt>
                <c:pt idx="654">
                  <c:v>2371.69995117187</c:v>
                </c:pt>
                <c:pt idx="655">
                  <c:v>2382.30004882812</c:v>
                </c:pt>
                <c:pt idx="656">
                  <c:v>2398.39990234375</c:v>
                </c:pt>
                <c:pt idx="657">
                  <c:v>2382.30004882812</c:v>
                </c:pt>
                <c:pt idx="658">
                  <c:v>2398.39990234375</c:v>
                </c:pt>
                <c:pt idx="659">
                  <c:v>2332.19995117187</c:v>
                </c:pt>
                <c:pt idx="660">
                  <c:v>2327.69995117187</c:v>
                </c:pt>
                <c:pt idx="661">
                  <c:v>2324.5</c:v>
                </c:pt>
                <c:pt idx="662">
                  <c:v>2329.80004882812</c:v>
                </c:pt>
                <c:pt idx="663">
                  <c:v>2334.80004882812</c:v>
                </c:pt>
                <c:pt idx="664">
                  <c:v>2329.80004882812</c:v>
                </c:pt>
                <c:pt idx="665">
                  <c:v>2334.80004882812</c:v>
                </c:pt>
                <c:pt idx="666">
                  <c:v>2345.39990234375</c:v>
                </c:pt>
                <c:pt idx="667">
                  <c:v>2291.39990234375</c:v>
                </c:pt>
                <c:pt idx="668">
                  <c:v>2299.89990234375</c:v>
                </c:pt>
                <c:pt idx="669">
                  <c:v>2299.19995117187</c:v>
                </c:pt>
                <c:pt idx="670">
                  <c:v>2299</c:v>
                </c:pt>
                <c:pt idx="671">
                  <c:v>2299.19995117187</c:v>
                </c:pt>
                <c:pt idx="672">
                  <c:v>2299</c:v>
                </c:pt>
                <c:pt idx="673">
                  <c:v>2321.60009765625</c:v>
                </c:pt>
                <c:pt idx="674">
                  <c:v>2315.19995117187</c:v>
                </c:pt>
                <c:pt idx="675">
                  <c:v>2313.60009765625</c:v>
                </c:pt>
                <c:pt idx="676">
                  <c:v>2332.10009765625</c:v>
                </c:pt>
                <c:pt idx="677">
                  <c:v>2367.30004882812</c:v>
                </c:pt>
                <c:pt idx="678">
                  <c:v>2332.10009765625</c:v>
                </c:pt>
                <c:pt idx="679">
                  <c:v>2367.30004882812</c:v>
                </c:pt>
                <c:pt idx="680">
                  <c:v>2336.10009765625</c:v>
                </c:pt>
                <c:pt idx="681">
                  <c:v>2353.39990234375</c:v>
                </c:pt>
                <c:pt idx="682">
                  <c:v>2388.69995117187</c:v>
                </c:pt>
                <c:pt idx="683">
                  <c:v>2380</c:v>
                </c:pt>
                <c:pt idx="684">
                  <c:v>2412.19995117187</c:v>
                </c:pt>
                <c:pt idx="685">
                  <c:v>2380</c:v>
                </c:pt>
                <c:pt idx="686">
                  <c:v>2412.19995117187</c:v>
                </c:pt>
                <c:pt idx="687">
                  <c:v>2433.89990234375</c:v>
                </c:pt>
                <c:pt idx="688">
                  <c:v>2421.69995117187</c:v>
                </c:pt>
                <c:pt idx="689">
                  <c:v>2389.19995117187</c:v>
                </c:pt>
                <c:pt idx="690">
                  <c:v>2335</c:v>
                </c:pt>
                <c:pt idx="691">
                  <c:v>2332.5</c:v>
                </c:pt>
                <c:pt idx="692">
                  <c:v>2335</c:v>
                </c:pt>
                <c:pt idx="693">
                  <c:v>2332.5</c:v>
                </c:pt>
                <c:pt idx="694">
                  <c:v>2335</c:v>
                </c:pt>
                <c:pt idx="695">
                  <c:v>2355.19995117187</c:v>
                </c:pt>
                <c:pt idx="696">
                  <c:v>2340.30004882812</c:v>
                </c:pt>
                <c:pt idx="697">
                  <c:v>2342.89990234375</c:v>
                </c:pt>
                <c:pt idx="698">
                  <c:v>2322.89990234375</c:v>
                </c:pt>
                <c:pt idx="699">
                  <c:v>2342.89990234375</c:v>
                </c:pt>
                <c:pt idx="700">
                  <c:v>2322.89990234375</c:v>
                </c:pt>
                <c:pt idx="701">
                  <c:v>2346.60009765625</c:v>
                </c:pt>
                <c:pt idx="702">
                  <c:v>2325.5</c:v>
                </c:pt>
                <c:pt idx="703">
                  <c:v>2354.10009765625</c:v>
                </c:pt>
                <c:pt idx="704">
                  <c:v>2370.30004882812</c:v>
                </c:pt>
                <c:pt idx="705">
                  <c:v>2305.19995117187</c:v>
                </c:pt>
                <c:pt idx="706">
                  <c:v>2370.30004882812</c:v>
                </c:pt>
                <c:pt idx="707">
                  <c:v>2305.19995117187</c:v>
                </c:pt>
                <c:pt idx="708">
                  <c:v>2307.69995117187</c:v>
                </c:pt>
                <c:pt idx="709">
                  <c:v>2307.5</c:v>
                </c:pt>
                <c:pt idx="710">
                  <c:v>2336</c:v>
                </c:pt>
                <c:pt idx="711">
                  <c:v>2300.19995117187</c:v>
                </c:pt>
                <c:pt idx="712">
                  <c:v>2331.39990234375</c:v>
                </c:pt>
                <c:pt idx="713">
                  <c:v>2300.19995117187</c:v>
                </c:pt>
                <c:pt idx="714">
                  <c:v>2331.39990234375</c:v>
                </c:pt>
                <c:pt idx="715">
                  <c:v>2312.39990234375</c:v>
                </c:pt>
                <c:pt idx="716">
                  <c:v>2330.39990234375</c:v>
                </c:pt>
                <c:pt idx="717">
                  <c:v>2312.39990234375</c:v>
                </c:pt>
                <c:pt idx="718">
                  <c:v>2353.80004882812</c:v>
                </c:pt>
                <c:pt idx="719">
                  <c:v>2316.39990234375</c:v>
                </c:pt>
                <c:pt idx="720">
                  <c:v>2353.80004882812</c:v>
                </c:pt>
                <c:pt idx="721">
                  <c:v>2316.39990234375</c:v>
                </c:pt>
                <c:pt idx="722">
                  <c:v>2330</c:v>
                </c:pt>
                <c:pt idx="723">
                  <c:v>2316.60009765625</c:v>
                </c:pt>
                <c:pt idx="724">
                  <c:v>2299.19995117187</c:v>
                </c:pt>
                <c:pt idx="725">
                  <c:v>2324.5</c:v>
                </c:pt>
                <c:pt idx="726">
                  <c:v>2327.69995117187</c:v>
                </c:pt>
                <c:pt idx="727">
                  <c:v>2324.5</c:v>
                </c:pt>
                <c:pt idx="728">
                  <c:v>2327.69995117187</c:v>
                </c:pt>
                <c:pt idx="729">
                  <c:v>2327.60009765625</c:v>
                </c:pt>
                <c:pt idx="730">
                  <c:v>2323</c:v>
                </c:pt>
                <c:pt idx="731">
                  <c:v>2359.80004882812</c:v>
                </c:pt>
                <c:pt idx="732">
                  <c:v>2323</c:v>
                </c:pt>
                <c:pt idx="733">
                  <c:v>2388.5</c:v>
                </c:pt>
                <c:pt idx="734">
                  <c:v>2323</c:v>
                </c:pt>
                <c:pt idx="735">
                  <c:v>2388.5</c:v>
                </c:pt>
                <c:pt idx="736">
                  <c:v>2355.19995117187</c:v>
                </c:pt>
                <c:pt idx="737">
                  <c:v>2360.10009765625</c:v>
                </c:pt>
                <c:pt idx="738">
                  <c:v>2372.19995117187</c:v>
                </c:pt>
                <c:pt idx="739">
                  <c:v>2415</c:v>
                </c:pt>
                <c:pt idx="740">
                  <c:v>2414</c:v>
                </c:pt>
                <c:pt idx="741">
                  <c:v>2415</c:v>
                </c:pt>
                <c:pt idx="742">
                  <c:v>2414</c:v>
                </c:pt>
                <c:pt idx="743">
                  <c:v>2422.89990234375</c:v>
                </c:pt>
                <c:pt idx="744">
                  <c:v>2462.39990234375</c:v>
                </c:pt>
                <c:pt idx="745">
                  <c:v>2454.80004882812</c:v>
                </c:pt>
                <c:pt idx="746">
                  <c:v>2451.80004882812</c:v>
                </c:pt>
                <c:pt idx="747">
                  <c:v>2395.5</c:v>
                </c:pt>
                <c:pt idx="748">
                  <c:v>2451.80004882812</c:v>
                </c:pt>
                <c:pt idx="749">
                  <c:v>2395.5</c:v>
                </c:pt>
                <c:pt idx="750">
                  <c:v>2392</c:v>
                </c:pt>
                <c:pt idx="751">
                  <c:v>2404.60009765625</c:v>
                </c:pt>
                <c:pt idx="752">
                  <c:v>2413.30004882812</c:v>
                </c:pt>
                <c:pt idx="753">
                  <c:v>2351.89990234375</c:v>
                </c:pt>
                <c:pt idx="754">
                  <c:v>2380</c:v>
                </c:pt>
                <c:pt idx="755">
                  <c:v>2351.89990234375</c:v>
                </c:pt>
                <c:pt idx="756">
                  <c:v>2380</c:v>
                </c:pt>
                <c:pt idx="757">
                  <c:v>2377.30004882812</c:v>
                </c:pt>
                <c:pt idx="758">
                  <c:v>2405</c:v>
                </c:pt>
                <c:pt idx="759">
                  <c:v>2426.5</c:v>
                </c:pt>
                <c:pt idx="760">
                  <c:v>2435</c:v>
                </c:pt>
                <c:pt idx="761">
                  <c:v>2425.69995117187</c:v>
                </c:pt>
                <c:pt idx="762">
                  <c:v>2435</c:v>
                </c:pt>
                <c:pt idx="763">
                  <c:v>2425.69995117187</c:v>
                </c:pt>
                <c:pt idx="764">
                  <c:v>2401.69995117187</c:v>
                </c:pt>
                <c:pt idx="765">
                  <c:v>2389.10009765625</c:v>
                </c:pt>
                <c:pt idx="766">
                  <c:v>2390.5</c:v>
                </c:pt>
                <c:pt idx="767">
                  <c:v>2422.19995117187</c:v>
                </c:pt>
                <c:pt idx="768">
                  <c:v>2432.10009765625</c:v>
                </c:pt>
                <c:pt idx="769">
                  <c:v>2422.19995117187</c:v>
                </c:pt>
                <c:pt idx="770">
                  <c:v>2432.10009765625</c:v>
                </c:pt>
                <c:pt idx="771">
                  <c:v>2462.39990234375</c:v>
                </c:pt>
                <c:pt idx="772">
                  <c:v>2466.69995117187</c:v>
                </c:pt>
                <c:pt idx="773">
                  <c:v>2439.39990234375</c:v>
                </c:pt>
                <c:pt idx="774">
                  <c:v>2453.10009765625</c:v>
                </c:pt>
                <c:pt idx="775">
                  <c:v>2498.60009765625</c:v>
                </c:pt>
                <c:pt idx="776">
                  <c:v>2453.10009765625</c:v>
                </c:pt>
                <c:pt idx="777">
                  <c:v>2498.60009765625</c:v>
                </c:pt>
                <c:pt idx="778">
                  <c:v>2501.80004882812</c:v>
                </c:pt>
                <c:pt idx="779">
                  <c:v>2511.30004882812</c:v>
                </c:pt>
                <c:pt idx="780">
                  <c:v>2508.39990234375</c:v>
                </c:pt>
                <c:pt idx="781">
                  <c:v>2478.89990234375</c:v>
                </c:pt>
                <c:pt idx="782">
                  <c:v>2508.39990234375</c:v>
                </c:pt>
                <c:pt idx="783">
                  <c:v>2478.89990234375</c:v>
                </c:pt>
                <c:pt idx="784">
                  <c:v>2508.39990234375</c:v>
                </c:pt>
                <c:pt idx="785">
                  <c:v>2517.69995117187</c:v>
                </c:pt>
                <c:pt idx="786">
                  <c:v>2516</c:v>
                </c:pt>
                <c:pt idx="787">
                  <c:v>2501</c:v>
                </c:pt>
                <c:pt idx="788">
                  <c:v>2525.69995117187</c:v>
                </c:pt>
                <c:pt idx="789">
                  <c:v>2493.80004882812</c:v>
                </c:pt>
                <c:pt idx="790">
                  <c:v>2525.69995117187</c:v>
                </c:pt>
                <c:pt idx="791">
                  <c:v>2493.80004882812</c:v>
                </c:pt>
                <c:pt idx="792">
                  <c:v>2525.69995117187</c:v>
                </c:pt>
                <c:pt idx="793">
                  <c:v>2489.89990234375</c:v>
                </c:pt>
                <c:pt idx="794">
                  <c:v>2493.39990234375</c:v>
                </c:pt>
                <c:pt idx="795">
                  <c:v>2511.39990234375</c:v>
                </c:pt>
                <c:pt idx="796">
                  <c:v>2493.5</c:v>
                </c:pt>
                <c:pt idx="797">
                  <c:v>2511.39990234375</c:v>
                </c:pt>
                <c:pt idx="798">
                  <c:v>2493.5</c:v>
                </c:pt>
                <c:pt idx="799">
                  <c:v>2501.80004882812</c:v>
                </c:pt>
                <c:pt idx="800">
                  <c:v>2512.30004882812</c:v>
                </c:pt>
                <c:pt idx="801">
                  <c:v>2512.10009765625</c:v>
                </c:pt>
                <c:pt idx="802">
                  <c:v>2551.19995117187</c:v>
                </c:pt>
                <c:pt idx="803">
                  <c:v>2581.30004882812</c:v>
                </c:pt>
                <c:pt idx="804">
                  <c:v>2551.19995117187</c:v>
                </c:pt>
                <c:pt idx="805">
                  <c:v>2581.30004882812</c:v>
                </c:pt>
                <c:pt idx="806">
                  <c:v>2580.39990234375</c:v>
                </c:pt>
                <c:pt idx="807">
                  <c:v>2564.30004882812</c:v>
                </c:pt>
                <c:pt idx="808">
                  <c:v>2570.69995117187</c:v>
                </c:pt>
                <c:pt idx="809">
                  <c:v>2588</c:v>
                </c:pt>
                <c:pt idx="810">
                  <c:v>2619.89990234375</c:v>
                </c:pt>
                <c:pt idx="811">
                  <c:v>2588</c:v>
                </c:pt>
                <c:pt idx="812">
                  <c:v>2619.89990234375</c:v>
                </c:pt>
                <c:pt idx="813">
                  <c:v>2626.5</c:v>
                </c:pt>
                <c:pt idx="814">
                  <c:v>2651.19995117187</c:v>
                </c:pt>
                <c:pt idx="815">
                  <c:v>2659.19995117187</c:v>
                </c:pt>
                <c:pt idx="816">
                  <c:v>2669.89990234375</c:v>
                </c:pt>
                <c:pt idx="817">
                  <c:v>2644.30004882812</c:v>
                </c:pt>
                <c:pt idx="818">
                  <c:v>2669.89990234375</c:v>
                </c:pt>
                <c:pt idx="819">
                  <c:v>2644.30004882812</c:v>
                </c:pt>
                <c:pt idx="820">
                  <c:v>2636.10009765625</c:v>
                </c:pt>
                <c:pt idx="821">
                  <c:v>2667.30004882812</c:v>
                </c:pt>
                <c:pt idx="822">
                  <c:v>2647.10009765625</c:v>
                </c:pt>
                <c:pt idx="823">
                  <c:v>2657.10009765625</c:v>
                </c:pt>
                <c:pt idx="824">
                  <c:v>2645.80004882812</c:v>
                </c:pt>
                <c:pt idx="825">
                  <c:v>2657.10009765625</c:v>
                </c:pt>
                <c:pt idx="826">
                  <c:v>2645.80004882812</c:v>
                </c:pt>
                <c:pt idx="827">
                  <c:v>2644.80004882812</c:v>
                </c:pt>
                <c:pt idx="828">
                  <c:v>2615</c:v>
                </c:pt>
                <c:pt idx="829">
                  <c:v>2606</c:v>
                </c:pt>
                <c:pt idx="830">
                  <c:v>2620.60009765625</c:v>
                </c:pt>
                <c:pt idx="831">
                  <c:v>2657.60009765625</c:v>
                </c:pt>
                <c:pt idx="832">
                  <c:v>2620.60009765625</c:v>
                </c:pt>
                <c:pt idx="833">
                  <c:v>2657.60009765625</c:v>
                </c:pt>
                <c:pt idx="834">
                  <c:v>2647.80004882812</c:v>
                </c:pt>
                <c:pt idx="835">
                  <c:v>2661.39990234375</c:v>
                </c:pt>
                <c:pt idx="836">
                  <c:v>2674</c:v>
                </c:pt>
                <c:pt idx="837">
                  <c:v>2691</c:v>
                </c:pt>
                <c:pt idx="838">
                  <c:v>2713.69995117187</c:v>
                </c:pt>
                <c:pt idx="839">
                  <c:v>2691</c:v>
                </c:pt>
                <c:pt idx="840">
                  <c:v>2713.69995117187</c:v>
                </c:pt>
                <c:pt idx="841">
                  <c:v>2723.10009765625</c:v>
                </c:pt>
                <c:pt idx="842">
                  <c:v>2744.19995117187</c:v>
                </c:pt>
                <c:pt idx="843">
                  <c:v>2714.39990234375</c:v>
                </c:pt>
                <c:pt idx="844">
                  <c:v>2734.89990234375</c:v>
                </c:pt>
                <c:pt idx="845">
                  <c:v>2740.89990234375</c:v>
                </c:pt>
                <c:pt idx="846">
                  <c:v>2734.89990234375</c:v>
                </c:pt>
                <c:pt idx="847">
                  <c:v>2740.89990234375</c:v>
                </c:pt>
                <c:pt idx="848">
                  <c:v>2742.89990234375</c:v>
                </c:pt>
                <c:pt idx="849">
                  <c:v>2768.39990234375</c:v>
                </c:pt>
                <c:pt idx="850">
                  <c:v>2788.5</c:v>
                </c:pt>
                <c:pt idx="851">
                  <c:v>2738.30004882812</c:v>
                </c:pt>
                <c:pt idx="852">
                  <c:v>2738.60009765625</c:v>
                </c:pt>
                <c:pt idx="853">
                  <c:v>2738.30004882812</c:v>
                </c:pt>
                <c:pt idx="854">
                  <c:v>2738.60009765625</c:v>
                </c:pt>
                <c:pt idx="855">
                  <c:v>2736.10009765625</c:v>
                </c:pt>
                <c:pt idx="856">
                  <c:v>2740.30004882812</c:v>
                </c:pt>
                <c:pt idx="857">
                  <c:v>2667.60009765625</c:v>
                </c:pt>
                <c:pt idx="858">
                  <c:v>2698.39990234375</c:v>
                </c:pt>
                <c:pt idx="859">
                  <c:v>2687.5</c:v>
                </c:pt>
                <c:pt idx="860">
                  <c:v>2698.39990234375</c:v>
                </c:pt>
                <c:pt idx="861">
                  <c:v>2687.5</c:v>
                </c:pt>
                <c:pt idx="862">
                  <c:v>2611.19995117187</c:v>
                </c:pt>
                <c:pt idx="863">
                  <c:v>2600</c:v>
                </c:pt>
                <c:pt idx="864">
                  <c:v>2580.80004882812</c:v>
                </c:pt>
                <c:pt idx="865">
                  <c:v>2568.19995117187</c:v>
                </c:pt>
                <c:pt idx="866">
                  <c:v>2565.69995117187</c:v>
                </c:pt>
                <c:pt idx="867">
                  <c:v>2568.19995117187</c:v>
                </c:pt>
                <c:pt idx="868">
                  <c:v>2565.69995117187</c:v>
                </c:pt>
                <c:pt idx="869">
                  <c:v>2610.60009765625</c:v>
                </c:pt>
                <c:pt idx="870">
                  <c:v>2627.10009765625</c:v>
                </c:pt>
                <c:pt idx="871">
                  <c:v>2648.19995117187</c:v>
                </c:pt>
                <c:pt idx="872">
                  <c:v>2672.10009765625</c:v>
                </c:pt>
                <c:pt idx="873">
                  <c:v>2709.89990234375</c:v>
                </c:pt>
                <c:pt idx="874">
                  <c:v>2672.10009765625</c:v>
                </c:pt>
                <c:pt idx="875">
                  <c:v>2709.89990234375</c:v>
                </c:pt>
                <c:pt idx="876">
                  <c:v>2616.80004882812</c:v>
                </c:pt>
                <c:pt idx="877">
                  <c:v>2620.30004882812</c:v>
                </c:pt>
                <c:pt idx="878">
                  <c:v>2639.89990234375</c:v>
                </c:pt>
                <c:pt idx="879">
                  <c:v>2620.30004882812</c:v>
                </c:pt>
                <c:pt idx="880">
                  <c:v>2657</c:v>
                </c:pt>
                <c:pt idx="881">
                  <c:v>2620.30004882812</c:v>
                </c:pt>
                <c:pt idx="882">
                  <c:v>2657</c:v>
                </c:pt>
                <c:pt idx="883">
                  <c:v>2634.89990234375</c:v>
                </c:pt>
                <c:pt idx="884">
                  <c:v>2644.69995117187</c:v>
                </c:pt>
                <c:pt idx="885">
                  <c:v>2653.80004882812</c:v>
                </c:pt>
                <c:pt idx="886">
                  <c:v>2626.60009765625</c:v>
                </c:pt>
                <c:pt idx="887">
                  <c:v>2638.60009765625</c:v>
                </c:pt>
                <c:pt idx="888">
                  <c:v>2626.60009765625</c:v>
                </c:pt>
                <c:pt idx="889">
                  <c:v>2638.60009765625</c:v>
                </c:pt>
                <c:pt idx="890">
                  <c:v>2664.89990234375</c:v>
                </c:pt>
                <c:pt idx="891">
                  <c:v>2697.60009765625</c:v>
                </c:pt>
                <c:pt idx="892">
                  <c:v>2733.80004882812</c:v>
                </c:pt>
                <c:pt idx="893">
                  <c:v>2687.5</c:v>
                </c:pt>
                <c:pt idx="894">
                  <c:v>2656</c:v>
                </c:pt>
                <c:pt idx="895">
                  <c:v>2687.5</c:v>
                </c:pt>
                <c:pt idx="896">
                  <c:v>2656</c:v>
                </c:pt>
                <c:pt idx="897">
                  <c:v>2651.39990234375</c:v>
                </c:pt>
                <c:pt idx="898">
                  <c:v>2644.39990234375</c:v>
                </c:pt>
                <c:pt idx="899">
                  <c:v>2636.5</c:v>
                </c:pt>
                <c:pt idx="900">
                  <c:v>2592.19995117187</c:v>
                </c:pt>
                <c:pt idx="901">
                  <c:v>2628.69995117187</c:v>
                </c:pt>
                <c:pt idx="902">
                  <c:v>2592.19995117187</c:v>
                </c:pt>
                <c:pt idx="903">
                  <c:v>2628.69995117187</c:v>
                </c:pt>
                <c:pt idx="904">
                  <c:v>2612.30004882812</c:v>
                </c:pt>
                <c:pt idx="905">
                  <c:v>2620</c:v>
                </c:pt>
                <c:pt idx="906">
                  <c:v>2612.30004882812</c:v>
                </c:pt>
                <c:pt idx="907">
                  <c:v>2638.80004882812</c:v>
                </c:pt>
                <c:pt idx="908">
                  <c:v>2617.19995117187</c:v>
                </c:pt>
                <c:pt idx="909">
                  <c:v>2638.80004882812</c:v>
                </c:pt>
                <c:pt idx="910">
                  <c:v>2617.19995117187</c:v>
                </c:pt>
                <c:pt idx="911">
                  <c:v>2606.10009765625</c:v>
                </c:pt>
                <c:pt idx="912">
                  <c:v>2629.19995117187</c:v>
                </c:pt>
                <c:pt idx="913">
                  <c:v>2606.10009765625</c:v>
                </c:pt>
                <c:pt idx="914">
                  <c:v>2658.89990234375</c:v>
                </c:pt>
                <c:pt idx="915">
                  <c:v>2645</c:v>
                </c:pt>
                <c:pt idx="916">
                  <c:v>2658.89990234375</c:v>
                </c:pt>
                <c:pt idx="917">
                  <c:v>2645</c:v>
                </c:pt>
                <c:pt idx="918">
                  <c:v>2638.39990234375</c:v>
                </c:pt>
                <c:pt idx="919">
                  <c:v>2656.69995117187</c:v>
                </c:pt>
                <c:pt idx="920">
                  <c:v>2664.5</c:v>
                </c:pt>
                <c:pt idx="921">
                  <c:v>2683.80004882812</c:v>
                </c:pt>
                <c:pt idx="922">
                  <c:v>2708.5</c:v>
                </c:pt>
                <c:pt idx="923">
                  <c:v>2683.80004882812</c:v>
                </c:pt>
                <c:pt idx="924">
                  <c:v>2708.5</c:v>
                </c:pt>
                <c:pt idx="925">
                  <c:v>2673.5</c:v>
                </c:pt>
                <c:pt idx="926">
                  <c:v>2677.5</c:v>
                </c:pt>
                <c:pt idx="927">
                  <c:v>2712.5</c:v>
                </c:pt>
                <c:pt idx="928">
                  <c:v>2746.39990234375</c:v>
                </c:pt>
                <c:pt idx="929">
                  <c:v>2744.30004882812</c:v>
                </c:pt>
                <c:pt idx="930">
                  <c:v>2746.39990234375</c:v>
                </c:pt>
                <c:pt idx="931">
                  <c:v>2744.30004882812</c:v>
                </c:pt>
                <c:pt idx="932">
                  <c:v>2746.39990234375</c:v>
                </c:pt>
                <c:pt idx="933">
                  <c:v>2755</c:v>
                </c:pt>
                <c:pt idx="934">
                  <c:v>2767.60009765625</c:v>
                </c:pt>
                <c:pt idx="935">
                  <c:v>2763.10009765625</c:v>
                </c:pt>
                <c:pt idx="936">
                  <c:v>2777.30004882812</c:v>
                </c:pt>
                <c:pt idx="937">
                  <c:v>2763.10009765625</c:v>
                </c:pt>
                <c:pt idx="938">
                  <c:v>2777.30004882812</c:v>
                </c:pt>
                <c:pt idx="939">
                  <c:v>2737.5</c:v>
                </c:pt>
                <c:pt idx="940">
                  <c:v>2766.80004882812</c:v>
                </c:pt>
                <c:pt idx="941">
                  <c:v>2769.10009765625</c:v>
                </c:pt>
                <c:pt idx="942">
                  <c:v>2823</c:v>
                </c:pt>
                <c:pt idx="943">
                  <c:v>2812.5</c:v>
                </c:pt>
                <c:pt idx="944">
                  <c:v>2823</c:v>
                </c:pt>
                <c:pt idx="945">
                  <c:v>2812.5</c:v>
                </c:pt>
                <c:pt idx="946">
                  <c:v>2833.89990234375</c:v>
                </c:pt>
                <c:pt idx="947">
                  <c:v>2853.30004882812</c:v>
                </c:pt>
                <c:pt idx="948">
                  <c:v>2871.60009765625</c:v>
                </c:pt>
                <c:pt idx="949">
                  <c:v>2856</c:v>
                </c:pt>
                <c:pt idx="950">
                  <c:v>2867.30004882812</c:v>
                </c:pt>
                <c:pt idx="951">
                  <c:v>2856</c:v>
                </c:pt>
                <c:pt idx="952">
                  <c:v>2867.30004882812</c:v>
                </c:pt>
                <c:pt idx="953">
                  <c:v>2914.30004882812</c:v>
                </c:pt>
                <c:pt idx="954">
                  <c:v>2912.5</c:v>
                </c:pt>
                <c:pt idx="955">
                  <c:v>2909</c:v>
                </c:pt>
                <c:pt idx="956">
                  <c:v>2925.89990234375</c:v>
                </c:pt>
                <c:pt idx="957">
                  <c:v>2883.60009765625</c:v>
                </c:pt>
                <c:pt idx="958">
                  <c:v>2925.89990234375</c:v>
                </c:pt>
                <c:pt idx="959">
                  <c:v>2883.60009765625</c:v>
                </c:pt>
                <c:pt idx="960">
                  <c:v>2925.89990234375</c:v>
                </c:pt>
                <c:pt idx="961">
                  <c:v>2931.60009765625</c:v>
                </c:pt>
                <c:pt idx="962">
                  <c:v>2919.39990234375</c:v>
                </c:pt>
                <c:pt idx="963">
                  <c:v>2940</c:v>
                </c:pt>
                <c:pt idx="964">
                  <c:v>2937.60009765625</c:v>
                </c:pt>
                <c:pt idx="965">
                  <c:v>2940</c:v>
                </c:pt>
                <c:pt idx="966">
                  <c:v>2937.60009765625</c:v>
                </c:pt>
                <c:pt idx="967">
                  <c:v>2947.89990234375</c:v>
                </c:pt>
                <c:pt idx="968">
                  <c:v>2904.5</c:v>
                </c:pt>
                <c:pt idx="969">
                  <c:v>2916.80004882812</c:v>
                </c:pt>
                <c:pt idx="970">
                  <c:v>2883.19995117187</c:v>
                </c:pt>
                <c:pt idx="971">
                  <c:v>2836.80004882812</c:v>
                </c:pt>
                <c:pt idx="972">
                  <c:v>2883.19995117187</c:v>
                </c:pt>
                <c:pt idx="973">
                  <c:v>2836.80004882812</c:v>
                </c:pt>
                <c:pt idx="974">
                  <c:v>2890.19995117187</c:v>
                </c:pt>
                <c:pt idx="975">
                  <c:v>2909.60009765625</c:v>
                </c:pt>
                <c:pt idx="976">
                  <c:v>2915.30004882812</c:v>
                </c:pt>
                <c:pt idx="977">
                  <c:v>2916.60009765625</c:v>
                </c:pt>
                <c:pt idx="978">
                  <c:v>2904.69995117187</c:v>
                </c:pt>
                <c:pt idx="979">
                  <c:v>2916.60009765625</c:v>
                </c:pt>
                <c:pt idx="980">
                  <c:v>2904.69995117187</c:v>
                </c:pt>
                <c:pt idx="981">
                  <c:v>2891</c:v>
                </c:pt>
                <c:pt idx="982">
                  <c:v>2912.89990234375</c:v>
                </c:pt>
                <c:pt idx="983">
                  <c:v>2939.10009765625</c:v>
                </c:pt>
                <c:pt idx="984">
                  <c:v>2984.30004882812</c:v>
                </c:pt>
                <c:pt idx="985">
                  <c:v>2994.5</c:v>
                </c:pt>
                <c:pt idx="986">
                  <c:v>2984.30004882812</c:v>
                </c:pt>
                <c:pt idx="987">
                  <c:v>2994.5</c:v>
                </c:pt>
                <c:pt idx="988">
                  <c:v>3000</c:v>
                </c:pt>
                <c:pt idx="989">
                  <c:v>3035.10009765625</c:v>
                </c:pt>
                <c:pt idx="990">
                  <c:v>3035.89990234375</c:v>
                </c:pt>
                <c:pt idx="991">
                  <c:v>3040</c:v>
                </c:pt>
                <c:pt idx="992">
                  <c:v>3018.19995117187</c:v>
                </c:pt>
                <c:pt idx="993">
                  <c:v>3040</c:v>
                </c:pt>
                <c:pt idx="994">
                  <c:v>3018.19995117187</c:v>
                </c:pt>
                <c:pt idx="995">
                  <c:v>3013.10009765625</c:v>
                </c:pt>
                <c:pt idx="996">
                  <c:v>3023.69995117187</c:v>
                </c:pt>
                <c:pt idx="997">
                  <c:v>3020.89990234375</c:v>
                </c:pt>
                <c:pt idx="998">
                  <c:v>3060.19995117187</c:v>
                </c:pt>
                <c:pt idx="999">
                  <c:v>3086.5</c:v>
                </c:pt>
                <c:pt idx="1000">
                  <c:v>3060.19995117187</c:v>
                </c:pt>
              </c:numCache>
            </c:numRef>
          </c:val>
          <c:smooth val="0"/>
          <c:extLst>
            <c:ext xmlns:c16="http://schemas.microsoft.com/office/drawing/2014/chart" uri="{C3380CC4-5D6E-409C-BE32-E72D297353CC}">
              <c16:uniqueId val="{00000003-88CF-498E-A80A-0B7A40FBE858}"/>
            </c:ext>
          </c:extLst>
        </c:ser>
        <c:dLbls>
          <c:showLegendKey val="0"/>
          <c:showVal val="0"/>
          <c:showCatName val="0"/>
          <c:showSerName val="0"/>
          <c:showPercent val="0"/>
          <c:showBubbleSize val="0"/>
        </c:dLbls>
        <c:marker val="1"/>
        <c:smooth val="0"/>
        <c:axId val="365904416"/>
        <c:axId val="365901056"/>
      </c:lineChart>
      <c:catAx>
        <c:axId val="399455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Fecha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99459200"/>
        <c:crosses val="autoZero"/>
        <c:auto val="1"/>
        <c:lblAlgn val="ctr"/>
        <c:lblOffset val="100"/>
        <c:noMultiLvlLbl val="0"/>
      </c:catAx>
      <c:valAx>
        <c:axId val="399459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BTC 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99455360"/>
        <c:crosses val="autoZero"/>
        <c:crossBetween val="between"/>
      </c:valAx>
      <c:valAx>
        <c:axId val="36590105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Gold</a:t>
                </a:r>
                <a:r>
                  <a:rPr lang="es-AR" baseline="0"/>
                  <a:t> Precio</a:t>
                </a:r>
                <a:endParaRPr lang="es-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65904416"/>
        <c:crosses val="max"/>
        <c:crossBetween val="between"/>
      </c:valAx>
      <c:catAx>
        <c:axId val="365904416"/>
        <c:scaling>
          <c:orientation val="minMax"/>
        </c:scaling>
        <c:delete val="1"/>
        <c:axPos val="b"/>
        <c:numFmt formatCode="General" sourceLinked="1"/>
        <c:majorTickMark val="out"/>
        <c:minorTickMark val="none"/>
        <c:tickLblPos val="nextTo"/>
        <c:crossAx val="3659010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doughnutChart>
        <c:varyColors val="1"/>
        <c:ser>
          <c:idx val="0"/>
          <c:order val="0"/>
          <c:tx>
            <c:v>Total</c:v>
          </c:tx>
          <c:dPt>
            <c:idx val="0"/>
            <c:bubble3D val="0"/>
            <c:spPr>
              <a:solidFill>
                <a:schemeClr val="accent1"/>
              </a:solidFill>
              <a:ln>
                <a:noFill/>
              </a:ln>
              <a:effectLst/>
            </c:spPr>
            <c:extLst>
              <c:ext xmlns:c16="http://schemas.microsoft.com/office/drawing/2014/chart" uri="{C3380CC4-5D6E-409C-BE32-E72D297353CC}">
                <c16:uniqueId val="{00000001-23B5-4A36-A336-118BEE4E9895}"/>
              </c:ext>
            </c:extLst>
          </c:dPt>
          <c:dPt>
            <c:idx val="1"/>
            <c:bubble3D val="0"/>
            <c:spPr>
              <a:solidFill>
                <a:schemeClr val="accent2"/>
              </a:solidFill>
              <a:ln>
                <a:noFill/>
              </a:ln>
              <a:effectLst/>
            </c:spPr>
            <c:extLst>
              <c:ext xmlns:c16="http://schemas.microsoft.com/office/drawing/2014/chart" uri="{C3380CC4-5D6E-409C-BE32-E72D297353CC}">
                <c16:uniqueId val="{00000003-23B5-4A36-A336-118BEE4E9895}"/>
              </c:ext>
            </c:extLst>
          </c:dPt>
          <c:dPt>
            <c:idx val="2"/>
            <c:bubble3D val="0"/>
            <c:spPr>
              <a:solidFill>
                <a:schemeClr val="accent3"/>
              </a:solidFill>
              <a:ln>
                <a:noFill/>
              </a:ln>
              <a:effectLst/>
            </c:spPr>
            <c:extLst>
              <c:ext xmlns:c16="http://schemas.microsoft.com/office/drawing/2014/chart" uri="{C3380CC4-5D6E-409C-BE32-E72D297353CC}">
                <c16:uniqueId val="{00000005-23B5-4A36-A336-118BEE4E9895}"/>
              </c:ext>
            </c:extLst>
          </c:dPt>
          <c:dPt>
            <c:idx val="3"/>
            <c:bubble3D val="0"/>
            <c:spPr>
              <a:solidFill>
                <a:schemeClr val="accent4"/>
              </a:solidFill>
              <a:ln>
                <a:noFill/>
              </a:ln>
              <a:effectLst/>
            </c:spPr>
            <c:extLst>
              <c:ext xmlns:c16="http://schemas.microsoft.com/office/drawing/2014/chart" uri="{C3380CC4-5D6E-409C-BE32-E72D297353CC}">
                <c16:uniqueId val="{00000007-23B5-4A36-A336-118BEE4E9895}"/>
              </c:ext>
            </c:extLst>
          </c:dPt>
          <c:cat>
            <c:strLit>
              <c:ptCount val="4"/>
              <c:pt idx="0">
                <c:v>Codicia</c:v>
              </c:pt>
              <c:pt idx="1">
                <c:v>Codicia Extrema</c:v>
              </c:pt>
              <c:pt idx="2">
                <c:v>Miedo</c:v>
              </c:pt>
              <c:pt idx="3">
                <c:v>Miedo Extremo</c:v>
              </c:pt>
            </c:strLit>
          </c:cat>
          <c:val>
            <c:numLit>
              <c:formatCode>General</c:formatCode>
              <c:ptCount val="4"/>
              <c:pt idx="0">
                <c:v>480</c:v>
              </c:pt>
              <c:pt idx="1">
                <c:v>116</c:v>
              </c:pt>
              <c:pt idx="2">
                <c:v>315</c:v>
              </c:pt>
              <c:pt idx="3">
                <c:v>90</c:v>
              </c:pt>
            </c:numLit>
          </c:val>
          <c:extLst>
            <c:ext xmlns:c16="http://schemas.microsoft.com/office/drawing/2014/chart" uri="{C3380CC4-5D6E-409C-BE32-E72D297353CC}">
              <c16:uniqueId val="{00000008-23B5-4A36-A336-118BEE4E989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[FerreiraFabianBTCfinal.xlsm]IRX-index!TablaDinámica10</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Gráfico IRX-índex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'IRX-index'!$C$3</c:f>
              <c:strCache>
                <c:ptCount val="1"/>
                <c:pt idx="0">
                  <c:v>Promedio de index</c:v>
                </c:pt>
              </c:strCache>
            </c:strRef>
          </c:tx>
          <c:spPr>
            <a:ln w="28575" cap="rnd">
              <a:gradFill flip="none" rotWithShape="1">
                <a:gsLst>
                  <a:gs pos="0">
                    <a:srgbClr val="FF0000"/>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prstDash val="sysDash"/>
              <a:round/>
            </a:ln>
            <a:effectLst/>
          </c:spPr>
          <c:marker>
            <c:symbol val="none"/>
          </c:marker>
          <c:cat>
            <c:strRef>
              <c:f>'IRX-index'!$B$4:$B$1005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'IRX-index'!$C$4:$C$1005</c:f>
              <c:numCache>
                <c:formatCode>General</c:formatCode>
                <c:ptCount val="1001"/>
                <c:pt idx="0">
                  <c:v>14</c:v>
                </c:pt>
                <c:pt idx="1">
                  <c:v>19</c:v>
                </c:pt>
                <c:pt idx="2">
                  <c:v>18</c:v>
                </c:pt>
                <c:pt idx="3">
                  <c:v>18</c:v>
                </c:pt>
                <c:pt idx="4">
                  <c:v>20</c:v>
                </c:pt>
                <c:pt idx="5">
                  <c:v>24</c:v>
                </c:pt>
                <c:pt idx="6">
                  <c:v>24</c:v>
                </c:pt>
                <c:pt idx="7">
                  <c:v>22</c:v>
                </c:pt>
                <c:pt idx="8">
                  <c:v>16</c:v>
                </c:pt>
                <c:pt idx="9">
                  <c:v>15</c:v>
                </c:pt>
                <c:pt idx="10">
                  <c:v>18</c:v>
                </c:pt>
                <c:pt idx="11">
                  <c:v>15</c:v>
                </c:pt>
                <c:pt idx="12">
                  <c:v>21</c:v>
                </c:pt>
                <c:pt idx="13">
                  <c:v>24</c:v>
                </c:pt>
                <c:pt idx="14">
                  <c:v>20</c:v>
                </c:pt>
                <c:pt idx="15">
                  <c:v>30</c:v>
                </c:pt>
                <c:pt idx="16">
                  <c:v>31</c:v>
                </c:pt>
                <c:pt idx="17">
                  <c:v>34</c:v>
                </c:pt>
                <c:pt idx="18">
                  <c:v>33</c:v>
                </c:pt>
                <c:pt idx="19">
                  <c:v>31</c:v>
                </c:pt>
                <c:pt idx="20">
                  <c:v>30</c:v>
                </c:pt>
                <c:pt idx="21">
                  <c:v>30</c:v>
                </c:pt>
                <c:pt idx="22">
                  <c:v>26</c:v>
                </c:pt>
                <c:pt idx="23">
                  <c:v>28</c:v>
                </c:pt>
                <c:pt idx="24">
                  <c:v>32</c:v>
                </c:pt>
                <c:pt idx="25">
                  <c:v>39</c:v>
                </c:pt>
                <c:pt idx="26">
                  <c:v>42</c:v>
                </c:pt>
                <c:pt idx="27">
                  <c:v>39</c:v>
                </c:pt>
                <c:pt idx="28">
                  <c:v>33</c:v>
                </c:pt>
                <c:pt idx="29">
                  <c:v>31</c:v>
                </c:pt>
                <c:pt idx="30">
                  <c:v>34</c:v>
                </c:pt>
                <c:pt idx="31">
                  <c:v>30</c:v>
                </c:pt>
                <c:pt idx="32">
                  <c:v>31</c:v>
                </c:pt>
                <c:pt idx="33">
                  <c:v>31</c:v>
                </c:pt>
                <c:pt idx="34">
                  <c:v>30</c:v>
                </c:pt>
                <c:pt idx="35">
                  <c:v>30</c:v>
                </c:pt>
                <c:pt idx="36">
                  <c:v>42</c:v>
                </c:pt>
                <c:pt idx="37">
                  <c:v>31</c:v>
                </c:pt>
                <c:pt idx="38">
                  <c:v>41</c:v>
                </c:pt>
                <c:pt idx="39">
                  <c:v>42</c:v>
                </c:pt>
                <c:pt idx="40">
                  <c:v>46</c:v>
                </c:pt>
                <c:pt idx="41">
                  <c:v>47</c:v>
                </c:pt>
                <c:pt idx="42">
                  <c:v>45</c:v>
                </c:pt>
                <c:pt idx="43">
                  <c:v>44</c:v>
                </c:pt>
                <c:pt idx="44">
                  <c:v>41</c:v>
                </c:pt>
                <c:pt idx="45">
                  <c:v>30</c:v>
                </c:pt>
                <c:pt idx="46">
                  <c:v>33</c:v>
                </c:pt>
                <c:pt idx="47">
                  <c:v>29</c:v>
                </c:pt>
                <c:pt idx="48">
                  <c:v>27</c:v>
                </c:pt>
                <c:pt idx="49">
                  <c:v>29</c:v>
                </c:pt>
                <c:pt idx="50">
                  <c:v>28</c:v>
                </c:pt>
                <c:pt idx="51">
                  <c:v>25</c:v>
                </c:pt>
                <c:pt idx="52">
                  <c:v>25</c:v>
                </c:pt>
                <c:pt idx="53">
                  <c:v>27</c:v>
                </c:pt>
                <c:pt idx="54">
                  <c:v>28</c:v>
                </c:pt>
                <c:pt idx="55">
                  <c:v>28</c:v>
                </c:pt>
                <c:pt idx="56">
                  <c:v>24</c:v>
                </c:pt>
                <c:pt idx="57">
                  <c:v>27</c:v>
                </c:pt>
                <c:pt idx="58">
                  <c:v>23</c:v>
                </c:pt>
                <c:pt idx="59">
                  <c:v>20</c:v>
                </c:pt>
                <c:pt idx="60">
                  <c:v>25</c:v>
                </c:pt>
                <c:pt idx="61">
                  <c:v>21</c:v>
                </c:pt>
                <c:pt idx="62">
                  <c:v>20</c:v>
                </c:pt>
                <c:pt idx="63">
                  <c:v>23</c:v>
                </c:pt>
                <c:pt idx="64">
                  <c:v>22</c:v>
                </c:pt>
                <c:pt idx="65">
                  <c:v>24</c:v>
                </c:pt>
                <c:pt idx="66">
                  <c:v>20</c:v>
                </c:pt>
                <c:pt idx="67">
                  <c:v>22</c:v>
                </c:pt>
                <c:pt idx="68">
                  <c:v>28</c:v>
                </c:pt>
                <c:pt idx="69">
                  <c:v>26</c:v>
                </c:pt>
                <c:pt idx="70">
                  <c:v>25</c:v>
                </c:pt>
                <c:pt idx="71">
                  <c:v>34</c:v>
                </c:pt>
                <c:pt idx="72">
                  <c:v>27</c:v>
                </c:pt>
                <c:pt idx="73">
                  <c:v>28</c:v>
                </c:pt>
                <c:pt idx="74">
                  <c:v>20</c:v>
                </c:pt>
                <c:pt idx="75">
                  <c:v>22</c:v>
                </c:pt>
                <c:pt idx="76">
                  <c:v>27</c:v>
                </c:pt>
                <c:pt idx="77">
                  <c:v>21</c:v>
                </c:pt>
                <c:pt idx="78">
                  <c:v>23</c:v>
                </c:pt>
                <c:pt idx="79">
                  <c:v>23</c:v>
                </c:pt>
                <c:pt idx="80">
                  <c:v>22</c:v>
                </c:pt>
                <c:pt idx="81">
                  <c:v>20</c:v>
                </c:pt>
                <c:pt idx="82">
                  <c:v>24</c:v>
                </c:pt>
                <c:pt idx="83">
                  <c:v>24</c:v>
                </c:pt>
                <c:pt idx="84">
                  <c:v>21</c:v>
                </c:pt>
                <c:pt idx="85">
                  <c:v>20</c:v>
                </c:pt>
                <c:pt idx="86">
                  <c:v>20</c:v>
                </c:pt>
                <c:pt idx="87">
                  <c:v>22</c:v>
                </c:pt>
                <c:pt idx="88">
                  <c:v>21</c:v>
                </c:pt>
                <c:pt idx="89">
                  <c:v>20</c:v>
                </c:pt>
                <c:pt idx="90">
                  <c:v>24</c:v>
                </c:pt>
                <c:pt idx="91">
                  <c:v>24</c:v>
                </c:pt>
                <c:pt idx="92">
                  <c:v>20</c:v>
                </c:pt>
                <c:pt idx="93">
                  <c:v>25</c:v>
                </c:pt>
                <c:pt idx="94">
                  <c:v>26</c:v>
                </c:pt>
                <c:pt idx="95">
                  <c:v>23</c:v>
                </c:pt>
                <c:pt idx="96">
                  <c:v>24</c:v>
                </c:pt>
                <c:pt idx="97">
                  <c:v>22</c:v>
                </c:pt>
                <c:pt idx="98">
                  <c:v>22</c:v>
                </c:pt>
                <c:pt idx="99">
                  <c:v>24</c:v>
                </c:pt>
                <c:pt idx="100">
                  <c:v>20</c:v>
                </c:pt>
                <c:pt idx="101">
                  <c:v>20</c:v>
                </c:pt>
                <c:pt idx="102">
                  <c:v>24</c:v>
                </c:pt>
                <c:pt idx="103">
                  <c:v>24</c:v>
                </c:pt>
                <c:pt idx="104">
                  <c:v>24</c:v>
                </c:pt>
                <c:pt idx="105">
                  <c:v>20</c:v>
                </c:pt>
                <c:pt idx="106">
                  <c:v>22</c:v>
                </c:pt>
                <c:pt idx="107">
                  <c:v>23</c:v>
                </c:pt>
                <c:pt idx="108">
                  <c:v>23</c:v>
                </c:pt>
                <c:pt idx="109">
                  <c:v>23</c:v>
                </c:pt>
                <c:pt idx="110">
                  <c:v>20</c:v>
                </c:pt>
                <c:pt idx="111">
                  <c:v>23</c:v>
                </c:pt>
                <c:pt idx="112">
                  <c:v>22</c:v>
                </c:pt>
                <c:pt idx="113">
                  <c:v>20</c:v>
                </c:pt>
                <c:pt idx="114">
                  <c:v>33</c:v>
                </c:pt>
                <c:pt idx="115">
                  <c:v>32</c:v>
                </c:pt>
                <c:pt idx="116">
                  <c:v>30</c:v>
                </c:pt>
                <c:pt idx="117">
                  <c:v>34</c:v>
                </c:pt>
                <c:pt idx="118">
                  <c:v>34</c:v>
                </c:pt>
                <c:pt idx="119">
                  <c:v>31</c:v>
                </c:pt>
                <c:pt idx="120">
                  <c:v>30</c:v>
                </c:pt>
                <c:pt idx="121">
                  <c:v>30</c:v>
                </c:pt>
                <c:pt idx="122">
                  <c:v>30</c:v>
                </c:pt>
                <c:pt idx="123">
                  <c:v>30</c:v>
                </c:pt>
                <c:pt idx="124">
                  <c:v>38</c:v>
                </c:pt>
                <c:pt idx="125">
                  <c:v>40</c:v>
                </c:pt>
                <c:pt idx="126">
                  <c:v>33</c:v>
                </c:pt>
                <c:pt idx="127">
                  <c:v>31</c:v>
                </c:pt>
                <c:pt idx="128">
                  <c:v>29</c:v>
                </c:pt>
                <c:pt idx="129">
                  <c:v>22</c:v>
                </c:pt>
                <c:pt idx="130">
                  <c:v>25</c:v>
                </c:pt>
                <c:pt idx="131">
                  <c:v>21</c:v>
                </c:pt>
                <c:pt idx="132">
                  <c:v>22</c:v>
                </c:pt>
                <c:pt idx="133">
                  <c:v>24</c:v>
                </c:pt>
                <c:pt idx="134">
                  <c:v>22</c:v>
                </c:pt>
                <c:pt idx="135">
                  <c:v>23</c:v>
                </c:pt>
                <c:pt idx="136">
                  <c:v>20</c:v>
                </c:pt>
                <c:pt idx="137">
                  <c:v>23</c:v>
                </c:pt>
                <c:pt idx="138">
                  <c:v>23</c:v>
                </c:pt>
                <c:pt idx="139">
                  <c:v>24</c:v>
                </c:pt>
                <c:pt idx="140">
                  <c:v>21</c:v>
                </c:pt>
                <c:pt idx="141">
                  <c:v>22</c:v>
                </c:pt>
                <c:pt idx="142">
                  <c:v>22</c:v>
                </c:pt>
                <c:pt idx="143">
                  <c:v>20</c:v>
                </c:pt>
                <c:pt idx="144">
                  <c:v>20</c:v>
                </c:pt>
                <c:pt idx="145">
                  <c:v>22</c:v>
                </c:pt>
                <c:pt idx="146">
                  <c:v>26</c:v>
                </c:pt>
                <c:pt idx="147">
                  <c:v>28</c:v>
                </c:pt>
                <c:pt idx="148">
                  <c:v>26</c:v>
                </c:pt>
                <c:pt idx="149">
                  <c:v>29</c:v>
                </c:pt>
                <c:pt idx="150">
                  <c:v>27</c:v>
                </c:pt>
                <c:pt idx="151">
                  <c:v>27</c:v>
                </c:pt>
                <c:pt idx="152">
                  <c:v>27</c:v>
                </c:pt>
                <c:pt idx="153">
                  <c:v>26</c:v>
                </c:pt>
                <c:pt idx="154">
                  <c:v>26</c:v>
                </c:pt>
                <c:pt idx="155">
                  <c:v>25</c:v>
                </c:pt>
                <c:pt idx="156">
                  <c:v>29</c:v>
                </c:pt>
                <c:pt idx="157">
                  <c:v>25</c:v>
                </c:pt>
                <c:pt idx="158">
                  <c:v>26</c:v>
                </c:pt>
                <c:pt idx="159">
                  <c:v>27</c:v>
                </c:pt>
                <c:pt idx="160">
                  <c:v>26</c:v>
                </c:pt>
                <c:pt idx="161">
                  <c:v>27</c:v>
                </c:pt>
                <c:pt idx="162">
                  <c:v>27</c:v>
                </c:pt>
                <c:pt idx="163">
                  <c:v>30</c:v>
                </c:pt>
                <c:pt idx="164">
                  <c:v>31</c:v>
                </c:pt>
                <c:pt idx="165">
                  <c:v>29</c:v>
                </c:pt>
                <c:pt idx="166">
                  <c:v>28</c:v>
                </c:pt>
                <c:pt idx="167">
                  <c:v>26</c:v>
                </c:pt>
                <c:pt idx="168">
                  <c:v>29</c:v>
                </c:pt>
                <c:pt idx="169">
                  <c:v>29</c:v>
                </c:pt>
                <c:pt idx="170">
                  <c:v>26</c:v>
                </c:pt>
                <c:pt idx="171">
                  <c:v>28</c:v>
                </c:pt>
                <c:pt idx="172">
                  <c:v>27</c:v>
                </c:pt>
                <c:pt idx="173">
                  <c:v>29</c:v>
                </c:pt>
                <c:pt idx="174">
                  <c:v>29</c:v>
                </c:pt>
                <c:pt idx="175">
                  <c:v>28</c:v>
                </c:pt>
                <c:pt idx="176">
                  <c:v>27</c:v>
                </c:pt>
                <c:pt idx="177">
                  <c:v>28</c:v>
                </c:pt>
                <c:pt idx="178">
                  <c:v>28</c:v>
                </c:pt>
                <c:pt idx="179">
                  <c:v>28</c:v>
                </c:pt>
                <c:pt idx="180">
                  <c:v>25</c:v>
                </c:pt>
                <c:pt idx="181">
                  <c:v>26</c:v>
                </c:pt>
                <c:pt idx="182">
                  <c:v>27</c:v>
                </c:pt>
                <c:pt idx="183">
                  <c:v>26</c:v>
                </c:pt>
                <c:pt idx="184">
                  <c:v>29</c:v>
                </c:pt>
                <c:pt idx="185">
                  <c:v>29</c:v>
                </c:pt>
                <c:pt idx="186">
                  <c:v>26</c:v>
                </c:pt>
                <c:pt idx="187">
                  <c:v>25</c:v>
                </c:pt>
                <c:pt idx="188">
                  <c:v>25</c:v>
                </c:pt>
                <c:pt idx="189">
                  <c:v>25</c:v>
                </c:pt>
                <c:pt idx="190">
                  <c:v>26</c:v>
                </c:pt>
                <c:pt idx="191">
                  <c:v>26</c:v>
                </c:pt>
                <c:pt idx="192">
                  <c:v>30</c:v>
                </c:pt>
                <c:pt idx="193">
                  <c:v>31</c:v>
                </c:pt>
                <c:pt idx="194">
                  <c:v>46</c:v>
                </c:pt>
                <c:pt idx="195">
                  <c:v>52</c:v>
                </c:pt>
                <c:pt idx="196">
                  <c:v>45</c:v>
                </c:pt>
                <c:pt idx="197">
                  <c:v>51</c:v>
                </c:pt>
                <c:pt idx="198">
                  <c:v>52</c:v>
                </c:pt>
                <c:pt idx="199">
                  <c:v>45</c:v>
                </c:pt>
                <c:pt idx="200">
                  <c:v>51</c:v>
                </c:pt>
                <c:pt idx="201">
                  <c:v>53</c:v>
                </c:pt>
                <c:pt idx="202">
                  <c:v>53</c:v>
                </c:pt>
                <c:pt idx="203">
                  <c:v>50</c:v>
                </c:pt>
                <c:pt idx="204">
                  <c:v>52</c:v>
                </c:pt>
                <c:pt idx="205">
                  <c:v>51</c:v>
                </c:pt>
                <c:pt idx="206">
                  <c:v>54</c:v>
                </c:pt>
                <c:pt idx="207">
                  <c:v>55</c:v>
                </c:pt>
                <c:pt idx="208">
                  <c:v>52</c:v>
                </c:pt>
                <c:pt idx="209">
                  <c:v>55</c:v>
                </c:pt>
                <c:pt idx="210">
                  <c:v>61</c:v>
                </c:pt>
                <c:pt idx="211">
                  <c:v>51</c:v>
                </c:pt>
                <c:pt idx="212">
                  <c:v>56</c:v>
                </c:pt>
                <c:pt idx="213">
                  <c:v>60</c:v>
                </c:pt>
                <c:pt idx="214">
                  <c:v>60</c:v>
                </c:pt>
                <c:pt idx="215">
                  <c:v>58</c:v>
                </c:pt>
                <c:pt idx="216">
                  <c:v>58</c:v>
                </c:pt>
                <c:pt idx="217">
                  <c:v>56</c:v>
                </c:pt>
                <c:pt idx="218">
                  <c:v>54</c:v>
                </c:pt>
                <c:pt idx="219">
                  <c:v>58</c:v>
                </c:pt>
                <c:pt idx="220">
                  <c:v>55</c:v>
                </c:pt>
                <c:pt idx="221">
                  <c:v>48</c:v>
                </c:pt>
                <c:pt idx="222">
                  <c:v>49</c:v>
                </c:pt>
                <c:pt idx="223">
                  <c:v>50</c:v>
                </c:pt>
                <c:pt idx="224">
                  <c:v>48</c:v>
                </c:pt>
                <c:pt idx="225">
                  <c:v>50</c:v>
                </c:pt>
                <c:pt idx="226">
                  <c:v>53</c:v>
                </c:pt>
                <c:pt idx="227">
                  <c:v>62</c:v>
                </c:pt>
                <c:pt idx="228">
                  <c:v>61</c:v>
                </c:pt>
                <c:pt idx="229">
                  <c:v>60</c:v>
                </c:pt>
                <c:pt idx="230">
                  <c:v>60</c:v>
                </c:pt>
                <c:pt idx="231">
                  <c:v>58</c:v>
                </c:pt>
                <c:pt idx="232">
                  <c:v>60</c:v>
                </c:pt>
                <c:pt idx="233">
                  <c:v>59</c:v>
                </c:pt>
                <c:pt idx="234">
                  <c:v>56</c:v>
                </c:pt>
                <c:pt idx="235">
                  <c:v>53</c:v>
                </c:pt>
                <c:pt idx="236">
                  <c:v>52</c:v>
                </c:pt>
                <c:pt idx="237">
                  <c:v>51</c:v>
                </c:pt>
                <c:pt idx="238">
                  <c:v>50</c:v>
                </c:pt>
                <c:pt idx="239">
                  <c:v>53</c:v>
                </c:pt>
                <c:pt idx="240">
                  <c:v>50</c:v>
                </c:pt>
                <c:pt idx="241">
                  <c:v>51</c:v>
                </c:pt>
                <c:pt idx="242">
                  <c:v>50</c:v>
                </c:pt>
                <c:pt idx="243">
                  <c:v>50</c:v>
                </c:pt>
                <c:pt idx="244">
                  <c:v>47</c:v>
                </c:pt>
                <c:pt idx="245">
                  <c:v>48</c:v>
                </c:pt>
                <c:pt idx="246">
                  <c:v>49</c:v>
                </c:pt>
                <c:pt idx="247">
                  <c:v>50</c:v>
                </c:pt>
                <c:pt idx="248">
                  <c:v>44</c:v>
                </c:pt>
                <c:pt idx="249">
                  <c:v>34</c:v>
                </c:pt>
                <c:pt idx="250">
                  <c:v>33</c:v>
                </c:pt>
                <c:pt idx="251">
                  <c:v>33</c:v>
                </c:pt>
                <c:pt idx="252">
                  <c:v>49</c:v>
                </c:pt>
                <c:pt idx="253">
                  <c:v>56</c:v>
                </c:pt>
                <c:pt idx="254">
                  <c:v>50</c:v>
                </c:pt>
                <c:pt idx="255">
                  <c:v>52</c:v>
                </c:pt>
                <c:pt idx="256">
                  <c:v>51</c:v>
                </c:pt>
                <c:pt idx="257">
                  <c:v>64</c:v>
                </c:pt>
                <c:pt idx="258">
                  <c:v>63</c:v>
                </c:pt>
                <c:pt idx="259">
                  <c:v>66</c:v>
                </c:pt>
                <c:pt idx="260">
                  <c:v>68</c:v>
                </c:pt>
                <c:pt idx="261">
                  <c:v>62</c:v>
                </c:pt>
                <c:pt idx="262">
                  <c:v>57</c:v>
                </c:pt>
                <c:pt idx="263">
                  <c:v>61</c:v>
                </c:pt>
                <c:pt idx="264">
                  <c:v>64</c:v>
                </c:pt>
                <c:pt idx="265">
                  <c:v>64</c:v>
                </c:pt>
                <c:pt idx="266">
                  <c:v>64</c:v>
                </c:pt>
                <c:pt idx="267">
                  <c:v>59</c:v>
                </c:pt>
                <c:pt idx="268">
                  <c:v>57</c:v>
                </c:pt>
                <c:pt idx="269">
                  <c:v>60</c:v>
                </c:pt>
                <c:pt idx="270">
                  <c:v>63</c:v>
                </c:pt>
                <c:pt idx="271">
                  <c:v>61</c:v>
                </c:pt>
                <c:pt idx="272">
                  <c:v>63</c:v>
                </c:pt>
                <c:pt idx="273">
                  <c:v>63</c:v>
                </c:pt>
                <c:pt idx="274">
                  <c:v>62</c:v>
                </c:pt>
                <c:pt idx="275">
                  <c:v>62</c:v>
                </c:pt>
                <c:pt idx="276">
                  <c:v>63</c:v>
                </c:pt>
                <c:pt idx="277">
                  <c:v>64</c:v>
                </c:pt>
                <c:pt idx="278">
                  <c:v>61</c:v>
                </c:pt>
                <c:pt idx="279">
                  <c:v>61</c:v>
                </c:pt>
                <c:pt idx="280">
                  <c:v>62</c:v>
                </c:pt>
                <c:pt idx="281">
                  <c:v>68</c:v>
                </c:pt>
                <c:pt idx="282">
                  <c:v>65</c:v>
                </c:pt>
                <c:pt idx="283">
                  <c:v>61</c:v>
                </c:pt>
                <c:pt idx="284">
                  <c:v>68</c:v>
                </c:pt>
                <c:pt idx="285">
                  <c:v>68</c:v>
                </c:pt>
                <c:pt idx="286">
                  <c:v>68</c:v>
                </c:pt>
                <c:pt idx="287">
                  <c:v>69</c:v>
                </c:pt>
                <c:pt idx="288">
                  <c:v>58</c:v>
                </c:pt>
                <c:pt idx="289">
                  <c:v>63</c:v>
                </c:pt>
                <c:pt idx="290">
                  <c:v>52</c:v>
                </c:pt>
                <c:pt idx="291">
                  <c:v>50</c:v>
                </c:pt>
                <c:pt idx="292">
                  <c:v>53</c:v>
                </c:pt>
                <c:pt idx="293">
                  <c:v>56</c:v>
                </c:pt>
                <c:pt idx="294">
                  <c:v>53</c:v>
                </c:pt>
                <c:pt idx="295">
                  <c:v>53</c:v>
                </c:pt>
                <c:pt idx="296">
                  <c:v>56</c:v>
                </c:pt>
                <c:pt idx="297">
                  <c:v>59</c:v>
                </c:pt>
                <c:pt idx="298">
                  <c:v>64</c:v>
                </c:pt>
                <c:pt idx="299">
                  <c:v>64</c:v>
                </c:pt>
                <c:pt idx="300">
                  <c:v>60</c:v>
                </c:pt>
                <c:pt idx="301">
                  <c:v>63</c:v>
                </c:pt>
                <c:pt idx="302">
                  <c:v>55</c:v>
                </c:pt>
                <c:pt idx="303">
                  <c:v>64</c:v>
                </c:pt>
                <c:pt idx="304">
                  <c:v>64</c:v>
                </c:pt>
                <c:pt idx="305">
                  <c:v>61</c:v>
                </c:pt>
                <c:pt idx="306">
                  <c:v>60</c:v>
                </c:pt>
                <c:pt idx="307">
                  <c:v>64</c:v>
                </c:pt>
                <c:pt idx="308">
                  <c:v>60</c:v>
                </c:pt>
                <c:pt idx="309">
                  <c:v>51</c:v>
                </c:pt>
                <c:pt idx="310">
                  <c:v>52</c:v>
                </c:pt>
                <c:pt idx="311">
                  <c:v>52</c:v>
                </c:pt>
                <c:pt idx="312">
                  <c:v>49</c:v>
                </c:pt>
                <c:pt idx="313">
                  <c:v>48</c:v>
                </c:pt>
                <c:pt idx="314">
                  <c:v>48</c:v>
                </c:pt>
                <c:pt idx="315">
                  <c:v>50</c:v>
                </c:pt>
                <c:pt idx="316">
                  <c:v>54</c:v>
                </c:pt>
                <c:pt idx="317">
                  <c:v>50</c:v>
                </c:pt>
                <c:pt idx="318">
                  <c:v>51</c:v>
                </c:pt>
                <c:pt idx="319">
                  <c:v>48</c:v>
                </c:pt>
                <c:pt idx="320">
                  <c:v>48</c:v>
                </c:pt>
                <c:pt idx="321">
                  <c:v>52</c:v>
                </c:pt>
                <c:pt idx="322">
                  <c:v>49</c:v>
                </c:pt>
                <c:pt idx="323">
                  <c:v>50</c:v>
                </c:pt>
                <c:pt idx="324">
                  <c:v>50</c:v>
                </c:pt>
                <c:pt idx="325">
                  <c:v>51</c:v>
                </c:pt>
                <c:pt idx="326">
                  <c:v>49</c:v>
                </c:pt>
                <c:pt idx="327">
                  <c:v>48</c:v>
                </c:pt>
                <c:pt idx="328">
                  <c:v>50</c:v>
                </c:pt>
                <c:pt idx="329">
                  <c:v>52</c:v>
                </c:pt>
                <c:pt idx="330">
                  <c:v>51</c:v>
                </c:pt>
                <c:pt idx="331">
                  <c:v>51</c:v>
                </c:pt>
                <c:pt idx="332">
                  <c:v>52</c:v>
                </c:pt>
                <c:pt idx="333">
                  <c:v>50</c:v>
                </c:pt>
                <c:pt idx="334">
                  <c:v>53</c:v>
                </c:pt>
                <c:pt idx="335">
                  <c:v>52</c:v>
                </c:pt>
                <c:pt idx="336">
                  <c:v>53</c:v>
                </c:pt>
                <c:pt idx="337">
                  <c:v>44</c:v>
                </c:pt>
                <c:pt idx="338">
                  <c:v>53</c:v>
                </c:pt>
                <c:pt idx="339">
                  <c:v>50</c:v>
                </c:pt>
                <c:pt idx="340">
                  <c:v>50</c:v>
                </c:pt>
                <c:pt idx="341">
                  <c:v>49</c:v>
                </c:pt>
                <c:pt idx="342">
                  <c:v>47</c:v>
                </c:pt>
                <c:pt idx="343">
                  <c:v>47</c:v>
                </c:pt>
                <c:pt idx="344">
                  <c:v>45</c:v>
                </c:pt>
                <c:pt idx="345">
                  <c:v>46</c:v>
                </c:pt>
                <c:pt idx="346">
                  <c:v>41</c:v>
                </c:pt>
                <c:pt idx="347">
                  <c:v>47</c:v>
                </c:pt>
                <c:pt idx="348">
                  <c:v>47</c:v>
                </c:pt>
                <c:pt idx="349">
                  <c:v>49</c:v>
                </c:pt>
                <c:pt idx="350">
                  <c:v>47</c:v>
                </c:pt>
                <c:pt idx="351">
                  <c:v>49</c:v>
                </c:pt>
                <c:pt idx="352">
                  <c:v>59</c:v>
                </c:pt>
                <c:pt idx="353">
                  <c:v>65</c:v>
                </c:pt>
                <c:pt idx="354">
                  <c:v>65</c:v>
                </c:pt>
                <c:pt idx="355">
                  <c:v>62</c:v>
                </c:pt>
                <c:pt idx="356">
                  <c:v>64</c:v>
                </c:pt>
                <c:pt idx="357">
                  <c:v>55</c:v>
                </c:pt>
                <c:pt idx="358">
                  <c:v>59</c:v>
                </c:pt>
                <c:pt idx="359">
                  <c:v>62</c:v>
                </c:pt>
                <c:pt idx="360">
                  <c:v>54</c:v>
                </c:pt>
                <c:pt idx="361">
                  <c:v>56</c:v>
                </c:pt>
                <c:pt idx="362">
                  <c:v>59</c:v>
                </c:pt>
                <c:pt idx="363">
                  <c:v>63</c:v>
                </c:pt>
                <c:pt idx="364">
                  <c:v>62</c:v>
                </c:pt>
                <c:pt idx="365">
                  <c:v>64</c:v>
                </c:pt>
                <c:pt idx="366">
                  <c:v>61</c:v>
                </c:pt>
                <c:pt idx="367">
                  <c:v>56</c:v>
                </c:pt>
                <c:pt idx="368">
                  <c:v>55</c:v>
                </c:pt>
                <c:pt idx="369">
                  <c:v>58</c:v>
                </c:pt>
                <c:pt idx="370">
                  <c:v>55</c:v>
                </c:pt>
                <c:pt idx="371">
                  <c:v>56</c:v>
                </c:pt>
                <c:pt idx="372">
                  <c:v>57</c:v>
                </c:pt>
                <c:pt idx="373">
                  <c:v>64</c:v>
                </c:pt>
                <c:pt idx="374">
                  <c:v>57</c:v>
                </c:pt>
                <c:pt idx="375">
                  <c:v>60</c:v>
                </c:pt>
                <c:pt idx="376">
                  <c:v>56</c:v>
                </c:pt>
                <c:pt idx="377">
                  <c:v>57</c:v>
                </c:pt>
                <c:pt idx="378">
                  <c:v>54</c:v>
                </c:pt>
                <c:pt idx="379">
                  <c:v>56</c:v>
                </c:pt>
                <c:pt idx="380">
                  <c:v>50</c:v>
                </c:pt>
                <c:pt idx="381">
                  <c:v>56</c:v>
                </c:pt>
                <c:pt idx="382">
                  <c:v>50</c:v>
                </c:pt>
                <c:pt idx="383">
                  <c:v>52</c:v>
                </c:pt>
                <c:pt idx="384">
                  <c:v>54</c:v>
                </c:pt>
                <c:pt idx="385">
                  <c:v>55</c:v>
                </c:pt>
                <c:pt idx="386">
                  <c:v>50</c:v>
                </c:pt>
                <c:pt idx="387">
                  <c:v>51</c:v>
                </c:pt>
                <c:pt idx="388">
                  <c:v>51</c:v>
                </c:pt>
                <c:pt idx="389">
                  <c:v>52</c:v>
                </c:pt>
                <c:pt idx="390">
                  <c:v>52</c:v>
                </c:pt>
                <c:pt idx="391">
                  <c:v>52</c:v>
                </c:pt>
                <c:pt idx="392">
                  <c:v>50</c:v>
                </c:pt>
                <c:pt idx="393">
                  <c:v>53</c:v>
                </c:pt>
                <c:pt idx="394">
                  <c:v>53</c:v>
                </c:pt>
                <c:pt idx="395">
                  <c:v>52</c:v>
                </c:pt>
                <c:pt idx="396">
                  <c:v>54</c:v>
                </c:pt>
                <c:pt idx="397">
                  <c:v>50</c:v>
                </c:pt>
                <c:pt idx="398">
                  <c:v>49</c:v>
                </c:pt>
                <c:pt idx="399">
                  <c:v>49</c:v>
                </c:pt>
                <c:pt idx="400">
                  <c:v>54</c:v>
                </c:pt>
                <c:pt idx="401">
                  <c:v>50</c:v>
                </c:pt>
                <c:pt idx="402">
                  <c:v>53</c:v>
                </c:pt>
                <c:pt idx="403">
                  <c:v>51</c:v>
                </c:pt>
                <c:pt idx="404">
                  <c:v>54</c:v>
                </c:pt>
                <c:pt idx="405">
                  <c:v>54</c:v>
                </c:pt>
                <c:pt idx="406">
                  <c:v>50</c:v>
                </c:pt>
                <c:pt idx="407">
                  <c:v>53</c:v>
                </c:pt>
                <c:pt idx="408">
                  <c:v>52</c:v>
                </c:pt>
                <c:pt idx="409">
                  <c:v>50</c:v>
                </c:pt>
                <c:pt idx="410">
                  <c:v>37</c:v>
                </c:pt>
                <c:pt idx="411">
                  <c:v>39</c:v>
                </c:pt>
                <c:pt idx="412">
                  <c:v>37</c:v>
                </c:pt>
                <c:pt idx="413">
                  <c:v>38</c:v>
                </c:pt>
                <c:pt idx="414">
                  <c:v>37</c:v>
                </c:pt>
                <c:pt idx="415">
                  <c:v>37</c:v>
                </c:pt>
                <c:pt idx="416">
                  <c:v>41</c:v>
                </c:pt>
                <c:pt idx="417">
                  <c:v>39</c:v>
                </c:pt>
                <c:pt idx="418">
                  <c:v>38</c:v>
                </c:pt>
                <c:pt idx="419">
                  <c:v>38</c:v>
                </c:pt>
                <c:pt idx="420">
                  <c:v>39</c:v>
                </c:pt>
                <c:pt idx="421">
                  <c:v>39</c:v>
                </c:pt>
                <c:pt idx="422">
                  <c:v>49</c:v>
                </c:pt>
                <c:pt idx="423">
                  <c:v>52</c:v>
                </c:pt>
                <c:pt idx="424">
                  <c:v>40</c:v>
                </c:pt>
                <c:pt idx="425">
                  <c:v>39</c:v>
                </c:pt>
                <c:pt idx="426">
                  <c:v>40</c:v>
                </c:pt>
                <c:pt idx="427">
                  <c:v>40</c:v>
                </c:pt>
                <c:pt idx="428">
                  <c:v>40</c:v>
                </c:pt>
                <c:pt idx="429">
                  <c:v>42</c:v>
                </c:pt>
                <c:pt idx="430">
                  <c:v>41</c:v>
                </c:pt>
                <c:pt idx="431">
                  <c:v>46</c:v>
                </c:pt>
                <c:pt idx="432">
                  <c:v>41</c:v>
                </c:pt>
                <c:pt idx="433">
                  <c:v>40</c:v>
                </c:pt>
                <c:pt idx="434">
                  <c:v>40</c:v>
                </c:pt>
                <c:pt idx="435">
                  <c:v>30</c:v>
                </c:pt>
                <c:pt idx="436">
                  <c:v>41</c:v>
                </c:pt>
                <c:pt idx="437">
                  <c:v>45</c:v>
                </c:pt>
                <c:pt idx="438">
                  <c:v>45</c:v>
                </c:pt>
                <c:pt idx="439">
                  <c:v>43</c:v>
                </c:pt>
                <c:pt idx="440">
                  <c:v>46</c:v>
                </c:pt>
                <c:pt idx="441">
                  <c:v>46</c:v>
                </c:pt>
                <c:pt idx="442">
                  <c:v>46</c:v>
                </c:pt>
                <c:pt idx="443">
                  <c:v>47</c:v>
                </c:pt>
                <c:pt idx="444">
                  <c:v>47</c:v>
                </c:pt>
                <c:pt idx="445">
                  <c:v>43</c:v>
                </c:pt>
                <c:pt idx="446">
                  <c:v>47</c:v>
                </c:pt>
                <c:pt idx="447">
                  <c:v>44</c:v>
                </c:pt>
                <c:pt idx="448">
                  <c:v>47</c:v>
                </c:pt>
                <c:pt idx="449">
                  <c:v>46</c:v>
                </c:pt>
                <c:pt idx="450">
                  <c:v>44</c:v>
                </c:pt>
                <c:pt idx="451">
                  <c:v>46</c:v>
                </c:pt>
                <c:pt idx="452">
                  <c:v>48</c:v>
                </c:pt>
                <c:pt idx="453">
                  <c:v>47</c:v>
                </c:pt>
                <c:pt idx="454">
                  <c:v>48</c:v>
                </c:pt>
                <c:pt idx="455">
                  <c:v>50</c:v>
                </c:pt>
                <c:pt idx="456">
                  <c:v>50</c:v>
                </c:pt>
                <c:pt idx="457">
                  <c:v>49</c:v>
                </c:pt>
                <c:pt idx="458">
                  <c:v>48</c:v>
                </c:pt>
                <c:pt idx="459">
                  <c:v>50</c:v>
                </c:pt>
                <c:pt idx="460">
                  <c:v>49</c:v>
                </c:pt>
                <c:pt idx="461">
                  <c:v>50</c:v>
                </c:pt>
                <c:pt idx="462">
                  <c:v>50</c:v>
                </c:pt>
                <c:pt idx="463">
                  <c:v>50</c:v>
                </c:pt>
                <c:pt idx="464">
                  <c:v>47</c:v>
                </c:pt>
                <c:pt idx="465">
                  <c:v>45</c:v>
                </c:pt>
                <c:pt idx="466">
                  <c:v>44</c:v>
                </c:pt>
                <c:pt idx="467">
                  <c:v>47</c:v>
                </c:pt>
                <c:pt idx="468">
                  <c:v>45</c:v>
                </c:pt>
                <c:pt idx="469">
                  <c:v>47</c:v>
                </c:pt>
                <c:pt idx="470">
                  <c:v>52</c:v>
                </c:pt>
                <c:pt idx="471">
                  <c:v>50</c:v>
                </c:pt>
                <c:pt idx="472">
                  <c:v>52</c:v>
                </c:pt>
                <c:pt idx="473">
                  <c:v>53</c:v>
                </c:pt>
                <c:pt idx="474">
                  <c:v>63</c:v>
                </c:pt>
                <c:pt idx="475">
                  <c:v>53</c:v>
                </c:pt>
                <c:pt idx="476">
                  <c:v>53</c:v>
                </c:pt>
                <c:pt idx="477">
                  <c:v>66</c:v>
                </c:pt>
                <c:pt idx="478">
                  <c:v>72</c:v>
                </c:pt>
                <c:pt idx="479">
                  <c:v>71</c:v>
                </c:pt>
                <c:pt idx="480">
                  <c:v>70</c:v>
                </c:pt>
                <c:pt idx="481">
                  <c:v>65</c:v>
                </c:pt>
                <c:pt idx="482">
                  <c:v>72</c:v>
                </c:pt>
                <c:pt idx="483">
                  <c:v>68</c:v>
                </c:pt>
                <c:pt idx="484">
                  <c:v>66</c:v>
                </c:pt>
                <c:pt idx="485">
                  <c:v>66</c:v>
                </c:pt>
                <c:pt idx="486">
                  <c:v>72</c:v>
                </c:pt>
                <c:pt idx="487">
                  <c:v>65</c:v>
                </c:pt>
                <c:pt idx="488">
                  <c:v>68</c:v>
                </c:pt>
                <c:pt idx="489">
                  <c:v>70</c:v>
                </c:pt>
                <c:pt idx="490">
                  <c:v>74</c:v>
                </c:pt>
                <c:pt idx="491">
                  <c:v>68</c:v>
                </c:pt>
                <c:pt idx="492">
                  <c:v>66</c:v>
                </c:pt>
                <c:pt idx="493">
                  <c:v>69</c:v>
                </c:pt>
                <c:pt idx="494">
                  <c:v>70</c:v>
                </c:pt>
                <c:pt idx="495">
                  <c:v>70</c:v>
                </c:pt>
                <c:pt idx="496">
                  <c:v>73</c:v>
                </c:pt>
                <c:pt idx="497">
                  <c:v>72</c:v>
                </c:pt>
                <c:pt idx="498">
                  <c:v>69</c:v>
                </c:pt>
                <c:pt idx="499">
                  <c:v>60</c:v>
                </c:pt>
                <c:pt idx="500">
                  <c:v>70</c:v>
                </c:pt>
                <c:pt idx="501">
                  <c:v>63</c:v>
                </c:pt>
                <c:pt idx="502">
                  <c:v>69</c:v>
                </c:pt>
                <c:pt idx="503">
                  <c:v>66</c:v>
                </c:pt>
                <c:pt idx="504">
                  <c:v>69</c:v>
                </c:pt>
                <c:pt idx="505">
                  <c:v>71</c:v>
                </c:pt>
                <c:pt idx="506">
                  <c:v>62</c:v>
                </c:pt>
                <c:pt idx="507">
                  <c:v>66</c:v>
                </c:pt>
                <c:pt idx="508">
                  <c:v>66</c:v>
                </c:pt>
                <c:pt idx="509">
                  <c:v>73</c:v>
                </c:pt>
                <c:pt idx="510">
                  <c:v>73</c:v>
                </c:pt>
                <c:pt idx="511">
                  <c:v>66</c:v>
                </c:pt>
                <c:pt idx="512">
                  <c:v>68</c:v>
                </c:pt>
                <c:pt idx="513">
                  <c:v>72</c:v>
                </c:pt>
                <c:pt idx="514">
                  <c:v>74</c:v>
                </c:pt>
                <c:pt idx="515">
                  <c:v>71</c:v>
                </c:pt>
                <c:pt idx="516">
                  <c:v>74</c:v>
                </c:pt>
                <c:pt idx="517">
                  <c:v>73</c:v>
                </c:pt>
                <c:pt idx="518">
                  <c:v>74</c:v>
                </c:pt>
                <c:pt idx="519">
                  <c:v>75</c:v>
                </c:pt>
                <c:pt idx="520">
                  <c:v>72</c:v>
                </c:pt>
                <c:pt idx="521">
                  <c:v>72</c:v>
                </c:pt>
                <c:pt idx="522">
                  <c:v>72</c:v>
                </c:pt>
                <c:pt idx="523">
                  <c:v>73</c:v>
                </c:pt>
                <c:pt idx="524">
                  <c:v>74</c:v>
                </c:pt>
                <c:pt idx="525">
                  <c:v>74</c:v>
                </c:pt>
                <c:pt idx="526">
                  <c:v>67</c:v>
                </c:pt>
                <c:pt idx="527">
                  <c:v>65</c:v>
                </c:pt>
                <c:pt idx="528">
                  <c:v>72</c:v>
                </c:pt>
                <c:pt idx="529">
                  <c:v>70</c:v>
                </c:pt>
                <c:pt idx="530">
                  <c:v>67</c:v>
                </c:pt>
                <c:pt idx="531">
                  <c:v>73</c:v>
                </c:pt>
                <c:pt idx="532">
                  <c:v>65</c:v>
                </c:pt>
                <c:pt idx="533">
                  <c:v>73</c:v>
                </c:pt>
                <c:pt idx="534">
                  <c:v>74</c:v>
                </c:pt>
                <c:pt idx="535">
                  <c:v>70</c:v>
                </c:pt>
                <c:pt idx="536">
                  <c:v>74</c:v>
                </c:pt>
                <c:pt idx="537">
                  <c:v>70</c:v>
                </c:pt>
                <c:pt idx="538">
                  <c:v>71</c:v>
                </c:pt>
                <c:pt idx="539">
                  <c:v>73</c:v>
                </c:pt>
                <c:pt idx="540">
                  <c:v>71</c:v>
                </c:pt>
                <c:pt idx="541">
                  <c:v>73</c:v>
                </c:pt>
                <c:pt idx="542">
                  <c:v>73</c:v>
                </c:pt>
                <c:pt idx="543">
                  <c:v>65</c:v>
                </c:pt>
                <c:pt idx="544">
                  <c:v>68</c:v>
                </c:pt>
                <c:pt idx="545">
                  <c:v>67</c:v>
                </c:pt>
                <c:pt idx="546">
                  <c:v>65</c:v>
                </c:pt>
                <c:pt idx="547">
                  <c:v>71</c:v>
                </c:pt>
                <c:pt idx="548">
                  <c:v>70</c:v>
                </c:pt>
                <c:pt idx="549">
                  <c:v>68</c:v>
                </c:pt>
                <c:pt idx="550">
                  <c:v>72</c:v>
                </c:pt>
                <c:pt idx="551">
                  <c:v>70</c:v>
                </c:pt>
                <c:pt idx="552">
                  <c:v>71</c:v>
                </c:pt>
                <c:pt idx="553">
                  <c:v>71</c:v>
                </c:pt>
                <c:pt idx="554">
                  <c:v>76</c:v>
                </c:pt>
                <c:pt idx="555">
                  <c:v>73</c:v>
                </c:pt>
                <c:pt idx="556">
                  <c:v>76</c:v>
                </c:pt>
                <c:pt idx="557">
                  <c:v>71</c:v>
                </c:pt>
                <c:pt idx="558">
                  <c:v>64</c:v>
                </c:pt>
                <c:pt idx="559">
                  <c:v>60</c:v>
                </c:pt>
                <c:pt idx="560">
                  <c:v>52</c:v>
                </c:pt>
                <c:pt idx="561">
                  <c:v>64</c:v>
                </c:pt>
                <c:pt idx="562">
                  <c:v>60</c:v>
                </c:pt>
                <c:pt idx="563">
                  <c:v>63</c:v>
                </c:pt>
                <c:pt idx="564">
                  <c:v>51</c:v>
                </c:pt>
                <c:pt idx="565">
                  <c:v>52</c:v>
                </c:pt>
                <c:pt idx="566">
                  <c:v>56</c:v>
                </c:pt>
                <c:pt idx="567">
                  <c:v>55</c:v>
                </c:pt>
                <c:pt idx="568">
                  <c:v>50</c:v>
                </c:pt>
                <c:pt idx="569">
                  <c:v>48</c:v>
                </c:pt>
                <c:pt idx="570">
                  <c:v>52</c:v>
                </c:pt>
                <c:pt idx="571">
                  <c:v>49</c:v>
                </c:pt>
                <c:pt idx="572">
                  <c:v>55</c:v>
                </c:pt>
                <c:pt idx="573">
                  <c:v>54</c:v>
                </c:pt>
                <c:pt idx="574">
                  <c:v>55</c:v>
                </c:pt>
                <c:pt idx="575">
                  <c:v>61</c:v>
                </c:pt>
                <c:pt idx="576">
                  <c:v>60</c:v>
                </c:pt>
                <c:pt idx="577">
                  <c:v>63</c:v>
                </c:pt>
                <c:pt idx="578">
                  <c:v>63</c:v>
                </c:pt>
                <c:pt idx="579">
                  <c:v>60</c:v>
                </c:pt>
                <c:pt idx="580">
                  <c:v>60</c:v>
                </c:pt>
                <c:pt idx="581">
                  <c:v>60</c:v>
                </c:pt>
                <c:pt idx="582">
                  <c:v>64</c:v>
                </c:pt>
                <c:pt idx="583">
                  <c:v>62</c:v>
                </c:pt>
                <c:pt idx="584">
                  <c:v>66</c:v>
                </c:pt>
                <c:pt idx="585">
                  <c:v>72</c:v>
                </c:pt>
                <c:pt idx="586">
                  <c:v>74</c:v>
                </c:pt>
                <c:pt idx="587">
                  <c:v>71</c:v>
                </c:pt>
                <c:pt idx="588">
                  <c:v>70</c:v>
                </c:pt>
                <c:pt idx="589">
                  <c:v>79</c:v>
                </c:pt>
                <c:pt idx="590">
                  <c:v>74</c:v>
                </c:pt>
                <c:pt idx="591">
                  <c:v>72</c:v>
                </c:pt>
                <c:pt idx="592">
                  <c:v>72</c:v>
                </c:pt>
                <c:pt idx="593">
                  <c:v>76</c:v>
                </c:pt>
                <c:pt idx="594">
                  <c:v>72</c:v>
                </c:pt>
                <c:pt idx="595">
                  <c:v>75</c:v>
                </c:pt>
                <c:pt idx="596">
                  <c:v>72</c:v>
                </c:pt>
                <c:pt idx="597">
                  <c:v>78</c:v>
                </c:pt>
                <c:pt idx="598">
                  <c:v>74</c:v>
                </c:pt>
                <c:pt idx="599">
                  <c:v>76</c:v>
                </c:pt>
                <c:pt idx="600">
                  <c:v>72</c:v>
                </c:pt>
                <c:pt idx="601">
                  <c:v>74</c:v>
                </c:pt>
                <c:pt idx="602">
                  <c:v>72</c:v>
                </c:pt>
                <c:pt idx="603">
                  <c:v>79</c:v>
                </c:pt>
                <c:pt idx="604">
                  <c:v>82</c:v>
                </c:pt>
                <c:pt idx="605">
                  <c:v>80</c:v>
                </c:pt>
                <c:pt idx="606">
                  <c:v>80</c:v>
                </c:pt>
                <c:pt idx="607">
                  <c:v>80</c:v>
                </c:pt>
                <c:pt idx="608">
                  <c:v>83</c:v>
                </c:pt>
                <c:pt idx="609">
                  <c:v>82</c:v>
                </c:pt>
                <c:pt idx="610">
                  <c:v>90</c:v>
                </c:pt>
                <c:pt idx="611">
                  <c:v>75</c:v>
                </c:pt>
                <c:pt idx="612">
                  <c:v>82</c:v>
                </c:pt>
                <c:pt idx="613">
                  <c:v>81</c:v>
                </c:pt>
                <c:pt idx="614">
                  <c:v>84</c:v>
                </c:pt>
                <c:pt idx="615">
                  <c:v>79</c:v>
                </c:pt>
                <c:pt idx="616">
                  <c:v>82</c:v>
                </c:pt>
                <c:pt idx="617">
                  <c:v>81</c:v>
                </c:pt>
                <c:pt idx="618">
                  <c:v>81</c:v>
                </c:pt>
                <c:pt idx="619">
                  <c:v>88</c:v>
                </c:pt>
                <c:pt idx="620">
                  <c:v>83</c:v>
                </c:pt>
                <c:pt idx="621">
                  <c:v>81</c:v>
                </c:pt>
                <c:pt idx="622">
                  <c:v>79</c:v>
                </c:pt>
                <c:pt idx="623">
                  <c:v>77</c:v>
                </c:pt>
                <c:pt idx="624">
                  <c:v>79</c:v>
                </c:pt>
                <c:pt idx="625">
                  <c:v>74</c:v>
                </c:pt>
                <c:pt idx="626">
                  <c:v>78</c:v>
                </c:pt>
                <c:pt idx="627">
                  <c:v>75</c:v>
                </c:pt>
                <c:pt idx="628">
                  <c:v>73</c:v>
                </c:pt>
                <c:pt idx="629">
                  <c:v>74</c:v>
                </c:pt>
                <c:pt idx="630">
                  <c:v>75</c:v>
                </c:pt>
                <c:pt idx="631">
                  <c:v>81</c:v>
                </c:pt>
                <c:pt idx="632">
                  <c:v>83</c:v>
                </c:pt>
                <c:pt idx="633">
                  <c:v>80</c:v>
                </c:pt>
                <c:pt idx="634">
                  <c:v>79</c:v>
                </c:pt>
                <c:pt idx="635">
                  <c:v>75</c:v>
                </c:pt>
                <c:pt idx="636">
                  <c:v>75</c:v>
                </c:pt>
                <c:pt idx="637">
                  <c:v>79</c:v>
                </c:pt>
                <c:pt idx="638">
                  <c:v>79</c:v>
                </c:pt>
                <c:pt idx="639">
                  <c:v>71</c:v>
                </c:pt>
                <c:pt idx="640">
                  <c:v>70</c:v>
                </c:pt>
                <c:pt idx="641">
                  <c:v>79</c:v>
                </c:pt>
                <c:pt idx="642">
                  <c:v>75</c:v>
                </c:pt>
                <c:pt idx="643">
                  <c:v>78</c:v>
                </c:pt>
                <c:pt idx="644">
                  <c:v>76</c:v>
                </c:pt>
                <c:pt idx="645">
                  <c:v>80</c:v>
                </c:pt>
                <c:pt idx="646">
                  <c:v>78</c:v>
                </c:pt>
                <c:pt idx="647">
                  <c:v>76</c:v>
                </c:pt>
                <c:pt idx="648">
                  <c:v>79</c:v>
                </c:pt>
                <c:pt idx="649">
                  <c:v>72</c:v>
                </c:pt>
                <c:pt idx="650">
                  <c:v>72</c:v>
                </c:pt>
                <c:pt idx="651">
                  <c:v>74</c:v>
                </c:pt>
                <c:pt idx="652">
                  <c:v>65</c:v>
                </c:pt>
                <c:pt idx="653">
                  <c:v>67</c:v>
                </c:pt>
                <c:pt idx="654">
                  <c:v>57</c:v>
                </c:pt>
                <c:pt idx="655">
                  <c:v>66</c:v>
                </c:pt>
                <c:pt idx="656">
                  <c:v>66</c:v>
                </c:pt>
                <c:pt idx="657">
                  <c:v>72</c:v>
                </c:pt>
                <c:pt idx="658">
                  <c:v>73</c:v>
                </c:pt>
                <c:pt idx="659">
                  <c:v>71</c:v>
                </c:pt>
                <c:pt idx="660">
                  <c:v>72</c:v>
                </c:pt>
                <c:pt idx="661">
                  <c:v>72</c:v>
                </c:pt>
                <c:pt idx="662">
                  <c:v>70</c:v>
                </c:pt>
                <c:pt idx="663">
                  <c:v>67</c:v>
                </c:pt>
                <c:pt idx="664">
                  <c:v>65</c:v>
                </c:pt>
                <c:pt idx="665">
                  <c:v>67</c:v>
                </c:pt>
                <c:pt idx="666">
                  <c:v>67</c:v>
                </c:pt>
                <c:pt idx="667">
                  <c:v>54</c:v>
                </c:pt>
                <c:pt idx="668">
                  <c:v>43</c:v>
                </c:pt>
                <c:pt idx="669">
                  <c:v>48</c:v>
                </c:pt>
                <c:pt idx="670">
                  <c:v>67</c:v>
                </c:pt>
                <c:pt idx="671">
                  <c:v>69</c:v>
                </c:pt>
                <c:pt idx="672">
                  <c:v>71</c:v>
                </c:pt>
                <c:pt idx="673">
                  <c:v>68</c:v>
                </c:pt>
                <c:pt idx="674">
                  <c:v>64</c:v>
                </c:pt>
                <c:pt idx="675">
                  <c:v>55</c:v>
                </c:pt>
                <c:pt idx="676">
                  <c:v>66</c:v>
                </c:pt>
                <c:pt idx="677">
                  <c:v>53</c:v>
                </c:pt>
                <c:pt idx="678">
                  <c:v>56</c:v>
                </c:pt>
                <c:pt idx="679">
                  <c:v>57</c:v>
                </c:pt>
                <c:pt idx="680">
                  <c:v>66</c:v>
                </c:pt>
                <c:pt idx="681">
                  <c:v>64</c:v>
                </c:pt>
                <c:pt idx="682">
                  <c:v>70</c:v>
                </c:pt>
                <c:pt idx="683">
                  <c:v>74</c:v>
                </c:pt>
                <c:pt idx="684">
                  <c:v>73</c:v>
                </c:pt>
                <c:pt idx="685">
                  <c:v>72</c:v>
                </c:pt>
                <c:pt idx="686">
                  <c:v>70</c:v>
                </c:pt>
                <c:pt idx="687">
                  <c:v>76</c:v>
                </c:pt>
                <c:pt idx="688">
                  <c:v>76</c:v>
                </c:pt>
                <c:pt idx="689">
                  <c:v>76</c:v>
                </c:pt>
                <c:pt idx="690">
                  <c:v>74</c:v>
                </c:pt>
                <c:pt idx="691">
                  <c:v>76</c:v>
                </c:pt>
                <c:pt idx="692">
                  <c:v>75</c:v>
                </c:pt>
                <c:pt idx="693">
                  <c:v>74</c:v>
                </c:pt>
                <c:pt idx="694">
                  <c:v>72</c:v>
                </c:pt>
                <c:pt idx="695">
                  <c:v>72</c:v>
                </c:pt>
                <c:pt idx="696">
                  <c:v>73</c:v>
                </c:pt>
                <c:pt idx="697">
                  <c:v>73</c:v>
                </c:pt>
                <c:pt idx="698">
                  <c:v>72</c:v>
                </c:pt>
                <c:pt idx="699">
                  <c:v>73</c:v>
                </c:pt>
                <c:pt idx="700">
                  <c:v>73</c:v>
                </c:pt>
                <c:pt idx="701">
                  <c:v>73</c:v>
                </c:pt>
                <c:pt idx="702">
                  <c:v>75</c:v>
                </c:pt>
                <c:pt idx="703">
                  <c:v>78</c:v>
                </c:pt>
                <c:pt idx="704">
                  <c:v>77</c:v>
                </c:pt>
                <c:pt idx="705">
                  <c:v>72</c:v>
                </c:pt>
                <c:pt idx="706">
                  <c:v>75</c:v>
                </c:pt>
                <c:pt idx="707">
                  <c:v>72</c:v>
                </c:pt>
                <c:pt idx="708">
                  <c:v>74</c:v>
                </c:pt>
                <c:pt idx="709">
                  <c:v>72</c:v>
                </c:pt>
                <c:pt idx="710">
                  <c:v>70</c:v>
                </c:pt>
                <c:pt idx="711">
                  <c:v>74</c:v>
                </c:pt>
                <c:pt idx="712">
                  <c:v>74</c:v>
                </c:pt>
                <c:pt idx="713">
                  <c:v>71</c:v>
                </c:pt>
                <c:pt idx="714">
                  <c:v>71</c:v>
                </c:pt>
                <c:pt idx="715">
                  <c:v>74</c:v>
                </c:pt>
                <c:pt idx="716">
                  <c:v>64</c:v>
                </c:pt>
                <c:pt idx="717">
                  <c:v>60</c:v>
                </c:pt>
                <c:pt idx="718">
                  <c:v>63</c:v>
                </c:pt>
                <c:pt idx="719">
                  <c:v>53</c:v>
                </c:pt>
                <c:pt idx="720">
                  <c:v>55</c:v>
                </c:pt>
                <c:pt idx="721">
                  <c:v>51</c:v>
                </c:pt>
                <c:pt idx="722">
                  <c:v>30</c:v>
                </c:pt>
                <c:pt idx="723">
                  <c:v>46</c:v>
                </c:pt>
                <c:pt idx="724">
                  <c:v>40</c:v>
                </c:pt>
                <c:pt idx="725">
                  <c:v>47</c:v>
                </c:pt>
                <c:pt idx="726">
                  <c:v>30</c:v>
                </c:pt>
                <c:pt idx="727">
                  <c:v>47</c:v>
                </c:pt>
                <c:pt idx="728">
                  <c:v>53</c:v>
                </c:pt>
                <c:pt idx="729">
                  <c:v>51</c:v>
                </c:pt>
                <c:pt idx="730">
                  <c:v>50</c:v>
                </c:pt>
                <c:pt idx="731">
                  <c:v>44</c:v>
                </c:pt>
                <c:pt idx="732">
                  <c:v>29</c:v>
                </c:pt>
                <c:pt idx="733">
                  <c:v>26</c:v>
                </c:pt>
                <c:pt idx="734">
                  <c:v>29</c:v>
                </c:pt>
                <c:pt idx="735">
                  <c:v>28</c:v>
                </c:pt>
                <c:pt idx="736">
                  <c:v>27</c:v>
                </c:pt>
                <c:pt idx="737">
                  <c:v>28</c:v>
                </c:pt>
                <c:pt idx="738">
                  <c:v>29</c:v>
                </c:pt>
                <c:pt idx="739">
                  <c:v>25</c:v>
                </c:pt>
                <c:pt idx="740">
                  <c:v>25</c:v>
                </c:pt>
                <c:pt idx="741">
                  <c:v>33</c:v>
                </c:pt>
                <c:pt idx="742">
                  <c:v>52</c:v>
                </c:pt>
                <c:pt idx="743">
                  <c:v>65</c:v>
                </c:pt>
                <c:pt idx="744">
                  <c:v>69</c:v>
                </c:pt>
                <c:pt idx="745">
                  <c:v>61</c:v>
                </c:pt>
                <c:pt idx="746">
                  <c:v>60</c:v>
                </c:pt>
                <c:pt idx="747">
                  <c:v>74</c:v>
                </c:pt>
                <c:pt idx="748">
                  <c:v>74</c:v>
                </c:pt>
                <c:pt idx="749">
                  <c:v>70</c:v>
                </c:pt>
                <c:pt idx="750">
                  <c:v>71</c:v>
                </c:pt>
                <c:pt idx="751">
                  <c:v>69</c:v>
                </c:pt>
                <c:pt idx="752">
                  <c:v>68</c:v>
                </c:pt>
                <c:pt idx="753">
                  <c:v>68</c:v>
                </c:pt>
                <c:pt idx="754">
                  <c:v>72</c:v>
                </c:pt>
                <c:pt idx="755">
                  <c:v>71</c:v>
                </c:pt>
                <c:pt idx="756">
                  <c:v>74</c:v>
                </c:pt>
                <c:pt idx="757">
                  <c:v>67</c:v>
                </c:pt>
                <c:pt idx="758">
                  <c:v>61</c:v>
                </c:pt>
                <c:pt idx="759">
                  <c:v>52</c:v>
                </c:pt>
                <c:pt idx="760">
                  <c:v>57</c:v>
                </c:pt>
                <c:pt idx="761">
                  <c:v>37</c:v>
                </c:pt>
                <c:pt idx="762">
                  <c:v>34</c:v>
                </c:pt>
                <c:pt idx="763">
                  <c:v>26</c:v>
                </c:pt>
                <c:pt idx="764">
                  <c:v>17</c:v>
                </c:pt>
                <c:pt idx="765">
                  <c:v>29</c:v>
                </c:pt>
                <c:pt idx="766">
                  <c:v>20</c:v>
                </c:pt>
                <c:pt idx="767">
                  <c:v>48</c:v>
                </c:pt>
                <c:pt idx="768">
                  <c:v>40</c:v>
                </c:pt>
                <c:pt idx="769">
                  <c:v>39</c:v>
                </c:pt>
                <c:pt idx="770">
                  <c:v>25</c:v>
                </c:pt>
                <c:pt idx="771">
                  <c:v>31</c:v>
                </c:pt>
                <c:pt idx="772">
                  <c:v>30</c:v>
                </c:pt>
                <c:pt idx="773">
                  <c:v>29</c:v>
                </c:pt>
                <c:pt idx="774">
                  <c:v>27</c:v>
                </c:pt>
                <c:pt idx="775">
                  <c:v>25</c:v>
                </c:pt>
                <c:pt idx="776">
                  <c:v>31</c:v>
                </c:pt>
                <c:pt idx="777">
                  <c:v>28</c:v>
                </c:pt>
                <c:pt idx="778">
                  <c:v>30</c:v>
                </c:pt>
                <c:pt idx="779">
                  <c:v>26</c:v>
                </c:pt>
                <c:pt idx="780">
                  <c:v>39</c:v>
                </c:pt>
                <c:pt idx="781">
                  <c:v>34</c:v>
                </c:pt>
                <c:pt idx="782">
                  <c:v>56</c:v>
                </c:pt>
                <c:pt idx="783">
                  <c:v>54</c:v>
                </c:pt>
                <c:pt idx="784">
                  <c:v>55</c:v>
                </c:pt>
                <c:pt idx="785">
                  <c:v>48</c:v>
                </c:pt>
                <c:pt idx="786">
                  <c:v>30</c:v>
                </c:pt>
                <c:pt idx="787">
                  <c:v>29</c:v>
                </c:pt>
                <c:pt idx="788">
                  <c:v>34</c:v>
                </c:pt>
                <c:pt idx="789">
                  <c:v>29</c:v>
                </c:pt>
                <c:pt idx="790">
                  <c:v>26</c:v>
                </c:pt>
                <c:pt idx="791">
                  <c:v>26</c:v>
                </c:pt>
                <c:pt idx="792">
                  <c:v>26</c:v>
                </c:pt>
                <c:pt idx="793">
                  <c:v>27</c:v>
                </c:pt>
                <c:pt idx="794">
                  <c:v>29</c:v>
                </c:pt>
                <c:pt idx="795">
                  <c:v>22</c:v>
                </c:pt>
                <c:pt idx="796">
                  <c:v>23</c:v>
                </c:pt>
                <c:pt idx="797">
                  <c:v>29</c:v>
                </c:pt>
                <c:pt idx="798">
                  <c:v>26</c:v>
                </c:pt>
                <c:pt idx="799">
                  <c:v>33</c:v>
                </c:pt>
                <c:pt idx="800">
                  <c:v>37</c:v>
                </c:pt>
                <c:pt idx="801">
                  <c:v>31</c:v>
                </c:pt>
                <c:pt idx="802">
                  <c:v>32</c:v>
                </c:pt>
                <c:pt idx="803">
                  <c:v>50</c:v>
                </c:pt>
                <c:pt idx="804">
                  <c:v>51</c:v>
                </c:pt>
                <c:pt idx="805">
                  <c:v>39</c:v>
                </c:pt>
                <c:pt idx="806">
                  <c:v>33</c:v>
                </c:pt>
                <c:pt idx="807">
                  <c:v>45</c:v>
                </c:pt>
                <c:pt idx="808">
                  <c:v>49</c:v>
                </c:pt>
                <c:pt idx="809">
                  <c:v>54</c:v>
                </c:pt>
                <c:pt idx="810">
                  <c:v>54</c:v>
                </c:pt>
                <c:pt idx="811">
                  <c:v>52</c:v>
                </c:pt>
                <c:pt idx="812">
                  <c:v>50</c:v>
                </c:pt>
                <c:pt idx="813">
                  <c:v>54</c:v>
                </c:pt>
                <c:pt idx="814">
                  <c:v>59</c:v>
                </c:pt>
                <c:pt idx="815">
                  <c:v>50</c:v>
                </c:pt>
                <c:pt idx="816">
                  <c:v>61</c:v>
                </c:pt>
                <c:pt idx="817">
                  <c:v>64</c:v>
                </c:pt>
                <c:pt idx="818">
                  <c:v>63</c:v>
                </c:pt>
                <c:pt idx="819">
                  <c:v>61</c:v>
                </c:pt>
                <c:pt idx="820">
                  <c:v>50</c:v>
                </c:pt>
                <c:pt idx="821">
                  <c:v>42</c:v>
                </c:pt>
                <c:pt idx="822">
                  <c:v>37</c:v>
                </c:pt>
                <c:pt idx="823">
                  <c:v>41</c:v>
                </c:pt>
                <c:pt idx="824">
                  <c:v>49</c:v>
                </c:pt>
                <c:pt idx="825">
                  <c:v>50</c:v>
                </c:pt>
                <c:pt idx="826">
                  <c:v>50</c:v>
                </c:pt>
                <c:pt idx="827">
                  <c:v>49</c:v>
                </c:pt>
                <c:pt idx="828">
                  <c:v>49</c:v>
                </c:pt>
                <c:pt idx="829">
                  <c:v>39</c:v>
                </c:pt>
                <c:pt idx="830">
                  <c:v>32</c:v>
                </c:pt>
                <c:pt idx="831">
                  <c:v>49</c:v>
                </c:pt>
                <c:pt idx="832">
                  <c:v>50</c:v>
                </c:pt>
                <c:pt idx="833">
                  <c:v>48</c:v>
                </c:pt>
                <c:pt idx="834">
                  <c:v>65</c:v>
                </c:pt>
                <c:pt idx="835">
                  <c:v>73</c:v>
                </c:pt>
                <c:pt idx="836">
                  <c:v>71</c:v>
                </c:pt>
                <c:pt idx="837">
                  <c:v>73</c:v>
                </c:pt>
                <c:pt idx="838">
                  <c:v>72</c:v>
                </c:pt>
                <c:pt idx="839">
                  <c:v>73</c:v>
                </c:pt>
                <c:pt idx="840">
                  <c:v>72</c:v>
                </c:pt>
                <c:pt idx="841">
                  <c:v>70</c:v>
                </c:pt>
                <c:pt idx="842">
                  <c:v>71</c:v>
                </c:pt>
                <c:pt idx="843">
                  <c:v>69</c:v>
                </c:pt>
                <c:pt idx="844">
                  <c:v>72</c:v>
                </c:pt>
                <c:pt idx="845">
                  <c:v>73</c:v>
                </c:pt>
                <c:pt idx="846">
                  <c:v>74</c:v>
                </c:pt>
                <c:pt idx="847">
                  <c:v>72</c:v>
                </c:pt>
                <c:pt idx="848">
                  <c:v>72</c:v>
                </c:pt>
                <c:pt idx="849">
                  <c:v>77</c:v>
                </c:pt>
                <c:pt idx="850">
                  <c:v>77</c:v>
                </c:pt>
                <c:pt idx="851">
                  <c:v>75</c:v>
                </c:pt>
                <c:pt idx="852">
                  <c:v>72</c:v>
                </c:pt>
                <c:pt idx="853">
                  <c:v>74</c:v>
                </c:pt>
                <c:pt idx="854">
                  <c:v>70</c:v>
                </c:pt>
                <c:pt idx="855">
                  <c:v>70</c:v>
                </c:pt>
                <c:pt idx="856">
                  <c:v>70</c:v>
                </c:pt>
                <c:pt idx="857">
                  <c:v>77</c:v>
                </c:pt>
                <c:pt idx="858">
                  <c:v>75</c:v>
                </c:pt>
                <c:pt idx="859">
                  <c:v>75</c:v>
                </c:pt>
                <c:pt idx="860">
                  <c:v>78</c:v>
                </c:pt>
                <c:pt idx="861">
                  <c:v>76</c:v>
                </c:pt>
                <c:pt idx="862">
                  <c:v>80</c:v>
                </c:pt>
                <c:pt idx="863">
                  <c:v>84</c:v>
                </c:pt>
                <c:pt idx="864">
                  <c:v>88</c:v>
                </c:pt>
                <c:pt idx="865">
                  <c:v>80</c:v>
                </c:pt>
                <c:pt idx="866">
                  <c:v>86</c:v>
                </c:pt>
                <c:pt idx="867">
                  <c:v>90</c:v>
                </c:pt>
                <c:pt idx="868">
                  <c:v>83</c:v>
                </c:pt>
                <c:pt idx="869">
                  <c:v>90</c:v>
                </c:pt>
                <c:pt idx="870">
                  <c:v>83</c:v>
                </c:pt>
                <c:pt idx="871">
                  <c:v>82</c:v>
                </c:pt>
                <c:pt idx="872">
                  <c:v>94</c:v>
                </c:pt>
                <c:pt idx="873">
                  <c:v>93</c:v>
                </c:pt>
                <c:pt idx="874">
                  <c:v>80</c:v>
                </c:pt>
                <c:pt idx="875">
                  <c:v>82</c:v>
                </c:pt>
                <c:pt idx="876">
                  <c:v>79</c:v>
                </c:pt>
                <c:pt idx="877">
                  <c:v>75</c:v>
                </c:pt>
                <c:pt idx="878">
                  <c:v>77</c:v>
                </c:pt>
                <c:pt idx="879">
                  <c:v>78</c:v>
                </c:pt>
                <c:pt idx="880">
                  <c:v>84</c:v>
                </c:pt>
                <c:pt idx="881">
                  <c:v>81</c:v>
                </c:pt>
                <c:pt idx="882">
                  <c:v>80</c:v>
                </c:pt>
                <c:pt idx="883">
                  <c:v>76</c:v>
                </c:pt>
                <c:pt idx="884">
                  <c:v>78</c:v>
                </c:pt>
                <c:pt idx="885">
                  <c:v>84</c:v>
                </c:pt>
                <c:pt idx="886">
                  <c:v>72</c:v>
                </c:pt>
                <c:pt idx="887">
                  <c:v>75</c:v>
                </c:pt>
                <c:pt idx="888">
                  <c:v>79</c:v>
                </c:pt>
                <c:pt idx="889">
                  <c:v>78</c:v>
                </c:pt>
                <c:pt idx="890">
                  <c:v>78</c:v>
                </c:pt>
                <c:pt idx="891">
                  <c:v>74</c:v>
                </c:pt>
                <c:pt idx="892">
                  <c:v>83</c:v>
                </c:pt>
                <c:pt idx="893">
                  <c:v>76</c:v>
                </c:pt>
                <c:pt idx="894">
                  <c:v>83</c:v>
                </c:pt>
                <c:pt idx="895">
                  <c:v>80</c:v>
                </c:pt>
                <c:pt idx="896">
                  <c:v>83</c:v>
                </c:pt>
                <c:pt idx="897">
                  <c:v>87</c:v>
                </c:pt>
                <c:pt idx="898">
                  <c:v>81</c:v>
                </c:pt>
                <c:pt idx="899">
                  <c:v>75</c:v>
                </c:pt>
                <c:pt idx="900">
                  <c:v>74</c:v>
                </c:pt>
                <c:pt idx="901">
                  <c:v>73</c:v>
                </c:pt>
                <c:pt idx="902">
                  <c:v>73</c:v>
                </c:pt>
                <c:pt idx="903">
                  <c:v>70</c:v>
                </c:pt>
                <c:pt idx="904">
                  <c:v>73</c:v>
                </c:pt>
                <c:pt idx="905">
                  <c:v>73</c:v>
                </c:pt>
                <c:pt idx="906">
                  <c:v>79</c:v>
                </c:pt>
                <c:pt idx="907">
                  <c:v>74</c:v>
                </c:pt>
                <c:pt idx="908">
                  <c:v>72</c:v>
                </c:pt>
                <c:pt idx="909">
                  <c:v>73</c:v>
                </c:pt>
                <c:pt idx="910">
                  <c:v>65</c:v>
                </c:pt>
                <c:pt idx="911">
                  <c:v>64</c:v>
                </c:pt>
                <c:pt idx="912">
                  <c:v>66</c:v>
                </c:pt>
                <c:pt idx="913">
                  <c:v>70</c:v>
                </c:pt>
                <c:pt idx="914">
                  <c:v>74</c:v>
                </c:pt>
                <c:pt idx="915">
                  <c:v>73</c:v>
                </c:pt>
                <c:pt idx="916">
                  <c:v>72</c:v>
                </c:pt>
                <c:pt idx="917">
                  <c:v>76</c:v>
                </c:pt>
                <c:pt idx="918">
                  <c:v>78</c:v>
                </c:pt>
                <c:pt idx="919">
                  <c:v>70</c:v>
                </c:pt>
                <c:pt idx="920">
                  <c:v>69</c:v>
                </c:pt>
                <c:pt idx="921">
                  <c:v>50</c:v>
                </c:pt>
                <c:pt idx="922">
                  <c:v>69</c:v>
                </c:pt>
                <c:pt idx="923">
                  <c:v>62</c:v>
                </c:pt>
                <c:pt idx="924">
                  <c:v>61</c:v>
                </c:pt>
                <c:pt idx="925">
                  <c:v>63</c:v>
                </c:pt>
                <c:pt idx="926">
                  <c:v>70</c:v>
                </c:pt>
                <c:pt idx="927">
                  <c:v>75</c:v>
                </c:pt>
                <c:pt idx="928">
                  <c:v>75</c:v>
                </c:pt>
                <c:pt idx="929">
                  <c:v>77</c:v>
                </c:pt>
                <c:pt idx="930">
                  <c:v>77</c:v>
                </c:pt>
                <c:pt idx="931">
                  <c:v>76</c:v>
                </c:pt>
                <c:pt idx="932">
                  <c:v>76</c:v>
                </c:pt>
                <c:pt idx="933">
                  <c:v>84</c:v>
                </c:pt>
                <c:pt idx="934">
                  <c:v>75</c:v>
                </c:pt>
                <c:pt idx="935">
                  <c:v>75</c:v>
                </c:pt>
                <c:pt idx="936">
                  <c:v>75</c:v>
                </c:pt>
                <c:pt idx="937">
                  <c:v>73</c:v>
                </c:pt>
                <c:pt idx="938">
                  <c:v>71</c:v>
                </c:pt>
                <c:pt idx="939">
                  <c:v>72</c:v>
                </c:pt>
                <c:pt idx="940">
                  <c:v>72</c:v>
                </c:pt>
                <c:pt idx="941">
                  <c:v>70</c:v>
                </c:pt>
                <c:pt idx="942">
                  <c:v>76</c:v>
                </c:pt>
                <c:pt idx="943">
                  <c:v>68</c:v>
                </c:pt>
                <c:pt idx="944">
                  <c:v>60</c:v>
                </c:pt>
                <c:pt idx="945">
                  <c:v>44</c:v>
                </c:pt>
                <c:pt idx="946">
                  <c:v>72</c:v>
                </c:pt>
                <c:pt idx="947">
                  <c:v>54</c:v>
                </c:pt>
                <c:pt idx="948">
                  <c:v>49</c:v>
                </c:pt>
                <c:pt idx="949">
                  <c:v>44</c:v>
                </c:pt>
                <c:pt idx="950">
                  <c:v>44</c:v>
                </c:pt>
                <c:pt idx="951">
                  <c:v>46</c:v>
                </c:pt>
                <c:pt idx="952">
                  <c:v>43</c:v>
                </c:pt>
                <c:pt idx="953">
                  <c:v>47</c:v>
                </c:pt>
                <c:pt idx="954">
                  <c:v>46</c:v>
                </c:pt>
                <c:pt idx="955">
                  <c:v>50</c:v>
                </c:pt>
                <c:pt idx="956">
                  <c:v>48</c:v>
                </c:pt>
                <c:pt idx="957">
                  <c:v>50</c:v>
                </c:pt>
                <c:pt idx="958">
                  <c:v>54</c:v>
                </c:pt>
                <c:pt idx="959">
                  <c:v>51</c:v>
                </c:pt>
                <c:pt idx="960">
                  <c:v>47</c:v>
                </c:pt>
                <c:pt idx="961">
                  <c:v>44</c:v>
                </c:pt>
                <c:pt idx="962">
                  <c:v>49</c:v>
                </c:pt>
                <c:pt idx="963">
                  <c:v>55</c:v>
                </c:pt>
                <c:pt idx="964">
                  <c:v>49</c:v>
                </c:pt>
                <c:pt idx="965">
                  <c:v>50</c:v>
                </c:pt>
                <c:pt idx="966">
                  <c:v>49</c:v>
                </c:pt>
                <c:pt idx="967">
                  <c:v>25</c:v>
                </c:pt>
                <c:pt idx="968">
                  <c:v>21</c:v>
                </c:pt>
                <c:pt idx="969">
                  <c:v>10</c:v>
                </c:pt>
                <c:pt idx="970">
                  <c:v>16</c:v>
                </c:pt>
                <c:pt idx="971">
                  <c:v>20</c:v>
                </c:pt>
                <c:pt idx="972">
                  <c:v>26</c:v>
                </c:pt>
                <c:pt idx="973">
                  <c:v>33</c:v>
                </c:pt>
                <c:pt idx="974">
                  <c:v>15</c:v>
                </c:pt>
                <c:pt idx="975">
                  <c:v>20</c:v>
                </c:pt>
                <c:pt idx="976">
                  <c:v>25</c:v>
                </c:pt>
                <c:pt idx="977">
                  <c:v>34</c:v>
                </c:pt>
                <c:pt idx="978">
                  <c:v>28</c:v>
                </c:pt>
                <c:pt idx="979">
                  <c:v>27</c:v>
                </c:pt>
                <c:pt idx="980">
                  <c:v>20</c:v>
                </c:pt>
                <c:pt idx="981">
                  <c:v>24</c:v>
                </c:pt>
                <c:pt idx="982">
                  <c:v>34</c:v>
                </c:pt>
                <c:pt idx="983">
                  <c:v>45</c:v>
                </c:pt>
                <c:pt idx="984">
                  <c:v>27</c:v>
                </c:pt>
                <c:pt idx="985">
                  <c:v>46</c:v>
                </c:pt>
                <c:pt idx="986">
                  <c:v>30</c:v>
                </c:pt>
                <c:pt idx="987">
                  <c:v>32</c:v>
                </c:pt>
                <c:pt idx="988">
                  <c:v>34</c:v>
                </c:pt>
                <c:pt idx="989">
                  <c:v>32</c:v>
                </c:pt>
                <c:pt idx="990">
                  <c:v>49</c:v>
                </c:pt>
                <c:pt idx="991">
                  <c:v>31</c:v>
                </c:pt>
                <c:pt idx="992">
                  <c:v>32</c:v>
                </c:pt>
                <c:pt idx="993">
                  <c:v>30</c:v>
                </c:pt>
                <c:pt idx="994">
                  <c:v>45</c:v>
                </c:pt>
                <c:pt idx="995">
                  <c:v>46</c:v>
                </c:pt>
                <c:pt idx="996">
                  <c:v>47</c:v>
                </c:pt>
                <c:pt idx="997">
                  <c:v>40</c:v>
                </c:pt>
                <c:pt idx="998">
                  <c:v>44</c:v>
                </c:pt>
                <c:pt idx="999">
                  <c:v>26</c:v>
                </c:pt>
                <c:pt idx="1000">
                  <c:v>32</c:v>
                </c:pt>
              </c:numCache>
            </c:numRef>
          </c:val>
          <c:smooth val="0"/>
          <c:extLst>
            <c:ext xmlns:c16="http://schemas.microsoft.com/office/drawing/2014/chart" uri="{C3380CC4-5D6E-409C-BE32-E72D297353CC}">
              <c16:uniqueId val="{00000000-831A-4946-9DE2-4D293F143AD4}"/>
            </c:ext>
          </c:extLst>
        </c:ser>
        <c:dLbls>
          <c:showLegendKey val="0"/>
          <c:showVal val="0"/>
          <c:showCatName val="0"/>
          <c:showSerName val="0"/>
          <c:showPercent val="0"/>
          <c:showBubbleSize val="0"/>
        </c:dLbls>
        <c:marker val="1"/>
        <c:smooth val="0"/>
        <c:axId val="409343776"/>
        <c:axId val="409342336"/>
      </c:lineChart>
      <c:lineChart>
        <c:grouping val="standard"/>
        <c:varyColors val="0"/>
        <c:ser>
          <c:idx val="1"/>
          <c:order val="1"/>
          <c:tx>
            <c:strRef>
              <c:f>'IRX-index'!$D$3</c:f>
              <c:strCache>
                <c:ptCount val="1"/>
                <c:pt idx="0">
                  <c:v>Promedio de cierre IRX</c:v>
                </c:pt>
              </c:strCache>
            </c:strRef>
          </c:tx>
          <c:spPr>
            <a:ln w="28575" cap="rnd">
              <a:solidFill>
                <a:schemeClr val="accent2"/>
              </a:solidFill>
              <a:round/>
            </a:ln>
            <a:effectLst/>
          </c:spPr>
          <c:marker>
            <c:symbol val="none"/>
          </c:marker>
          <c:cat>
            <c:strRef>
              <c:f>'IRX-index'!$B$4:$B$1005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'IRX-index'!$D$4:$D$1005</c:f>
              <c:numCache>
                <c:formatCode>0.00</c:formatCode>
                <c:ptCount val="1001"/>
                <c:pt idx="0">
                  <c:v>1.62999999523162</c:v>
                </c:pt>
                <c:pt idx="1">
                  <c:v>1.62999999523162</c:v>
                </c:pt>
                <c:pt idx="2">
                  <c:v>1.8400000333786</c:v>
                </c:pt>
                <c:pt idx="3">
                  <c:v>1.85300004482269</c:v>
                </c:pt>
                <c:pt idx="4">
                  <c:v>1.84300005435943</c:v>
                </c:pt>
                <c:pt idx="5">
                  <c:v>1.84300005435943</c:v>
                </c:pt>
                <c:pt idx="6">
                  <c:v>1.84300005435943</c:v>
                </c:pt>
                <c:pt idx="7">
                  <c:v>1.9529999494552599</c:v>
                </c:pt>
                <c:pt idx="8">
                  <c:v>2.1129999160766602</c:v>
                </c:pt>
                <c:pt idx="9">
                  <c:v>2.3229999542236301</c:v>
                </c:pt>
                <c:pt idx="10">
                  <c:v>2.2730000019073402</c:v>
                </c:pt>
                <c:pt idx="11">
                  <c:v>2.2400000095367401</c:v>
                </c:pt>
                <c:pt idx="12">
                  <c:v>2.2400000095367401</c:v>
                </c:pt>
                <c:pt idx="13">
                  <c:v>2.2400000095367401</c:v>
                </c:pt>
                <c:pt idx="14">
                  <c:v>2.2599999904632502</c:v>
                </c:pt>
                <c:pt idx="15">
                  <c:v>2.45000004768371</c:v>
                </c:pt>
                <c:pt idx="16">
                  <c:v>2.3780000209808301</c:v>
                </c:pt>
                <c:pt idx="17">
                  <c:v>2.3599998950958199</c:v>
                </c:pt>
                <c:pt idx="18">
                  <c:v>2.3550000190734801</c:v>
                </c:pt>
                <c:pt idx="19">
                  <c:v>2.3550000190734801</c:v>
                </c:pt>
                <c:pt idx="20">
                  <c:v>2.3550000190734801</c:v>
                </c:pt>
                <c:pt idx="21">
                  <c:v>2.3929998874664302</c:v>
                </c:pt>
                <c:pt idx="22">
                  <c:v>2.4749999046325599</c:v>
                </c:pt>
                <c:pt idx="23">
                  <c:v>2.3829998970031698</c:v>
                </c:pt>
                <c:pt idx="24">
                  <c:v>2.30800008773803</c:v>
                </c:pt>
                <c:pt idx="25">
                  <c:v>2.2980000972747798</c:v>
                </c:pt>
                <c:pt idx="26">
                  <c:v>2.2980000972747798</c:v>
                </c:pt>
                <c:pt idx="27">
                  <c:v>2.2980000972747798</c:v>
                </c:pt>
                <c:pt idx="28">
                  <c:v>2.2650001049041699</c:v>
                </c:pt>
                <c:pt idx="29">
                  <c:v>2.4630000591278001</c:v>
                </c:pt>
                <c:pt idx="30">
                  <c:v>2.4279999732971098</c:v>
                </c:pt>
                <c:pt idx="31">
                  <c:v>2.3780000209808301</c:v>
                </c:pt>
                <c:pt idx="32">
                  <c:v>2.41000008583068</c:v>
                </c:pt>
                <c:pt idx="33">
                  <c:v>2.41000008583068</c:v>
                </c:pt>
                <c:pt idx="34">
                  <c:v>2.41000008583068</c:v>
                </c:pt>
                <c:pt idx="35">
                  <c:v>2.46000003814697</c:v>
                </c:pt>
                <c:pt idx="36">
                  <c:v>2.5699999332427899</c:v>
                </c:pt>
                <c:pt idx="37">
                  <c:v>2.53500008583068</c:v>
                </c:pt>
                <c:pt idx="38">
                  <c:v>2.4900000095367401</c:v>
                </c:pt>
                <c:pt idx="39">
                  <c:v>2.5</c:v>
                </c:pt>
                <c:pt idx="40">
                  <c:v>2.5</c:v>
                </c:pt>
                <c:pt idx="41">
                  <c:v>2.5</c:v>
                </c:pt>
                <c:pt idx="42">
                  <c:v>2.51300001144409</c:v>
                </c:pt>
                <c:pt idx="43">
                  <c:v>2.59800004959106</c:v>
                </c:pt>
                <c:pt idx="44">
                  <c:v>2.5680000782012899</c:v>
                </c:pt>
                <c:pt idx="45">
                  <c:v>2.5650000572204501</c:v>
                </c:pt>
                <c:pt idx="46">
                  <c:v>2.5799999237060498</c:v>
                </c:pt>
                <c:pt idx="47">
                  <c:v>2.5799999237060498</c:v>
                </c:pt>
                <c:pt idx="48">
                  <c:v>2.5799999237060498</c:v>
                </c:pt>
                <c:pt idx="49">
                  <c:v>2.6480000019073402</c:v>
                </c:pt>
                <c:pt idx="50">
                  <c:v>2.7030000686645499</c:v>
                </c:pt>
                <c:pt idx="51">
                  <c:v>2.7130000591278001</c:v>
                </c:pt>
                <c:pt idx="52">
                  <c:v>2.7300000190734801</c:v>
                </c:pt>
                <c:pt idx="53">
                  <c:v>2.75500011444091</c:v>
                </c:pt>
                <c:pt idx="54">
                  <c:v>2.75500011444091</c:v>
                </c:pt>
                <c:pt idx="55">
                  <c:v>2.75500011444091</c:v>
                </c:pt>
                <c:pt idx="56">
                  <c:v>2.7980000972747798</c:v>
                </c:pt>
                <c:pt idx="57">
                  <c:v>2.8729999065399099</c:v>
                </c:pt>
                <c:pt idx="58">
                  <c:v>2.8599998950958199</c:v>
                </c:pt>
                <c:pt idx="59">
                  <c:v>2.8629999160766602</c:v>
                </c:pt>
                <c:pt idx="60">
                  <c:v>2.8199999332427899</c:v>
                </c:pt>
                <c:pt idx="61">
                  <c:v>2.8199999332427899</c:v>
                </c:pt>
                <c:pt idx="62">
                  <c:v>2.8199999332427899</c:v>
                </c:pt>
                <c:pt idx="63">
                  <c:v>2.8199999332427899</c:v>
                </c:pt>
                <c:pt idx="64">
                  <c:v>2.8450000286102202</c:v>
                </c:pt>
                <c:pt idx="65">
                  <c:v>2.93300008773803</c:v>
                </c:pt>
                <c:pt idx="66">
                  <c:v>2.95000004768371</c:v>
                </c:pt>
                <c:pt idx="67">
                  <c:v>2.9679999351501398</c:v>
                </c:pt>
                <c:pt idx="68">
                  <c:v>2.9679999351501398</c:v>
                </c:pt>
                <c:pt idx="69">
                  <c:v>2.9679999351501398</c:v>
                </c:pt>
                <c:pt idx="70">
                  <c:v>2.9949998855590798</c:v>
                </c:pt>
                <c:pt idx="71">
                  <c:v>3.1530001163482599</c:v>
                </c:pt>
                <c:pt idx="72">
                  <c:v>3.1280000209808301</c:v>
                </c:pt>
                <c:pt idx="73">
                  <c:v>3.0950000286102202</c:v>
                </c:pt>
                <c:pt idx="74">
                  <c:v>3.0699999332427899</c:v>
                </c:pt>
                <c:pt idx="75">
                  <c:v>3.0699999332427899</c:v>
                </c:pt>
                <c:pt idx="76">
                  <c:v>3.0699999332427899</c:v>
                </c:pt>
                <c:pt idx="77">
                  <c:v>3.03500008583068</c:v>
                </c:pt>
                <c:pt idx="78">
                  <c:v>3.2430000305175701</c:v>
                </c:pt>
                <c:pt idx="79">
                  <c:v>3.1900000572204501</c:v>
                </c:pt>
                <c:pt idx="80">
                  <c:v>3.13000011444091</c:v>
                </c:pt>
                <c:pt idx="81">
                  <c:v>3.10800004005432</c:v>
                </c:pt>
                <c:pt idx="82">
                  <c:v>3.10800004005432</c:v>
                </c:pt>
                <c:pt idx="83">
                  <c:v>3.10800004005432</c:v>
                </c:pt>
                <c:pt idx="84">
                  <c:v>3.1649999618530198</c:v>
                </c:pt>
                <c:pt idx="85">
                  <c:v>3.25</c:v>
                </c:pt>
                <c:pt idx="86">
                  <c:v>3.2300000190734801</c:v>
                </c:pt>
                <c:pt idx="87">
                  <c:v>3.2179999351501398</c:v>
                </c:pt>
                <c:pt idx="88">
                  <c:v>3.1800000667571999</c:v>
                </c:pt>
                <c:pt idx="89">
                  <c:v>3.1800000667571999</c:v>
                </c:pt>
                <c:pt idx="90">
                  <c:v>3.1800000667571999</c:v>
                </c:pt>
                <c:pt idx="91">
                  <c:v>3.1500000953674299</c:v>
                </c:pt>
                <c:pt idx="92">
                  <c:v>3.3150000572204501</c:v>
                </c:pt>
                <c:pt idx="93">
                  <c:v>3.2929999828338601</c:v>
                </c:pt>
                <c:pt idx="94">
                  <c:v>3.2880001068115199</c:v>
                </c:pt>
                <c:pt idx="95">
                  <c:v>3.2929999828338601</c:v>
                </c:pt>
                <c:pt idx="96">
                  <c:v>3.2929999828338601</c:v>
                </c:pt>
                <c:pt idx="97">
                  <c:v>3.2929999828338601</c:v>
                </c:pt>
                <c:pt idx="98">
                  <c:v>3.28500008583068</c:v>
                </c:pt>
                <c:pt idx="99">
                  <c:v>3.3399999141693102</c:v>
                </c:pt>
                <c:pt idx="100">
                  <c:v>3.5329999923706001</c:v>
                </c:pt>
                <c:pt idx="101">
                  <c:v>3.5829999446868799</c:v>
                </c:pt>
                <c:pt idx="102">
                  <c:v>3.6280000209808301</c:v>
                </c:pt>
                <c:pt idx="103">
                  <c:v>3.6280000209808301</c:v>
                </c:pt>
                <c:pt idx="104">
                  <c:v>3.6280000209808301</c:v>
                </c:pt>
                <c:pt idx="105">
                  <c:v>3.6879999637603702</c:v>
                </c:pt>
                <c:pt idx="106">
                  <c:v>3.8329999446868799</c:v>
                </c:pt>
                <c:pt idx="107">
                  <c:v>3.8929998874664302</c:v>
                </c:pt>
                <c:pt idx="108">
                  <c:v>3.8900001049041699</c:v>
                </c:pt>
                <c:pt idx="109">
                  <c:v>3.8849999904632502</c:v>
                </c:pt>
                <c:pt idx="110">
                  <c:v>3.8849999904632502</c:v>
                </c:pt>
                <c:pt idx="111">
                  <c:v>3.8849999904632502</c:v>
                </c:pt>
                <c:pt idx="112">
                  <c:v>3.9130001068115199</c:v>
                </c:pt>
                <c:pt idx="113">
                  <c:v>3.9649999141693102</c:v>
                </c:pt>
                <c:pt idx="114">
                  <c:v>3.9300000667571999</c:v>
                </c:pt>
                <c:pt idx="115">
                  <c:v>3.9300000667571999</c:v>
                </c:pt>
                <c:pt idx="116">
                  <c:v>3.9700000286102202</c:v>
                </c:pt>
                <c:pt idx="117">
                  <c:v>3.9700000286102202</c:v>
                </c:pt>
                <c:pt idx="118">
                  <c:v>3.9700000286102202</c:v>
                </c:pt>
                <c:pt idx="119">
                  <c:v>3.9749999046325599</c:v>
                </c:pt>
                <c:pt idx="120">
                  <c:v>4.0500001907348597</c:v>
                </c:pt>
                <c:pt idx="121">
                  <c:v>4.0250000953674299</c:v>
                </c:pt>
                <c:pt idx="122">
                  <c:v>4.0250000953674299</c:v>
                </c:pt>
                <c:pt idx="123">
                  <c:v>4.01300001144409</c:v>
                </c:pt>
                <c:pt idx="124">
                  <c:v>4.01300001144409</c:v>
                </c:pt>
                <c:pt idx="125">
                  <c:v>4.01300001144409</c:v>
                </c:pt>
                <c:pt idx="126">
                  <c:v>3.98300004005432</c:v>
                </c:pt>
                <c:pt idx="127">
                  <c:v>4.0900001525878897</c:v>
                </c:pt>
                <c:pt idx="128">
                  <c:v>4.0929999351501403</c:v>
                </c:pt>
                <c:pt idx="129">
                  <c:v>4.0549998283386204</c:v>
                </c:pt>
                <c:pt idx="130">
                  <c:v>4.0630002021789497</c:v>
                </c:pt>
                <c:pt idx="131">
                  <c:v>4.0630002021789497</c:v>
                </c:pt>
                <c:pt idx="132">
                  <c:v>4.0630002021789497</c:v>
                </c:pt>
                <c:pt idx="133">
                  <c:v>4.0679998397827104</c:v>
                </c:pt>
                <c:pt idx="134">
                  <c:v>4.13000011444091</c:v>
                </c:pt>
                <c:pt idx="135">
                  <c:v>4.125</c:v>
                </c:pt>
                <c:pt idx="136">
                  <c:v>4.1129999160766602</c:v>
                </c:pt>
                <c:pt idx="137">
                  <c:v>4.1350002288818297</c:v>
                </c:pt>
                <c:pt idx="138">
                  <c:v>4.1350002288818297</c:v>
                </c:pt>
                <c:pt idx="139">
                  <c:v>4.1350002288818297</c:v>
                </c:pt>
                <c:pt idx="140">
                  <c:v>4.09800004959106</c:v>
                </c:pt>
                <c:pt idx="141">
                  <c:v>4.1979999542236301</c:v>
                </c:pt>
                <c:pt idx="142">
                  <c:v>4.1999998092651296</c:v>
                </c:pt>
                <c:pt idx="143">
                  <c:v>4.1999998092651296</c:v>
                </c:pt>
                <c:pt idx="144">
                  <c:v>4.1750001907348597</c:v>
                </c:pt>
                <c:pt idx="145">
                  <c:v>4.1750001907348597</c:v>
                </c:pt>
                <c:pt idx="146">
                  <c:v>4.1750001907348597</c:v>
                </c:pt>
                <c:pt idx="147">
                  <c:v>4.18300008773803</c:v>
                </c:pt>
                <c:pt idx="148">
                  <c:v>4.2529997825622496</c:v>
                </c:pt>
                <c:pt idx="149">
                  <c:v>4.2529997825622496</c:v>
                </c:pt>
                <c:pt idx="150">
                  <c:v>4.1929998397827104</c:v>
                </c:pt>
                <c:pt idx="151">
                  <c:v>4.2080001831054599</c:v>
                </c:pt>
                <c:pt idx="152">
                  <c:v>4.2080001831054599</c:v>
                </c:pt>
                <c:pt idx="153">
                  <c:v>4.2080001831054599</c:v>
                </c:pt>
                <c:pt idx="154">
                  <c:v>4.1579999923706001</c:v>
                </c:pt>
                <c:pt idx="155">
                  <c:v>4.2199997901916504</c:v>
                </c:pt>
                <c:pt idx="156">
                  <c:v>4.18300008773803</c:v>
                </c:pt>
                <c:pt idx="157">
                  <c:v>4.1500000953674299</c:v>
                </c:pt>
                <c:pt idx="158">
                  <c:v>4.1729998588562003</c:v>
                </c:pt>
                <c:pt idx="159">
                  <c:v>4.1729998588562003</c:v>
                </c:pt>
                <c:pt idx="160">
                  <c:v>4.1729998588562003</c:v>
                </c:pt>
                <c:pt idx="161">
                  <c:v>4.1680002212524396</c:v>
                </c:pt>
                <c:pt idx="162">
                  <c:v>4.2480001449584899</c:v>
                </c:pt>
                <c:pt idx="163">
                  <c:v>4.2199997901916504</c:v>
                </c:pt>
                <c:pt idx="164">
                  <c:v>4.2129998207092196</c:v>
                </c:pt>
                <c:pt idx="165">
                  <c:v>4.1630001068115199</c:v>
                </c:pt>
                <c:pt idx="166">
                  <c:v>4.1630001068115199</c:v>
                </c:pt>
                <c:pt idx="167">
                  <c:v>4.1630001068115199</c:v>
                </c:pt>
                <c:pt idx="168">
                  <c:v>4.1630001068115199</c:v>
                </c:pt>
                <c:pt idx="169">
                  <c:v>4.2300000190734801</c:v>
                </c:pt>
                <c:pt idx="170">
                  <c:v>4.2049999237060502</c:v>
                </c:pt>
                <c:pt idx="171">
                  <c:v>4.2080001831054599</c:v>
                </c:pt>
                <c:pt idx="172">
                  <c:v>4.1929998397827104</c:v>
                </c:pt>
                <c:pt idx="173">
                  <c:v>4.1929998397827104</c:v>
                </c:pt>
                <c:pt idx="174">
                  <c:v>4.1929998397827104</c:v>
                </c:pt>
                <c:pt idx="175">
                  <c:v>4.1929998397827104</c:v>
                </c:pt>
                <c:pt idx="176">
                  <c:v>4.1950001716613698</c:v>
                </c:pt>
                <c:pt idx="177">
                  <c:v>4.3379998207092196</c:v>
                </c:pt>
                <c:pt idx="178">
                  <c:v>4.29500007629394</c:v>
                </c:pt>
                <c:pt idx="179">
                  <c:v>4.2600002288818297</c:v>
                </c:pt>
                <c:pt idx="180">
                  <c:v>4.2600002288818297</c:v>
                </c:pt>
                <c:pt idx="181">
                  <c:v>4.2600002288818297</c:v>
                </c:pt>
                <c:pt idx="182">
                  <c:v>4.2600002288818297</c:v>
                </c:pt>
                <c:pt idx="183">
                  <c:v>4.25500011444091</c:v>
                </c:pt>
                <c:pt idx="184">
                  <c:v>4.4000000953674299</c:v>
                </c:pt>
                <c:pt idx="185">
                  <c:v>4.4980001449584899</c:v>
                </c:pt>
                <c:pt idx="186">
                  <c:v>4.4930000305175701</c:v>
                </c:pt>
                <c:pt idx="187">
                  <c:v>4.4930000305175701</c:v>
                </c:pt>
                <c:pt idx="188">
                  <c:v>4.4930000305175701</c:v>
                </c:pt>
                <c:pt idx="189">
                  <c:v>4.4829998016357404</c:v>
                </c:pt>
                <c:pt idx="190">
                  <c:v>4.5650000572204501</c:v>
                </c:pt>
                <c:pt idx="191">
                  <c:v>4.5549998283386204</c:v>
                </c:pt>
                <c:pt idx="192">
                  <c:v>4.4749999046325604</c:v>
                </c:pt>
                <c:pt idx="193">
                  <c:v>4.4879999160766602</c:v>
                </c:pt>
                <c:pt idx="194">
                  <c:v>4.4879999160766602</c:v>
                </c:pt>
                <c:pt idx="195">
                  <c:v>4.4879999160766602</c:v>
                </c:pt>
                <c:pt idx="196">
                  <c:v>4.4879999160766602</c:v>
                </c:pt>
                <c:pt idx="197">
                  <c:v>4.4930000305175701</c:v>
                </c:pt>
                <c:pt idx="198">
                  <c:v>4.5300002098083496</c:v>
                </c:pt>
                <c:pt idx="199">
                  <c:v>4.5250000953674299</c:v>
                </c:pt>
                <c:pt idx="200">
                  <c:v>4.5380001068115199</c:v>
                </c:pt>
                <c:pt idx="201">
                  <c:v>4.5380001068115199</c:v>
                </c:pt>
                <c:pt idx="202">
                  <c:v>4.5380001068115199</c:v>
                </c:pt>
                <c:pt idx="203">
                  <c:v>4.5349998474120996</c:v>
                </c:pt>
                <c:pt idx="204">
                  <c:v>4.5729999542236301</c:v>
                </c:pt>
                <c:pt idx="205">
                  <c:v>4.54500007629394</c:v>
                </c:pt>
                <c:pt idx="206">
                  <c:v>4.5430002212524396</c:v>
                </c:pt>
                <c:pt idx="207">
                  <c:v>4.5479998588562003</c:v>
                </c:pt>
                <c:pt idx="208">
                  <c:v>4.5479998588562003</c:v>
                </c:pt>
                <c:pt idx="209">
                  <c:v>4.5479998588562003</c:v>
                </c:pt>
                <c:pt idx="210">
                  <c:v>4.5349998474120996</c:v>
                </c:pt>
                <c:pt idx="211">
                  <c:v>4.5700001716613698</c:v>
                </c:pt>
                <c:pt idx="212">
                  <c:v>4.5199999809265101</c:v>
                </c:pt>
                <c:pt idx="213">
                  <c:v>4.5100002288818297</c:v>
                </c:pt>
                <c:pt idx="214">
                  <c:v>4.5229997634887598</c:v>
                </c:pt>
                <c:pt idx="215">
                  <c:v>4.5229997634887598</c:v>
                </c:pt>
                <c:pt idx="216">
                  <c:v>4.5229997634887598</c:v>
                </c:pt>
                <c:pt idx="217">
                  <c:v>4.5329999923706001</c:v>
                </c:pt>
                <c:pt idx="218">
                  <c:v>4.5700001716613698</c:v>
                </c:pt>
                <c:pt idx="219">
                  <c:v>4.58500003814697</c:v>
                </c:pt>
                <c:pt idx="220">
                  <c:v>4.6129999160766602</c:v>
                </c:pt>
                <c:pt idx="221">
                  <c:v>4.6350002288818297</c:v>
                </c:pt>
                <c:pt idx="222">
                  <c:v>4.6350002288818297</c:v>
                </c:pt>
                <c:pt idx="223">
                  <c:v>4.6350002288818297</c:v>
                </c:pt>
                <c:pt idx="224">
                  <c:v>4.6449999809265101</c:v>
                </c:pt>
                <c:pt idx="225">
                  <c:v>4.6599998474120996</c:v>
                </c:pt>
                <c:pt idx="226">
                  <c:v>4.6430001258850098</c:v>
                </c:pt>
                <c:pt idx="227">
                  <c:v>4.6649999618530202</c:v>
                </c:pt>
                <c:pt idx="228">
                  <c:v>4.6799998283386204</c:v>
                </c:pt>
                <c:pt idx="229">
                  <c:v>4.6799998283386204</c:v>
                </c:pt>
                <c:pt idx="230">
                  <c:v>4.6799998283386204</c:v>
                </c:pt>
                <c:pt idx="231">
                  <c:v>4.6799998283386204</c:v>
                </c:pt>
                <c:pt idx="232">
                  <c:v>4.6880002021789497</c:v>
                </c:pt>
                <c:pt idx="233">
                  <c:v>4.6950001716613698</c:v>
                </c:pt>
                <c:pt idx="234">
                  <c:v>4.6900000572204501</c:v>
                </c:pt>
                <c:pt idx="235">
                  <c:v>4.7030000686645499</c:v>
                </c:pt>
                <c:pt idx="236">
                  <c:v>4.7030000686645499</c:v>
                </c:pt>
                <c:pt idx="237">
                  <c:v>4.7030000686645499</c:v>
                </c:pt>
                <c:pt idx="238">
                  <c:v>4.6649999618530202</c:v>
                </c:pt>
                <c:pt idx="239">
                  <c:v>4.71000003814697</c:v>
                </c:pt>
                <c:pt idx="240">
                  <c:v>4.7249999046325604</c:v>
                </c:pt>
                <c:pt idx="241">
                  <c:v>4.72300004959106</c:v>
                </c:pt>
                <c:pt idx="242">
                  <c:v>4.7179999351501403</c:v>
                </c:pt>
                <c:pt idx="243">
                  <c:v>4.7179999351501403</c:v>
                </c:pt>
                <c:pt idx="244">
                  <c:v>4.7179999351501403</c:v>
                </c:pt>
                <c:pt idx="245">
                  <c:v>4.7280001640319798</c:v>
                </c:pt>
                <c:pt idx="246">
                  <c:v>4.8449997901916504</c:v>
                </c:pt>
                <c:pt idx="247">
                  <c:v>4.8829998970031703</c:v>
                </c:pt>
                <c:pt idx="248">
                  <c:v>4.84800004959106</c:v>
                </c:pt>
                <c:pt idx="249">
                  <c:v>4.8029999732971103</c:v>
                </c:pt>
                <c:pt idx="250">
                  <c:v>4.8029999732971103</c:v>
                </c:pt>
                <c:pt idx="251">
                  <c:v>4.8029999732971103</c:v>
                </c:pt>
                <c:pt idx="252">
                  <c:v>4.6579999923706001</c:v>
                </c:pt>
                <c:pt idx="253">
                  <c:v>4.6799998283386204</c:v>
                </c:pt>
                <c:pt idx="254">
                  <c:v>4.55800008773803</c:v>
                </c:pt>
                <c:pt idx="255">
                  <c:v>4.5300002098083496</c:v>
                </c:pt>
                <c:pt idx="256">
                  <c:v>4.2930002212524396</c:v>
                </c:pt>
                <c:pt idx="257">
                  <c:v>4.2930002212524396</c:v>
                </c:pt>
                <c:pt idx="258">
                  <c:v>4.2930002212524396</c:v>
                </c:pt>
                <c:pt idx="259">
                  <c:v>4.4650001525878897</c:v>
                </c:pt>
                <c:pt idx="260">
                  <c:v>4.6050000190734801</c:v>
                </c:pt>
                <c:pt idx="261">
                  <c:v>4.5630002021789497</c:v>
                </c:pt>
                <c:pt idx="262">
                  <c:v>4.5029997825622496</c:v>
                </c:pt>
                <c:pt idx="263">
                  <c:v>4.5029997825622496</c:v>
                </c:pt>
                <c:pt idx="264">
                  <c:v>4.5029997825622496</c:v>
                </c:pt>
                <c:pt idx="265">
                  <c:v>4.5029997825622496</c:v>
                </c:pt>
                <c:pt idx="266">
                  <c:v>4.5830001831054599</c:v>
                </c:pt>
                <c:pt idx="267">
                  <c:v>4.6279997825622496</c:v>
                </c:pt>
                <c:pt idx="268">
                  <c:v>4.63000011444091</c:v>
                </c:pt>
                <c:pt idx="269">
                  <c:v>4.6649999618530202</c:v>
                </c:pt>
                <c:pt idx="270">
                  <c:v>4.58500003814697</c:v>
                </c:pt>
                <c:pt idx="271">
                  <c:v>4.58500003814697</c:v>
                </c:pt>
                <c:pt idx="272">
                  <c:v>4.58500003814697</c:v>
                </c:pt>
                <c:pt idx="273">
                  <c:v>4.5700001716613698</c:v>
                </c:pt>
                <c:pt idx="274">
                  <c:v>4.7280001640319798</c:v>
                </c:pt>
                <c:pt idx="275">
                  <c:v>4.7049999237060502</c:v>
                </c:pt>
                <c:pt idx="276">
                  <c:v>4.71000003814697</c:v>
                </c:pt>
                <c:pt idx="277">
                  <c:v>4.71000003814697</c:v>
                </c:pt>
                <c:pt idx="278">
                  <c:v>4.71000003814697</c:v>
                </c:pt>
                <c:pt idx="279">
                  <c:v>4.71000003814697</c:v>
                </c:pt>
                <c:pt idx="280">
                  <c:v>4.8379998207092196</c:v>
                </c:pt>
                <c:pt idx="281">
                  <c:v>4.88000011444091</c:v>
                </c:pt>
                <c:pt idx="282">
                  <c:v>4.8600001335143999</c:v>
                </c:pt>
                <c:pt idx="283">
                  <c:v>4.8550000190734801</c:v>
                </c:pt>
                <c:pt idx="284">
                  <c:v>4.9029998779296804</c:v>
                </c:pt>
                <c:pt idx="285">
                  <c:v>4.9029998779296804</c:v>
                </c:pt>
                <c:pt idx="286">
                  <c:v>4.9029998779296804</c:v>
                </c:pt>
                <c:pt idx="287">
                  <c:v>4.9229998588562003</c:v>
                </c:pt>
                <c:pt idx="288">
                  <c:v>5.0300002098083496</c:v>
                </c:pt>
                <c:pt idx="289">
                  <c:v>4.9949998855590803</c:v>
                </c:pt>
                <c:pt idx="290">
                  <c:v>4.9450001716613698</c:v>
                </c:pt>
                <c:pt idx="291">
                  <c:v>4.9499998092651296</c:v>
                </c:pt>
                <c:pt idx="292">
                  <c:v>4.9499998092651296</c:v>
                </c:pt>
                <c:pt idx="293">
                  <c:v>4.9499998092651296</c:v>
                </c:pt>
                <c:pt idx="294">
                  <c:v>4.8730001449584899</c:v>
                </c:pt>
                <c:pt idx="295">
                  <c:v>4.9530000686645499</c:v>
                </c:pt>
                <c:pt idx="296">
                  <c:v>4.9850001335143999</c:v>
                </c:pt>
                <c:pt idx="297">
                  <c:v>5</c:v>
                </c:pt>
                <c:pt idx="298">
                  <c:v>4.9229998588562003</c:v>
                </c:pt>
                <c:pt idx="299">
                  <c:v>4.9229998588562003</c:v>
                </c:pt>
                <c:pt idx="300">
                  <c:v>4.9229998588562003</c:v>
                </c:pt>
                <c:pt idx="301">
                  <c:v>4.8649997711181596</c:v>
                </c:pt>
                <c:pt idx="302">
                  <c:v>5.0399999618530202</c:v>
                </c:pt>
                <c:pt idx="303">
                  <c:v>5.0949997901916504</c:v>
                </c:pt>
                <c:pt idx="304">
                  <c:v>5.0549998283386204</c:v>
                </c:pt>
                <c:pt idx="305">
                  <c:v>5.0799999237060502</c:v>
                </c:pt>
                <c:pt idx="306">
                  <c:v>5.0799999237060502</c:v>
                </c:pt>
                <c:pt idx="307">
                  <c:v>5.0799999237060502</c:v>
                </c:pt>
                <c:pt idx="308">
                  <c:v>5.0830001831054599</c:v>
                </c:pt>
                <c:pt idx="309">
                  <c:v>5.1230001449584899</c:v>
                </c:pt>
                <c:pt idx="310">
                  <c:v>5.0650000572204501</c:v>
                </c:pt>
                <c:pt idx="311">
                  <c:v>5.0149998664855904</c:v>
                </c:pt>
                <c:pt idx="312">
                  <c:v>5.0279998779296804</c:v>
                </c:pt>
                <c:pt idx="313">
                  <c:v>5.0279998779296804</c:v>
                </c:pt>
                <c:pt idx="314">
                  <c:v>5.0279998779296804</c:v>
                </c:pt>
                <c:pt idx="315">
                  <c:v>5</c:v>
                </c:pt>
                <c:pt idx="316">
                  <c:v>5.05800008773803</c:v>
                </c:pt>
                <c:pt idx="317">
                  <c:v>5.0879998207092196</c:v>
                </c:pt>
                <c:pt idx="318">
                  <c:v>5.125</c:v>
                </c:pt>
                <c:pt idx="319">
                  <c:v>5.08500003814697</c:v>
                </c:pt>
                <c:pt idx="320">
                  <c:v>5.08500003814697</c:v>
                </c:pt>
                <c:pt idx="321">
                  <c:v>5.08500003814697</c:v>
                </c:pt>
                <c:pt idx="322">
                  <c:v>5.0949997901916504</c:v>
                </c:pt>
                <c:pt idx="323">
                  <c:v>5.1529998779296804</c:v>
                </c:pt>
                <c:pt idx="324">
                  <c:v>5.1849999427795401</c:v>
                </c:pt>
                <c:pt idx="325">
                  <c:v>5.1630001068115199</c:v>
                </c:pt>
                <c:pt idx="326">
                  <c:v>5.1149997711181596</c:v>
                </c:pt>
                <c:pt idx="327">
                  <c:v>5.1149997711181596</c:v>
                </c:pt>
                <c:pt idx="328">
                  <c:v>5.1149997711181596</c:v>
                </c:pt>
                <c:pt idx="329">
                  <c:v>5.1149997711181596</c:v>
                </c:pt>
                <c:pt idx="330">
                  <c:v>5.1430001258850098</c:v>
                </c:pt>
                <c:pt idx="331">
                  <c:v>5.2480001449584899</c:v>
                </c:pt>
                <c:pt idx="332">
                  <c:v>5.2030000686645499</c:v>
                </c:pt>
                <c:pt idx="333">
                  <c:v>5.2150001525878897</c:v>
                </c:pt>
                <c:pt idx="334">
                  <c:v>5.2150001525878897</c:v>
                </c:pt>
                <c:pt idx="335">
                  <c:v>5.2150001525878897</c:v>
                </c:pt>
                <c:pt idx="336">
                  <c:v>5.1430001258850098</c:v>
                </c:pt>
                <c:pt idx="337">
                  <c:v>5.1579999923706001</c:v>
                </c:pt>
                <c:pt idx="338">
                  <c:v>5.1529998779296804</c:v>
                </c:pt>
                <c:pt idx="339">
                  <c:v>5.0999999046325604</c:v>
                </c:pt>
                <c:pt idx="340">
                  <c:v>5.0949997901916504</c:v>
                </c:pt>
                <c:pt idx="341">
                  <c:v>5.0949997901916504</c:v>
                </c:pt>
                <c:pt idx="342">
                  <c:v>5.0949997901916504</c:v>
                </c:pt>
                <c:pt idx="343">
                  <c:v>5.0949997901916504</c:v>
                </c:pt>
                <c:pt idx="344">
                  <c:v>5.0999999046325604</c:v>
                </c:pt>
                <c:pt idx="345">
                  <c:v>5.0799999237060502</c:v>
                </c:pt>
                <c:pt idx="346">
                  <c:v>5.0549998283386204</c:v>
                </c:pt>
                <c:pt idx="347">
                  <c:v>5.0650000572204501</c:v>
                </c:pt>
                <c:pt idx="348">
                  <c:v>5.0650000572204501</c:v>
                </c:pt>
                <c:pt idx="349">
                  <c:v>5.0650000572204501</c:v>
                </c:pt>
                <c:pt idx="350">
                  <c:v>5.0650000572204501</c:v>
                </c:pt>
                <c:pt idx="351">
                  <c:v>5.0749998092651296</c:v>
                </c:pt>
                <c:pt idx="352">
                  <c:v>5.1350002288818297</c:v>
                </c:pt>
                <c:pt idx="353">
                  <c:v>5.1350002288818297</c:v>
                </c:pt>
                <c:pt idx="354">
                  <c:v>5.13800001144409</c:v>
                </c:pt>
                <c:pt idx="355">
                  <c:v>5.13800001144409</c:v>
                </c:pt>
                <c:pt idx="356">
                  <c:v>5.13800001144409</c:v>
                </c:pt>
                <c:pt idx="357">
                  <c:v>5.1550002098083496</c:v>
                </c:pt>
                <c:pt idx="358">
                  <c:v>5.1799998283386204</c:v>
                </c:pt>
                <c:pt idx="359">
                  <c:v>5.17000007629394</c:v>
                </c:pt>
                <c:pt idx="360">
                  <c:v>5.1750001907348597</c:v>
                </c:pt>
                <c:pt idx="361">
                  <c:v>5.1529998779296804</c:v>
                </c:pt>
                <c:pt idx="362">
                  <c:v>5.1529998779296804</c:v>
                </c:pt>
                <c:pt idx="363">
                  <c:v>5.1529998779296804</c:v>
                </c:pt>
                <c:pt idx="364">
                  <c:v>5.1449999809265101</c:v>
                </c:pt>
                <c:pt idx="365">
                  <c:v>5.1449999809265101</c:v>
                </c:pt>
                <c:pt idx="366">
                  <c:v>5.1929998397827104</c:v>
                </c:pt>
                <c:pt idx="367">
                  <c:v>5.2129998207092196</c:v>
                </c:pt>
                <c:pt idx="368">
                  <c:v>5.2129998207092196</c:v>
                </c:pt>
                <c:pt idx="369">
                  <c:v>5.2129998207092196</c:v>
                </c:pt>
                <c:pt idx="370">
                  <c:v>5.2129998207092196</c:v>
                </c:pt>
                <c:pt idx="371">
                  <c:v>5.2249999046325604</c:v>
                </c:pt>
                <c:pt idx="372">
                  <c:v>5.2430000305175701</c:v>
                </c:pt>
                <c:pt idx="373">
                  <c:v>5.2300000190734801</c:v>
                </c:pt>
                <c:pt idx="374">
                  <c:v>5.22300004959106</c:v>
                </c:pt>
                <c:pt idx="375">
                  <c:v>5.2150001525878897</c:v>
                </c:pt>
                <c:pt idx="376">
                  <c:v>5.2150001525878897</c:v>
                </c:pt>
                <c:pt idx="377">
                  <c:v>5.2150001525878897</c:v>
                </c:pt>
                <c:pt idx="378">
                  <c:v>5.2329998016357404</c:v>
                </c:pt>
                <c:pt idx="379">
                  <c:v>5.2480001449584899</c:v>
                </c:pt>
                <c:pt idx="380">
                  <c:v>5.2449998855590803</c:v>
                </c:pt>
                <c:pt idx="381">
                  <c:v>5.2430000305175701</c:v>
                </c:pt>
                <c:pt idx="382">
                  <c:v>5.2480001449584899</c:v>
                </c:pt>
                <c:pt idx="383">
                  <c:v>5.2480001449584899</c:v>
                </c:pt>
                <c:pt idx="384">
                  <c:v>5.2480001449584899</c:v>
                </c:pt>
                <c:pt idx="385">
                  <c:v>5.25</c:v>
                </c:pt>
                <c:pt idx="386">
                  <c:v>5.2649998664855904</c:v>
                </c:pt>
                <c:pt idx="387">
                  <c:v>5.2680001258850098</c:v>
                </c:pt>
                <c:pt idx="388">
                  <c:v>5.2680001258850098</c:v>
                </c:pt>
                <c:pt idx="389">
                  <c:v>5.25500011444091</c:v>
                </c:pt>
                <c:pt idx="390">
                  <c:v>5.25500011444091</c:v>
                </c:pt>
                <c:pt idx="391">
                  <c:v>5.25500011444091</c:v>
                </c:pt>
                <c:pt idx="392">
                  <c:v>5.2480001449584899</c:v>
                </c:pt>
                <c:pt idx="393">
                  <c:v>5.2600002288818297</c:v>
                </c:pt>
                <c:pt idx="394">
                  <c:v>5.2600002288818297</c:v>
                </c:pt>
                <c:pt idx="395">
                  <c:v>5.2579998970031703</c:v>
                </c:pt>
                <c:pt idx="396">
                  <c:v>5.2529997825622496</c:v>
                </c:pt>
                <c:pt idx="397">
                  <c:v>5.2529997825622496</c:v>
                </c:pt>
                <c:pt idx="398">
                  <c:v>5.2529997825622496</c:v>
                </c:pt>
                <c:pt idx="399">
                  <c:v>5.2600002288818297</c:v>
                </c:pt>
                <c:pt idx="400">
                  <c:v>5.2750000953674299</c:v>
                </c:pt>
                <c:pt idx="401">
                  <c:v>5.2800002098083496</c:v>
                </c:pt>
                <c:pt idx="402">
                  <c:v>5.2680001258850098</c:v>
                </c:pt>
                <c:pt idx="403">
                  <c:v>5.2649998664855904</c:v>
                </c:pt>
                <c:pt idx="404">
                  <c:v>5.2649998664855904</c:v>
                </c:pt>
                <c:pt idx="405">
                  <c:v>5.2649998664855904</c:v>
                </c:pt>
                <c:pt idx="406">
                  <c:v>5.2699999809265101</c:v>
                </c:pt>
                <c:pt idx="407">
                  <c:v>5.2800002098083496</c:v>
                </c:pt>
                <c:pt idx="408">
                  <c:v>5.2849998474120996</c:v>
                </c:pt>
                <c:pt idx="409">
                  <c:v>5.2779998779296804</c:v>
                </c:pt>
                <c:pt idx="410">
                  <c:v>5.2779998779296804</c:v>
                </c:pt>
                <c:pt idx="411">
                  <c:v>5.2779998779296804</c:v>
                </c:pt>
                <c:pt idx="412">
                  <c:v>5.2779998779296804</c:v>
                </c:pt>
                <c:pt idx="413">
                  <c:v>5.2800002098083496</c:v>
                </c:pt>
                <c:pt idx="414">
                  <c:v>5.29500007629394</c:v>
                </c:pt>
                <c:pt idx="415">
                  <c:v>5.29500007629394</c:v>
                </c:pt>
                <c:pt idx="416">
                  <c:v>5.3029999732971103</c:v>
                </c:pt>
                <c:pt idx="417">
                  <c:v>5.3150000572204501</c:v>
                </c:pt>
                <c:pt idx="418">
                  <c:v>5.3150000572204501</c:v>
                </c:pt>
                <c:pt idx="419">
                  <c:v>5.3150000572204501</c:v>
                </c:pt>
                <c:pt idx="420">
                  <c:v>5.3229999542236301</c:v>
                </c:pt>
                <c:pt idx="421">
                  <c:v>5.3200001716613698</c:v>
                </c:pt>
                <c:pt idx="422">
                  <c:v>5.3150000572204501</c:v>
                </c:pt>
                <c:pt idx="423">
                  <c:v>5.2979998588562003</c:v>
                </c:pt>
                <c:pt idx="424">
                  <c:v>5.2680001258850098</c:v>
                </c:pt>
                <c:pt idx="425">
                  <c:v>5.2680001258850098</c:v>
                </c:pt>
                <c:pt idx="426">
                  <c:v>5.2680001258850098</c:v>
                </c:pt>
                <c:pt idx="427">
                  <c:v>5.2680001258850098</c:v>
                </c:pt>
                <c:pt idx="428">
                  <c:v>5.2779998779296804</c:v>
                </c:pt>
                <c:pt idx="429">
                  <c:v>5.3000001907348597</c:v>
                </c:pt>
                <c:pt idx="430">
                  <c:v>5.2829999923706001</c:v>
                </c:pt>
                <c:pt idx="431">
                  <c:v>5.2930002212524396</c:v>
                </c:pt>
                <c:pt idx="432">
                  <c:v>5.2930002212524396</c:v>
                </c:pt>
                <c:pt idx="433">
                  <c:v>5.2930002212524396</c:v>
                </c:pt>
                <c:pt idx="434">
                  <c:v>5.2930002212524396</c:v>
                </c:pt>
                <c:pt idx="435">
                  <c:v>5.3049998283386204</c:v>
                </c:pt>
                <c:pt idx="436">
                  <c:v>5.3049998283386204</c:v>
                </c:pt>
                <c:pt idx="437">
                  <c:v>5.29500007629394</c:v>
                </c:pt>
                <c:pt idx="438">
                  <c:v>5.2979998588562003</c:v>
                </c:pt>
                <c:pt idx="439">
                  <c:v>5.2979998588562003</c:v>
                </c:pt>
                <c:pt idx="440">
                  <c:v>5.2979998588562003</c:v>
                </c:pt>
                <c:pt idx="441">
                  <c:v>5.3000001907348597</c:v>
                </c:pt>
                <c:pt idx="442">
                  <c:v>5.3099999427795401</c:v>
                </c:pt>
                <c:pt idx="443">
                  <c:v>5.3150000572204501</c:v>
                </c:pt>
                <c:pt idx="444">
                  <c:v>5.3049998283386204</c:v>
                </c:pt>
                <c:pt idx="445">
                  <c:v>5.3049998283386204</c:v>
                </c:pt>
                <c:pt idx="446">
                  <c:v>5.3049998283386204</c:v>
                </c:pt>
                <c:pt idx="447">
                  <c:v>5.3049998283386204</c:v>
                </c:pt>
                <c:pt idx="448">
                  <c:v>5.3130002021789497</c:v>
                </c:pt>
                <c:pt idx="449">
                  <c:v>5.3249998092651296</c:v>
                </c:pt>
                <c:pt idx="450">
                  <c:v>5.3299999237060502</c:v>
                </c:pt>
                <c:pt idx="451">
                  <c:v>5.30800008773803</c:v>
                </c:pt>
                <c:pt idx="452">
                  <c:v>5.3000001907348597</c:v>
                </c:pt>
                <c:pt idx="453">
                  <c:v>5.3000001907348597</c:v>
                </c:pt>
                <c:pt idx="454">
                  <c:v>5.3000001907348597</c:v>
                </c:pt>
                <c:pt idx="455">
                  <c:v>5.3150000572204501</c:v>
                </c:pt>
                <c:pt idx="456">
                  <c:v>5.3400001525878897</c:v>
                </c:pt>
                <c:pt idx="457">
                  <c:v>5.33500003814697</c:v>
                </c:pt>
                <c:pt idx="458">
                  <c:v>5.3249998092651296</c:v>
                </c:pt>
                <c:pt idx="459">
                  <c:v>5.34800004959106</c:v>
                </c:pt>
                <c:pt idx="460">
                  <c:v>5.34800004959106</c:v>
                </c:pt>
                <c:pt idx="461">
                  <c:v>5.34800004959106</c:v>
                </c:pt>
                <c:pt idx="462">
                  <c:v>5.34800004959106</c:v>
                </c:pt>
                <c:pt idx="463">
                  <c:v>5.3229999542236301</c:v>
                </c:pt>
                <c:pt idx="464">
                  <c:v>5.33500003814697</c:v>
                </c:pt>
                <c:pt idx="465">
                  <c:v>5.33500003814697</c:v>
                </c:pt>
                <c:pt idx="466">
                  <c:v>5.3280000686645499</c:v>
                </c:pt>
                <c:pt idx="467">
                  <c:v>5.3280000686645499</c:v>
                </c:pt>
                <c:pt idx="468">
                  <c:v>5.3280000686645499</c:v>
                </c:pt>
                <c:pt idx="469">
                  <c:v>5.3280000686645499</c:v>
                </c:pt>
                <c:pt idx="470">
                  <c:v>5.3400001525878897</c:v>
                </c:pt>
                <c:pt idx="471">
                  <c:v>5.3299999237060502</c:v>
                </c:pt>
                <c:pt idx="472">
                  <c:v>5.3099999427795401</c:v>
                </c:pt>
                <c:pt idx="473">
                  <c:v>5.3000001907348597</c:v>
                </c:pt>
                <c:pt idx="474">
                  <c:v>5.3000001907348597</c:v>
                </c:pt>
                <c:pt idx="475">
                  <c:v>5.3000001907348597</c:v>
                </c:pt>
                <c:pt idx="476">
                  <c:v>5.2930002212524396</c:v>
                </c:pt>
                <c:pt idx="477">
                  <c:v>5.30800008773803</c:v>
                </c:pt>
                <c:pt idx="478">
                  <c:v>5.3150000572204501</c:v>
                </c:pt>
                <c:pt idx="479">
                  <c:v>5.3000001907348597</c:v>
                </c:pt>
                <c:pt idx="480">
                  <c:v>5.3049998283386204</c:v>
                </c:pt>
                <c:pt idx="481">
                  <c:v>5.3049998283386204</c:v>
                </c:pt>
                <c:pt idx="482">
                  <c:v>5.3049998283386204</c:v>
                </c:pt>
                <c:pt idx="483">
                  <c:v>5.3130002021789497</c:v>
                </c:pt>
                <c:pt idx="484">
                  <c:v>5.3200001716613698</c:v>
                </c:pt>
                <c:pt idx="485">
                  <c:v>5.3000001907348597</c:v>
                </c:pt>
                <c:pt idx="486">
                  <c:v>5.2699999809265101</c:v>
                </c:pt>
                <c:pt idx="487">
                  <c:v>5.2529997825622496</c:v>
                </c:pt>
                <c:pt idx="488">
                  <c:v>5.2529997825622496</c:v>
                </c:pt>
                <c:pt idx="489">
                  <c:v>5.2529997825622496</c:v>
                </c:pt>
                <c:pt idx="490">
                  <c:v>5.2600002288818297</c:v>
                </c:pt>
                <c:pt idx="491">
                  <c:v>5.2729997634887598</c:v>
                </c:pt>
                <c:pt idx="492">
                  <c:v>5.2680001258850098</c:v>
                </c:pt>
                <c:pt idx="493">
                  <c:v>5.26300001144409</c:v>
                </c:pt>
                <c:pt idx="494">
                  <c:v>5.25</c:v>
                </c:pt>
                <c:pt idx="495">
                  <c:v>5.25</c:v>
                </c:pt>
                <c:pt idx="496">
                  <c:v>5.25</c:v>
                </c:pt>
                <c:pt idx="497">
                  <c:v>5.2600002288818297</c:v>
                </c:pt>
                <c:pt idx="498">
                  <c:v>5.2529997825622496</c:v>
                </c:pt>
                <c:pt idx="499">
                  <c:v>5.25500011444091</c:v>
                </c:pt>
                <c:pt idx="500">
                  <c:v>5.2430000305175701</c:v>
                </c:pt>
                <c:pt idx="501">
                  <c:v>5.2329998016357404</c:v>
                </c:pt>
                <c:pt idx="502">
                  <c:v>5.2329998016357404</c:v>
                </c:pt>
                <c:pt idx="503">
                  <c:v>5.2329998016357404</c:v>
                </c:pt>
                <c:pt idx="504">
                  <c:v>5.2379999160766602</c:v>
                </c:pt>
                <c:pt idx="505">
                  <c:v>5.25500011444091</c:v>
                </c:pt>
                <c:pt idx="506">
                  <c:v>5.2649998664855904</c:v>
                </c:pt>
                <c:pt idx="507">
                  <c:v>5.2649998664855904</c:v>
                </c:pt>
                <c:pt idx="508">
                  <c:v>5.2529997825622496</c:v>
                </c:pt>
                <c:pt idx="509">
                  <c:v>5.2529997825622496</c:v>
                </c:pt>
                <c:pt idx="510">
                  <c:v>5.2529997825622496</c:v>
                </c:pt>
                <c:pt idx="511">
                  <c:v>5.2579998970031703</c:v>
                </c:pt>
                <c:pt idx="512">
                  <c:v>5.2600002288818297</c:v>
                </c:pt>
                <c:pt idx="513">
                  <c:v>5.2399997711181596</c:v>
                </c:pt>
                <c:pt idx="514">
                  <c:v>5.2379999160766602</c:v>
                </c:pt>
                <c:pt idx="515">
                  <c:v>5.2150001525878897</c:v>
                </c:pt>
                <c:pt idx="516">
                  <c:v>5.2150001525878897</c:v>
                </c:pt>
                <c:pt idx="517">
                  <c:v>5.2150001525878897</c:v>
                </c:pt>
                <c:pt idx="518">
                  <c:v>5.22300004959106</c:v>
                </c:pt>
                <c:pt idx="519">
                  <c:v>5.2430000305175701</c:v>
                </c:pt>
                <c:pt idx="520">
                  <c:v>5.2430000305175701</c:v>
                </c:pt>
                <c:pt idx="521">
                  <c:v>5.2329998016357404</c:v>
                </c:pt>
                <c:pt idx="522">
                  <c:v>5.2329998016357404</c:v>
                </c:pt>
                <c:pt idx="523">
                  <c:v>5.2329998016357404</c:v>
                </c:pt>
                <c:pt idx="524">
                  <c:v>5.2329998016357404</c:v>
                </c:pt>
                <c:pt idx="525">
                  <c:v>5.2329998016357404</c:v>
                </c:pt>
                <c:pt idx="526">
                  <c:v>5.2480001449584899</c:v>
                </c:pt>
                <c:pt idx="527">
                  <c:v>5.22300004959106</c:v>
                </c:pt>
                <c:pt idx="528">
                  <c:v>5.2150001525878897</c:v>
                </c:pt>
                <c:pt idx="529">
                  <c:v>5.2249999046325604</c:v>
                </c:pt>
                <c:pt idx="530">
                  <c:v>5.2249999046325604</c:v>
                </c:pt>
                <c:pt idx="531">
                  <c:v>5.2249999046325604</c:v>
                </c:pt>
                <c:pt idx="532">
                  <c:v>5.2249999046325604</c:v>
                </c:pt>
                <c:pt idx="533">
                  <c:v>5.2379999160766602</c:v>
                </c:pt>
                <c:pt idx="534">
                  <c:v>5.2300000190734801</c:v>
                </c:pt>
                <c:pt idx="535">
                  <c:v>5.21000003814697</c:v>
                </c:pt>
                <c:pt idx="536">
                  <c:v>5.2080001831054599</c:v>
                </c:pt>
                <c:pt idx="537">
                  <c:v>5.2080001831054599</c:v>
                </c:pt>
                <c:pt idx="538">
                  <c:v>5.2080001831054599</c:v>
                </c:pt>
                <c:pt idx="539">
                  <c:v>5.2080001831054599</c:v>
                </c:pt>
                <c:pt idx="540">
                  <c:v>5.2030000686645499</c:v>
                </c:pt>
                <c:pt idx="541">
                  <c:v>5.2350001335143999</c:v>
                </c:pt>
                <c:pt idx="542">
                  <c:v>5.2179999351501403</c:v>
                </c:pt>
                <c:pt idx="543">
                  <c:v>5.1799998283386204</c:v>
                </c:pt>
                <c:pt idx="544">
                  <c:v>5.1799998283386204</c:v>
                </c:pt>
                <c:pt idx="545">
                  <c:v>5.1799998283386204</c:v>
                </c:pt>
                <c:pt idx="546">
                  <c:v>5.1799998283386204</c:v>
                </c:pt>
                <c:pt idx="547">
                  <c:v>5.2129998207092196</c:v>
                </c:pt>
                <c:pt idx="548">
                  <c:v>5.2350001335143999</c:v>
                </c:pt>
                <c:pt idx="549">
                  <c:v>5.2280001640319798</c:v>
                </c:pt>
                <c:pt idx="550">
                  <c:v>5.2199997901916504</c:v>
                </c:pt>
                <c:pt idx="551">
                  <c:v>5.2199997901916504</c:v>
                </c:pt>
                <c:pt idx="552">
                  <c:v>5.2199997901916504</c:v>
                </c:pt>
                <c:pt idx="553">
                  <c:v>5.2199997901916504</c:v>
                </c:pt>
                <c:pt idx="554">
                  <c:v>5.2300000190734801</c:v>
                </c:pt>
                <c:pt idx="555">
                  <c:v>5.2249999046325604</c:v>
                </c:pt>
                <c:pt idx="556">
                  <c:v>5.2179999351501403</c:v>
                </c:pt>
                <c:pt idx="557">
                  <c:v>5.1979999542236301</c:v>
                </c:pt>
                <c:pt idx="558">
                  <c:v>5.1979999542236301</c:v>
                </c:pt>
                <c:pt idx="559">
                  <c:v>5.1979999542236301</c:v>
                </c:pt>
                <c:pt idx="560">
                  <c:v>5.1979999542236301</c:v>
                </c:pt>
                <c:pt idx="561">
                  <c:v>5.2030000686645499</c:v>
                </c:pt>
                <c:pt idx="562">
                  <c:v>5.2150001525878897</c:v>
                </c:pt>
                <c:pt idx="563">
                  <c:v>5.1999998092651296</c:v>
                </c:pt>
                <c:pt idx="564">
                  <c:v>5.1979999542236301</c:v>
                </c:pt>
                <c:pt idx="565">
                  <c:v>5.1979999542236301</c:v>
                </c:pt>
                <c:pt idx="566">
                  <c:v>5.1979999542236301</c:v>
                </c:pt>
                <c:pt idx="567">
                  <c:v>5.1999998092651296</c:v>
                </c:pt>
                <c:pt idx="568">
                  <c:v>5.21000003814697</c:v>
                </c:pt>
                <c:pt idx="569">
                  <c:v>5.21000003814697</c:v>
                </c:pt>
                <c:pt idx="570">
                  <c:v>5.1950001716613698</c:v>
                </c:pt>
                <c:pt idx="571">
                  <c:v>5.1999998092651296</c:v>
                </c:pt>
                <c:pt idx="572">
                  <c:v>5.1999998092651296</c:v>
                </c:pt>
                <c:pt idx="573">
                  <c:v>5.1999998092651296</c:v>
                </c:pt>
                <c:pt idx="574">
                  <c:v>5.1999998092651296</c:v>
                </c:pt>
                <c:pt idx="575">
                  <c:v>5.2030000686645499</c:v>
                </c:pt>
                <c:pt idx="576">
                  <c:v>5.1880002021789497</c:v>
                </c:pt>
                <c:pt idx="577">
                  <c:v>5.1999998092651296</c:v>
                </c:pt>
                <c:pt idx="578">
                  <c:v>5.21000003814697</c:v>
                </c:pt>
                <c:pt idx="579">
                  <c:v>5.21000003814697</c:v>
                </c:pt>
                <c:pt idx="580">
                  <c:v>5.21000003814697</c:v>
                </c:pt>
                <c:pt idx="581">
                  <c:v>5.2280001640319798</c:v>
                </c:pt>
                <c:pt idx="582">
                  <c:v>5.22300004959106</c:v>
                </c:pt>
                <c:pt idx="583">
                  <c:v>5.22300004959106</c:v>
                </c:pt>
                <c:pt idx="584">
                  <c:v>5.2179999351501403</c:v>
                </c:pt>
                <c:pt idx="585">
                  <c:v>5.2199997901916504</c:v>
                </c:pt>
                <c:pt idx="586">
                  <c:v>5.2199997901916504</c:v>
                </c:pt>
                <c:pt idx="587">
                  <c:v>5.2199997901916504</c:v>
                </c:pt>
                <c:pt idx="588">
                  <c:v>5.2280001640319798</c:v>
                </c:pt>
                <c:pt idx="589">
                  <c:v>5.2329998016357404</c:v>
                </c:pt>
                <c:pt idx="590">
                  <c:v>5.2179999351501403</c:v>
                </c:pt>
                <c:pt idx="591">
                  <c:v>5.2179999351501403</c:v>
                </c:pt>
                <c:pt idx="592">
                  <c:v>5.22300004959106</c:v>
                </c:pt>
                <c:pt idx="593">
                  <c:v>5.22300004959106</c:v>
                </c:pt>
                <c:pt idx="594">
                  <c:v>5.22300004959106</c:v>
                </c:pt>
                <c:pt idx="595">
                  <c:v>5.22300004959106</c:v>
                </c:pt>
                <c:pt idx="596">
                  <c:v>5.2129998207092196</c:v>
                </c:pt>
                <c:pt idx="597">
                  <c:v>5.2350001335143999</c:v>
                </c:pt>
                <c:pt idx="598">
                  <c:v>5.2329998016357404</c:v>
                </c:pt>
                <c:pt idx="599">
                  <c:v>5.2399997711181596</c:v>
                </c:pt>
                <c:pt idx="600">
                  <c:v>5.2399997711181596</c:v>
                </c:pt>
                <c:pt idx="601">
                  <c:v>5.2399997711181596</c:v>
                </c:pt>
                <c:pt idx="602">
                  <c:v>5.25</c:v>
                </c:pt>
                <c:pt idx="603">
                  <c:v>5.2449998855590803</c:v>
                </c:pt>
                <c:pt idx="604">
                  <c:v>5.2399997711181596</c:v>
                </c:pt>
                <c:pt idx="605">
                  <c:v>5.22300004959106</c:v>
                </c:pt>
                <c:pt idx="606">
                  <c:v>5.2150001525878897</c:v>
                </c:pt>
                <c:pt idx="607">
                  <c:v>5.2150001525878897</c:v>
                </c:pt>
                <c:pt idx="608">
                  <c:v>5.2150001525878897</c:v>
                </c:pt>
                <c:pt idx="609">
                  <c:v>5.22300004959106</c:v>
                </c:pt>
                <c:pt idx="610">
                  <c:v>5.2249999046325604</c:v>
                </c:pt>
                <c:pt idx="611">
                  <c:v>5.2300000190734801</c:v>
                </c:pt>
                <c:pt idx="612">
                  <c:v>5.2280001640319798</c:v>
                </c:pt>
                <c:pt idx="613">
                  <c:v>5.2280001640319798</c:v>
                </c:pt>
                <c:pt idx="614">
                  <c:v>5.2280001640319798</c:v>
                </c:pt>
                <c:pt idx="615">
                  <c:v>5.2280001640319798</c:v>
                </c:pt>
                <c:pt idx="616">
                  <c:v>5.2399997711181596</c:v>
                </c:pt>
                <c:pt idx="617">
                  <c:v>5.2399997711181596</c:v>
                </c:pt>
                <c:pt idx="618">
                  <c:v>5.2379999160766602</c:v>
                </c:pt>
                <c:pt idx="619">
                  <c:v>5.2379999160766602</c:v>
                </c:pt>
                <c:pt idx="620">
                  <c:v>5.2379999160766602</c:v>
                </c:pt>
                <c:pt idx="621">
                  <c:v>5.2379999160766602</c:v>
                </c:pt>
                <c:pt idx="622">
                  <c:v>5.2379999160766602</c:v>
                </c:pt>
                <c:pt idx="623">
                  <c:v>5.2379999160766602</c:v>
                </c:pt>
                <c:pt idx="624">
                  <c:v>5.2379999160766602</c:v>
                </c:pt>
                <c:pt idx="625">
                  <c:v>5.2280001640319798</c:v>
                </c:pt>
                <c:pt idx="626">
                  <c:v>5.2280001640319798</c:v>
                </c:pt>
                <c:pt idx="627">
                  <c:v>5.2199997901916504</c:v>
                </c:pt>
                <c:pt idx="628">
                  <c:v>5.2199997901916504</c:v>
                </c:pt>
                <c:pt idx="629">
                  <c:v>5.2199997901916504</c:v>
                </c:pt>
                <c:pt idx="630">
                  <c:v>5.2179999351501403</c:v>
                </c:pt>
                <c:pt idx="631">
                  <c:v>5.2179999351501403</c:v>
                </c:pt>
                <c:pt idx="632">
                  <c:v>5.2150001525878897</c:v>
                </c:pt>
                <c:pt idx="633">
                  <c:v>5.2030000686645499</c:v>
                </c:pt>
                <c:pt idx="634">
                  <c:v>5.2030000686645499</c:v>
                </c:pt>
                <c:pt idx="635">
                  <c:v>5.2030000686645499</c:v>
                </c:pt>
                <c:pt idx="636">
                  <c:v>5.2030000686645499</c:v>
                </c:pt>
                <c:pt idx="637">
                  <c:v>5.2179999351501403</c:v>
                </c:pt>
                <c:pt idx="638">
                  <c:v>5.2129998207092196</c:v>
                </c:pt>
                <c:pt idx="639">
                  <c:v>5.21000003814697</c:v>
                </c:pt>
                <c:pt idx="640">
                  <c:v>5.2030000686645499</c:v>
                </c:pt>
                <c:pt idx="641">
                  <c:v>5.2150001525878897</c:v>
                </c:pt>
                <c:pt idx="642">
                  <c:v>5.2150001525878897</c:v>
                </c:pt>
                <c:pt idx="643">
                  <c:v>5.2150001525878897</c:v>
                </c:pt>
                <c:pt idx="644">
                  <c:v>5.22300004959106</c:v>
                </c:pt>
                <c:pt idx="645">
                  <c:v>5.2199997901916504</c:v>
                </c:pt>
                <c:pt idx="646">
                  <c:v>5.2430000305175701</c:v>
                </c:pt>
                <c:pt idx="647">
                  <c:v>5.2379999160766602</c:v>
                </c:pt>
                <c:pt idx="648">
                  <c:v>5.2300000190734801</c:v>
                </c:pt>
                <c:pt idx="649">
                  <c:v>5.2300000190734801</c:v>
                </c:pt>
                <c:pt idx="650">
                  <c:v>5.2300000190734801</c:v>
                </c:pt>
                <c:pt idx="651">
                  <c:v>5.2379999160766602</c:v>
                </c:pt>
                <c:pt idx="652">
                  <c:v>5.2329998016357404</c:v>
                </c:pt>
                <c:pt idx="653">
                  <c:v>5.2399997711181596</c:v>
                </c:pt>
                <c:pt idx="654">
                  <c:v>5.2430000305175701</c:v>
                </c:pt>
                <c:pt idx="655">
                  <c:v>5.2449998855590803</c:v>
                </c:pt>
                <c:pt idx="656">
                  <c:v>5.2449998855590803</c:v>
                </c:pt>
                <c:pt idx="657">
                  <c:v>5.2449998855590803</c:v>
                </c:pt>
                <c:pt idx="658">
                  <c:v>5.2449998855590803</c:v>
                </c:pt>
                <c:pt idx="659">
                  <c:v>5.2449998855590803</c:v>
                </c:pt>
                <c:pt idx="660">
                  <c:v>5.25500011444091</c:v>
                </c:pt>
                <c:pt idx="661">
                  <c:v>5.2449998855590803</c:v>
                </c:pt>
                <c:pt idx="662">
                  <c:v>5.2379999160766602</c:v>
                </c:pt>
                <c:pt idx="663">
                  <c:v>5.2379999160766602</c:v>
                </c:pt>
                <c:pt idx="664">
                  <c:v>5.2379999160766602</c:v>
                </c:pt>
                <c:pt idx="665">
                  <c:v>5.2430000305175701</c:v>
                </c:pt>
                <c:pt idx="666">
                  <c:v>5.2449998855590803</c:v>
                </c:pt>
                <c:pt idx="667">
                  <c:v>5.25</c:v>
                </c:pt>
                <c:pt idx="668">
                  <c:v>5.2379999160766602</c:v>
                </c:pt>
                <c:pt idx="669">
                  <c:v>5.2350001335143999</c:v>
                </c:pt>
                <c:pt idx="670">
                  <c:v>5.2350001335143999</c:v>
                </c:pt>
                <c:pt idx="671">
                  <c:v>5.2350001335143999</c:v>
                </c:pt>
                <c:pt idx="672">
                  <c:v>5.2399997711181596</c:v>
                </c:pt>
                <c:pt idx="673">
                  <c:v>5.2430000305175701</c:v>
                </c:pt>
                <c:pt idx="674">
                  <c:v>5.2449998855590803</c:v>
                </c:pt>
                <c:pt idx="675">
                  <c:v>5.2399997711181596</c:v>
                </c:pt>
                <c:pt idx="676">
                  <c:v>5.2430000305175701</c:v>
                </c:pt>
                <c:pt idx="677">
                  <c:v>5.2430000305175701</c:v>
                </c:pt>
                <c:pt idx="678">
                  <c:v>5.2430000305175701</c:v>
                </c:pt>
                <c:pt idx="679">
                  <c:v>5.2399997711181596</c:v>
                </c:pt>
                <c:pt idx="680">
                  <c:v>5.2350001335143999</c:v>
                </c:pt>
                <c:pt idx="681">
                  <c:v>5.2399997711181596</c:v>
                </c:pt>
                <c:pt idx="682">
                  <c:v>5.2430000305175701</c:v>
                </c:pt>
                <c:pt idx="683">
                  <c:v>5.2399997711181596</c:v>
                </c:pt>
                <c:pt idx="684">
                  <c:v>5.2399997711181596</c:v>
                </c:pt>
                <c:pt idx="685">
                  <c:v>5.2399997711181596</c:v>
                </c:pt>
                <c:pt idx="686">
                  <c:v>5.2399997711181596</c:v>
                </c:pt>
                <c:pt idx="687">
                  <c:v>5.2399997711181596</c:v>
                </c:pt>
                <c:pt idx="688">
                  <c:v>5.2449998855590803</c:v>
                </c:pt>
                <c:pt idx="689">
                  <c:v>5.2449998855590803</c:v>
                </c:pt>
                <c:pt idx="690">
                  <c:v>5.2449998855590803</c:v>
                </c:pt>
                <c:pt idx="691">
                  <c:v>5.2449998855590803</c:v>
                </c:pt>
                <c:pt idx="692">
                  <c:v>5.2449998855590803</c:v>
                </c:pt>
                <c:pt idx="693">
                  <c:v>5.2449998855590803</c:v>
                </c:pt>
                <c:pt idx="694">
                  <c:v>5.2480001449584899</c:v>
                </c:pt>
                <c:pt idx="695">
                  <c:v>5.25</c:v>
                </c:pt>
                <c:pt idx="696">
                  <c:v>5.2480001449584899</c:v>
                </c:pt>
                <c:pt idx="697">
                  <c:v>5.2449998855590803</c:v>
                </c:pt>
                <c:pt idx="698">
                  <c:v>5.2449998855590803</c:v>
                </c:pt>
                <c:pt idx="699">
                  <c:v>5.2449998855590803</c:v>
                </c:pt>
                <c:pt idx="700">
                  <c:v>5.2430000305175701</c:v>
                </c:pt>
                <c:pt idx="701">
                  <c:v>5.2399997711181596</c:v>
                </c:pt>
                <c:pt idx="702">
                  <c:v>5.2399997711181596</c:v>
                </c:pt>
                <c:pt idx="703">
                  <c:v>5.2329998016357404</c:v>
                </c:pt>
                <c:pt idx="704">
                  <c:v>5.2379999160766602</c:v>
                </c:pt>
                <c:pt idx="705">
                  <c:v>5.2379999160766602</c:v>
                </c:pt>
                <c:pt idx="706">
                  <c:v>5.2379999160766602</c:v>
                </c:pt>
                <c:pt idx="707">
                  <c:v>5.2329998016357404</c:v>
                </c:pt>
                <c:pt idx="708">
                  <c:v>5.2449998855590803</c:v>
                </c:pt>
                <c:pt idx="709">
                  <c:v>5.2430000305175701</c:v>
                </c:pt>
                <c:pt idx="710">
                  <c:v>5.2399997711181596</c:v>
                </c:pt>
                <c:pt idx="711">
                  <c:v>5.2399997711181596</c:v>
                </c:pt>
                <c:pt idx="712">
                  <c:v>5.2399997711181596</c:v>
                </c:pt>
                <c:pt idx="713">
                  <c:v>5.2399997711181596</c:v>
                </c:pt>
                <c:pt idx="714">
                  <c:v>5.2430000305175701</c:v>
                </c:pt>
                <c:pt idx="715">
                  <c:v>5.2350001335143999</c:v>
                </c:pt>
                <c:pt idx="716">
                  <c:v>5.2350001335143999</c:v>
                </c:pt>
                <c:pt idx="717">
                  <c:v>5.2249999046325604</c:v>
                </c:pt>
                <c:pt idx="718">
                  <c:v>5.2150001525878897</c:v>
                </c:pt>
                <c:pt idx="719">
                  <c:v>5.2150001525878897</c:v>
                </c:pt>
                <c:pt idx="720">
                  <c:v>5.2150001525878897</c:v>
                </c:pt>
                <c:pt idx="721">
                  <c:v>5.21000003814697</c:v>
                </c:pt>
                <c:pt idx="722">
                  <c:v>5.22300004959106</c:v>
                </c:pt>
                <c:pt idx="723">
                  <c:v>5.2300000190734801</c:v>
                </c:pt>
                <c:pt idx="724">
                  <c:v>5.22300004959106</c:v>
                </c:pt>
                <c:pt idx="725">
                  <c:v>5.2129998207092196</c:v>
                </c:pt>
                <c:pt idx="726">
                  <c:v>5.2129998207092196</c:v>
                </c:pt>
                <c:pt idx="727">
                  <c:v>5.2129998207092196</c:v>
                </c:pt>
                <c:pt idx="728">
                  <c:v>5.2179999351501403</c:v>
                </c:pt>
                <c:pt idx="729">
                  <c:v>5.2280001640319798</c:v>
                </c:pt>
                <c:pt idx="730">
                  <c:v>5.2300000190734801</c:v>
                </c:pt>
                <c:pt idx="731">
                  <c:v>5.2300000190734801</c:v>
                </c:pt>
                <c:pt idx="732">
                  <c:v>5.2249999046325604</c:v>
                </c:pt>
                <c:pt idx="733">
                  <c:v>5.2249999046325604</c:v>
                </c:pt>
                <c:pt idx="734">
                  <c:v>5.2249999046325604</c:v>
                </c:pt>
                <c:pt idx="735">
                  <c:v>5.2179999351501403</c:v>
                </c:pt>
                <c:pt idx="736">
                  <c:v>5.2249999046325604</c:v>
                </c:pt>
                <c:pt idx="737">
                  <c:v>5.2249999046325604</c:v>
                </c:pt>
                <c:pt idx="738">
                  <c:v>5.1979999542236301</c:v>
                </c:pt>
                <c:pt idx="739">
                  <c:v>5.1979999542236301</c:v>
                </c:pt>
                <c:pt idx="740">
                  <c:v>5.1979999542236301</c:v>
                </c:pt>
                <c:pt idx="741">
                  <c:v>5.1979999542236301</c:v>
                </c:pt>
                <c:pt idx="742">
                  <c:v>5.1929998397827104</c:v>
                </c:pt>
                <c:pt idx="743">
                  <c:v>5.1929998397827104</c:v>
                </c:pt>
                <c:pt idx="744">
                  <c:v>5.1950001716613698</c:v>
                </c:pt>
                <c:pt idx="745">
                  <c:v>5.1929998397827104</c:v>
                </c:pt>
                <c:pt idx="746">
                  <c:v>5.1929998397827104</c:v>
                </c:pt>
                <c:pt idx="747">
                  <c:v>5.1929998397827104</c:v>
                </c:pt>
                <c:pt idx="748">
                  <c:v>5.1929998397827104</c:v>
                </c:pt>
                <c:pt idx="749">
                  <c:v>5.1900000572204501</c:v>
                </c:pt>
                <c:pt idx="750">
                  <c:v>5.1729998588562003</c:v>
                </c:pt>
                <c:pt idx="751">
                  <c:v>5.17000007629394</c:v>
                </c:pt>
                <c:pt idx="752">
                  <c:v>5.1599998474120996</c:v>
                </c:pt>
                <c:pt idx="753">
                  <c:v>5.1550002098083496</c:v>
                </c:pt>
                <c:pt idx="754">
                  <c:v>5.1550002098083496</c:v>
                </c:pt>
                <c:pt idx="755">
                  <c:v>5.1550002098083496</c:v>
                </c:pt>
                <c:pt idx="756">
                  <c:v>5.1469998359680096</c:v>
                </c:pt>
                <c:pt idx="757">
                  <c:v>5.1350002288818297</c:v>
                </c:pt>
                <c:pt idx="758">
                  <c:v>5.1350002288818297</c:v>
                </c:pt>
                <c:pt idx="759">
                  <c:v>5.1149997711181596</c:v>
                </c:pt>
                <c:pt idx="760">
                  <c:v>5.0300002098083496</c:v>
                </c:pt>
                <c:pt idx="761">
                  <c:v>5.0300002098083496</c:v>
                </c:pt>
                <c:pt idx="762">
                  <c:v>5.0300002098083496</c:v>
                </c:pt>
                <c:pt idx="763">
                  <c:v>5.0599999427795401</c:v>
                </c:pt>
                <c:pt idx="764">
                  <c:v>5.0799999237060502</c:v>
                </c:pt>
                <c:pt idx="765">
                  <c:v>5.0799999237060502</c:v>
                </c:pt>
                <c:pt idx="766">
                  <c:v>5.0830001831054599</c:v>
                </c:pt>
                <c:pt idx="767">
                  <c:v>5.0749998092651296</c:v>
                </c:pt>
                <c:pt idx="768">
                  <c:v>5.0749998092651296</c:v>
                </c:pt>
                <c:pt idx="769">
                  <c:v>5.0749998092651296</c:v>
                </c:pt>
                <c:pt idx="770">
                  <c:v>5.0729999542236301</c:v>
                </c:pt>
                <c:pt idx="771">
                  <c:v>5.0529999732971103</c:v>
                </c:pt>
                <c:pt idx="772">
                  <c:v>5.0630002021789497</c:v>
                </c:pt>
                <c:pt idx="773">
                  <c:v>5.0799999237060502</c:v>
                </c:pt>
                <c:pt idx="774">
                  <c:v>5.0749998092651296</c:v>
                </c:pt>
                <c:pt idx="775">
                  <c:v>5.0749998092651296</c:v>
                </c:pt>
                <c:pt idx="776">
                  <c:v>5.0749998092651296</c:v>
                </c:pt>
                <c:pt idx="777">
                  <c:v>5.0630002021789497</c:v>
                </c:pt>
                <c:pt idx="778">
                  <c:v>5.0329999923706001</c:v>
                </c:pt>
                <c:pt idx="779">
                  <c:v>5.00500011444091</c:v>
                </c:pt>
                <c:pt idx="780">
                  <c:v>5.0250000953674299</c:v>
                </c:pt>
                <c:pt idx="781">
                  <c:v>5</c:v>
                </c:pt>
                <c:pt idx="782">
                  <c:v>5</c:v>
                </c:pt>
                <c:pt idx="783">
                  <c:v>5</c:v>
                </c:pt>
                <c:pt idx="784">
                  <c:v>4.9980001449584899</c:v>
                </c:pt>
                <c:pt idx="785">
                  <c:v>4.9679999351501403</c:v>
                </c:pt>
                <c:pt idx="786">
                  <c:v>4.9549999237060502</c:v>
                </c:pt>
                <c:pt idx="787">
                  <c:v>4.9650001525878897</c:v>
                </c:pt>
                <c:pt idx="788">
                  <c:v>4.9679999351501403</c:v>
                </c:pt>
                <c:pt idx="789">
                  <c:v>4.9679999351501403</c:v>
                </c:pt>
                <c:pt idx="790">
                  <c:v>4.9679999351501403</c:v>
                </c:pt>
                <c:pt idx="791">
                  <c:v>4.9679999351501403</c:v>
                </c:pt>
                <c:pt idx="792">
                  <c:v>4.9699997901916504</c:v>
                </c:pt>
                <c:pt idx="793">
                  <c:v>4.9479999542236301</c:v>
                </c:pt>
                <c:pt idx="794">
                  <c:v>4.9320001602172798</c:v>
                </c:pt>
                <c:pt idx="795">
                  <c:v>4.9079999923706001</c:v>
                </c:pt>
                <c:pt idx="796">
                  <c:v>4.9079999923706001</c:v>
                </c:pt>
                <c:pt idx="797">
                  <c:v>4.9079999923706001</c:v>
                </c:pt>
                <c:pt idx="798">
                  <c:v>4.8949999809265101</c:v>
                </c:pt>
                <c:pt idx="799">
                  <c:v>4.83500003814697</c:v>
                </c:pt>
                <c:pt idx="800">
                  <c:v>4.875</c:v>
                </c:pt>
                <c:pt idx="801">
                  <c:v>4.8400001525878897</c:v>
                </c:pt>
                <c:pt idx="802">
                  <c:v>4.76300001144409</c:v>
                </c:pt>
                <c:pt idx="803">
                  <c:v>4.76300001144409</c:v>
                </c:pt>
                <c:pt idx="804">
                  <c:v>4.76300001144409</c:v>
                </c:pt>
                <c:pt idx="805">
                  <c:v>4.7449998855590803</c:v>
                </c:pt>
                <c:pt idx="806">
                  <c:v>4.7350001335143999</c:v>
                </c:pt>
                <c:pt idx="807">
                  <c:v>4.6149997711181596</c:v>
                </c:pt>
                <c:pt idx="808">
                  <c:v>4.5929999351501403</c:v>
                </c:pt>
                <c:pt idx="809">
                  <c:v>4.54500007629394</c:v>
                </c:pt>
                <c:pt idx="810">
                  <c:v>4.54500007629394</c:v>
                </c:pt>
                <c:pt idx="811">
                  <c:v>4.54500007629394</c:v>
                </c:pt>
                <c:pt idx="812">
                  <c:v>4.5029997825622496</c:v>
                </c:pt>
                <c:pt idx="813">
                  <c:v>4.4949998855590803</c:v>
                </c:pt>
                <c:pt idx="814">
                  <c:v>4.4869999885559002</c:v>
                </c:pt>
                <c:pt idx="815">
                  <c:v>4.4679999351501403</c:v>
                </c:pt>
                <c:pt idx="816">
                  <c:v>4.4819998741149902</c:v>
                </c:pt>
                <c:pt idx="817">
                  <c:v>4.4819998741149902</c:v>
                </c:pt>
                <c:pt idx="818">
                  <c:v>4.4819998741149902</c:v>
                </c:pt>
                <c:pt idx="819">
                  <c:v>4.4980001449584899</c:v>
                </c:pt>
                <c:pt idx="820">
                  <c:v>4.4819998741149902</c:v>
                </c:pt>
                <c:pt idx="821">
                  <c:v>4.47300004959106</c:v>
                </c:pt>
                <c:pt idx="822">
                  <c:v>4.4650001525878897</c:v>
                </c:pt>
                <c:pt idx="823">
                  <c:v>4.50500011444091</c:v>
                </c:pt>
                <c:pt idx="824">
                  <c:v>4.50500011444091</c:v>
                </c:pt>
                <c:pt idx="825">
                  <c:v>4.50500011444091</c:v>
                </c:pt>
                <c:pt idx="826">
                  <c:v>4.5250000953674299</c:v>
                </c:pt>
                <c:pt idx="827">
                  <c:v>4.5279998779296804</c:v>
                </c:pt>
                <c:pt idx="828">
                  <c:v>4.5349998474120996</c:v>
                </c:pt>
                <c:pt idx="829">
                  <c:v>4.5300002098083496</c:v>
                </c:pt>
                <c:pt idx="830">
                  <c:v>4.5149998664855904</c:v>
                </c:pt>
                <c:pt idx="831">
                  <c:v>4.5149998664855904</c:v>
                </c:pt>
                <c:pt idx="832">
                  <c:v>4.5149998664855904</c:v>
                </c:pt>
                <c:pt idx="833">
                  <c:v>4.5180001258850098</c:v>
                </c:pt>
                <c:pt idx="834">
                  <c:v>4.5149998664855904</c:v>
                </c:pt>
                <c:pt idx="835">
                  <c:v>4.5029997825622496</c:v>
                </c:pt>
                <c:pt idx="836">
                  <c:v>4.5149998664855904</c:v>
                </c:pt>
                <c:pt idx="837">
                  <c:v>4.51300001144409</c:v>
                </c:pt>
                <c:pt idx="838">
                  <c:v>4.51300001144409</c:v>
                </c:pt>
                <c:pt idx="839">
                  <c:v>4.51300001144409</c:v>
                </c:pt>
                <c:pt idx="840">
                  <c:v>4.5180001258850098</c:v>
                </c:pt>
                <c:pt idx="841">
                  <c:v>4.5</c:v>
                </c:pt>
                <c:pt idx="842">
                  <c:v>4.50500011444091</c:v>
                </c:pt>
                <c:pt idx="843">
                  <c:v>4.4869999885559002</c:v>
                </c:pt>
                <c:pt idx="844">
                  <c:v>4.5100002288818297</c:v>
                </c:pt>
                <c:pt idx="845">
                  <c:v>4.5100002288818297</c:v>
                </c:pt>
                <c:pt idx="846">
                  <c:v>4.5100002288818297</c:v>
                </c:pt>
                <c:pt idx="847">
                  <c:v>4.4819998741149902</c:v>
                </c:pt>
                <c:pt idx="848">
                  <c:v>4.4800000190734801</c:v>
                </c:pt>
                <c:pt idx="849">
                  <c:v>4.4629998207092196</c:v>
                </c:pt>
                <c:pt idx="850">
                  <c:v>4.4320001602172798</c:v>
                </c:pt>
                <c:pt idx="851">
                  <c:v>4.4000000953674299</c:v>
                </c:pt>
                <c:pt idx="852">
                  <c:v>4.4000000953674299</c:v>
                </c:pt>
                <c:pt idx="853">
                  <c:v>4.4000000953674299</c:v>
                </c:pt>
                <c:pt idx="854">
                  <c:v>4.4180002212524396</c:v>
                </c:pt>
                <c:pt idx="855">
                  <c:v>4.4229998588562003</c:v>
                </c:pt>
                <c:pt idx="856">
                  <c:v>4.4299998283386204</c:v>
                </c:pt>
                <c:pt idx="857">
                  <c:v>4.42000007629394</c:v>
                </c:pt>
                <c:pt idx="858">
                  <c:v>4.4229998588562003</c:v>
                </c:pt>
                <c:pt idx="859">
                  <c:v>4.4229998588562003</c:v>
                </c:pt>
                <c:pt idx="860">
                  <c:v>4.4229998588562003</c:v>
                </c:pt>
                <c:pt idx="861">
                  <c:v>4.4149999618530202</c:v>
                </c:pt>
                <c:pt idx="862">
                  <c:v>4.4229998588562003</c:v>
                </c:pt>
                <c:pt idx="863">
                  <c:v>4.3899998664855904</c:v>
                </c:pt>
                <c:pt idx="864">
                  <c:v>4.3829998970031703</c:v>
                </c:pt>
                <c:pt idx="865">
                  <c:v>4.3930001258850098</c:v>
                </c:pt>
                <c:pt idx="866">
                  <c:v>4.3930001258850098</c:v>
                </c:pt>
                <c:pt idx="867">
                  <c:v>4.3930001258850098</c:v>
                </c:pt>
                <c:pt idx="868">
                  <c:v>4.4029998779296804</c:v>
                </c:pt>
                <c:pt idx="869">
                  <c:v>4.4079999923706001</c:v>
                </c:pt>
                <c:pt idx="870">
                  <c:v>4.4099998474120996</c:v>
                </c:pt>
                <c:pt idx="871">
                  <c:v>4.4130001068115199</c:v>
                </c:pt>
                <c:pt idx="872">
                  <c:v>4.4149999618530202</c:v>
                </c:pt>
                <c:pt idx="873">
                  <c:v>4.4149999618530202</c:v>
                </c:pt>
                <c:pt idx="874">
                  <c:v>4.4149999618530202</c:v>
                </c:pt>
                <c:pt idx="875">
                  <c:v>4.4050002098083496</c:v>
                </c:pt>
                <c:pt idx="876">
                  <c:v>4.3949999809265101</c:v>
                </c:pt>
                <c:pt idx="877">
                  <c:v>4.3850002288818297</c:v>
                </c:pt>
                <c:pt idx="878">
                  <c:v>4.3850002288818297</c:v>
                </c:pt>
                <c:pt idx="879">
                  <c:v>4.3730001449584899</c:v>
                </c:pt>
                <c:pt idx="880">
                  <c:v>4.3730001449584899</c:v>
                </c:pt>
                <c:pt idx="881">
                  <c:v>4.3730001449584899</c:v>
                </c:pt>
                <c:pt idx="882">
                  <c:v>4.38000011444091</c:v>
                </c:pt>
                <c:pt idx="883">
                  <c:v>4.3569998741149902</c:v>
                </c:pt>
                <c:pt idx="884">
                  <c:v>4.3449997901916504</c:v>
                </c:pt>
                <c:pt idx="885">
                  <c:v>4.3299999237060502</c:v>
                </c:pt>
                <c:pt idx="886">
                  <c:v>4.29500007629394</c:v>
                </c:pt>
                <c:pt idx="887">
                  <c:v>4.29500007629394</c:v>
                </c:pt>
                <c:pt idx="888">
                  <c:v>4.29500007629394</c:v>
                </c:pt>
                <c:pt idx="889">
                  <c:v>4.2930002212524396</c:v>
                </c:pt>
                <c:pt idx="890">
                  <c:v>4.2849998474120996</c:v>
                </c:pt>
                <c:pt idx="891">
                  <c:v>4.25500011444091</c:v>
                </c:pt>
                <c:pt idx="892">
                  <c:v>4.22300004959106</c:v>
                </c:pt>
                <c:pt idx="893">
                  <c:v>4.2179999351501403</c:v>
                </c:pt>
                <c:pt idx="894">
                  <c:v>4.2179999351501403</c:v>
                </c:pt>
                <c:pt idx="895">
                  <c:v>4.2179999351501403</c:v>
                </c:pt>
                <c:pt idx="896">
                  <c:v>4.2280001640319798</c:v>
                </c:pt>
                <c:pt idx="897">
                  <c:v>4.2399997711181596</c:v>
                </c:pt>
                <c:pt idx="898">
                  <c:v>4.2319998741149902</c:v>
                </c:pt>
                <c:pt idx="899">
                  <c:v>4.2199997901916504</c:v>
                </c:pt>
                <c:pt idx="900">
                  <c:v>4.2150001525878897</c:v>
                </c:pt>
                <c:pt idx="901">
                  <c:v>4.2150001525878897</c:v>
                </c:pt>
                <c:pt idx="902">
                  <c:v>4.2150001525878897</c:v>
                </c:pt>
                <c:pt idx="903">
                  <c:v>4.2150001525878897</c:v>
                </c:pt>
                <c:pt idx="904">
                  <c:v>4.1999998092651296</c:v>
                </c:pt>
                <c:pt idx="905">
                  <c:v>4.1999998092651296</c:v>
                </c:pt>
                <c:pt idx="906">
                  <c:v>4.2150001525878897</c:v>
                </c:pt>
                <c:pt idx="907">
                  <c:v>4.1779999732971103</c:v>
                </c:pt>
                <c:pt idx="908">
                  <c:v>4.1779999732971103</c:v>
                </c:pt>
                <c:pt idx="909">
                  <c:v>4.1779999732971103</c:v>
                </c:pt>
                <c:pt idx="910">
                  <c:v>4.1820001602172798</c:v>
                </c:pt>
                <c:pt idx="911">
                  <c:v>4.2080001831054599</c:v>
                </c:pt>
                <c:pt idx="912">
                  <c:v>4.2080001831054599</c:v>
                </c:pt>
                <c:pt idx="913">
                  <c:v>4.2080001831054599</c:v>
                </c:pt>
                <c:pt idx="914">
                  <c:v>4.1929998397827104</c:v>
                </c:pt>
                <c:pt idx="915">
                  <c:v>4.1929998397827104</c:v>
                </c:pt>
                <c:pt idx="916">
                  <c:v>4.1929998397827104</c:v>
                </c:pt>
                <c:pt idx="917">
                  <c:v>4.1900000572204501</c:v>
                </c:pt>
                <c:pt idx="918">
                  <c:v>4.2030000686645499</c:v>
                </c:pt>
                <c:pt idx="919">
                  <c:v>4.2049999237060502</c:v>
                </c:pt>
                <c:pt idx="920">
                  <c:v>4.2049999237060502</c:v>
                </c:pt>
                <c:pt idx="921">
                  <c:v>4.2129998207092196</c:v>
                </c:pt>
                <c:pt idx="922">
                  <c:v>4.2129998207092196</c:v>
                </c:pt>
                <c:pt idx="923">
                  <c:v>4.2129998207092196</c:v>
                </c:pt>
                <c:pt idx="924">
                  <c:v>4.2179999351501403</c:v>
                </c:pt>
                <c:pt idx="925">
                  <c:v>4.2129998207092196</c:v>
                </c:pt>
                <c:pt idx="926">
                  <c:v>4.2049999237060502</c:v>
                </c:pt>
                <c:pt idx="927">
                  <c:v>4.1950001716613698</c:v>
                </c:pt>
                <c:pt idx="928">
                  <c:v>4.1929998397827104</c:v>
                </c:pt>
                <c:pt idx="929">
                  <c:v>4.1929998397827104</c:v>
                </c:pt>
                <c:pt idx="930">
                  <c:v>4.1929998397827104</c:v>
                </c:pt>
                <c:pt idx="931">
                  <c:v>4.1929998397827104</c:v>
                </c:pt>
                <c:pt idx="932">
                  <c:v>4.19700002670288</c:v>
                </c:pt>
                <c:pt idx="933">
                  <c:v>4.2150001525878897</c:v>
                </c:pt>
                <c:pt idx="934">
                  <c:v>4.2129998207092196</c:v>
                </c:pt>
                <c:pt idx="935">
                  <c:v>4.2049999237060502</c:v>
                </c:pt>
                <c:pt idx="936">
                  <c:v>4.2049999237060502</c:v>
                </c:pt>
                <c:pt idx="937">
                  <c:v>4.2049999237060502</c:v>
                </c:pt>
                <c:pt idx="938">
                  <c:v>4.1880002021789497</c:v>
                </c:pt>
                <c:pt idx="939">
                  <c:v>4.1900000572204501</c:v>
                </c:pt>
                <c:pt idx="940">
                  <c:v>4.1880002021789497</c:v>
                </c:pt>
                <c:pt idx="941">
                  <c:v>4.1820001602172798</c:v>
                </c:pt>
                <c:pt idx="942">
                  <c:v>4.1880002021789497</c:v>
                </c:pt>
                <c:pt idx="943">
                  <c:v>4.1880002021789497</c:v>
                </c:pt>
                <c:pt idx="944">
                  <c:v>4.1880002021789497</c:v>
                </c:pt>
                <c:pt idx="945">
                  <c:v>4.1900000572204501</c:v>
                </c:pt>
                <c:pt idx="946">
                  <c:v>4.2129998207092196</c:v>
                </c:pt>
                <c:pt idx="947">
                  <c:v>4.21000003814697</c:v>
                </c:pt>
                <c:pt idx="948">
                  <c:v>4.2129998207092196</c:v>
                </c:pt>
                <c:pt idx="949">
                  <c:v>4.2280001640319798</c:v>
                </c:pt>
                <c:pt idx="950">
                  <c:v>4.2280001640319798</c:v>
                </c:pt>
                <c:pt idx="951">
                  <c:v>4.2280001640319798</c:v>
                </c:pt>
                <c:pt idx="952">
                  <c:v>4.2280001640319798</c:v>
                </c:pt>
                <c:pt idx="953">
                  <c:v>4.2249999046325604</c:v>
                </c:pt>
                <c:pt idx="954">
                  <c:v>4.2280001640319798</c:v>
                </c:pt>
                <c:pt idx="955">
                  <c:v>4.2129998207092196</c:v>
                </c:pt>
                <c:pt idx="956">
                  <c:v>4.2129998207092196</c:v>
                </c:pt>
                <c:pt idx="957">
                  <c:v>4.2129998207092196</c:v>
                </c:pt>
                <c:pt idx="958">
                  <c:v>4.2129998207092196</c:v>
                </c:pt>
                <c:pt idx="959">
                  <c:v>4.2129998207092196</c:v>
                </c:pt>
                <c:pt idx="960">
                  <c:v>4.2129998207092196</c:v>
                </c:pt>
                <c:pt idx="961">
                  <c:v>4.2179999351501403</c:v>
                </c:pt>
                <c:pt idx="962">
                  <c:v>4.2049999237060502</c:v>
                </c:pt>
                <c:pt idx="963">
                  <c:v>4.19700002670288</c:v>
                </c:pt>
                <c:pt idx="964">
                  <c:v>4.19700002670288</c:v>
                </c:pt>
                <c:pt idx="965">
                  <c:v>4.19700002670288</c:v>
                </c:pt>
                <c:pt idx="966">
                  <c:v>4.1900000572204501</c:v>
                </c:pt>
                <c:pt idx="967">
                  <c:v>4.1820001602172798</c:v>
                </c:pt>
                <c:pt idx="968">
                  <c:v>4.1929998397827104</c:v>
                </c:pt>
                <c:pt idx="969">
                  <c:v>4.1950001716613698</c:v>
                </c:pt>
                <c:pt idx="970">
                  <c:v>4.1929998397827104</c:v>
                </c:pt>
                <c:pt idx="971">
                  <c:v>4.1929998397827104</c:v>
                </c:pt>
                <c:pt idx="972">
                  <c:v>4.1929998397827104</c:v>
                </c:pt>
                <c:pt idx="973">
                  <c:v>4.1929998397827104</c:v>
                </c:pt>
                <c:pt idx="974">
                  <c:v>4.1950001716613698</c:v>
                </c:pt>
                <c:pt idx="975">
                  <c:v>4.2049999237060502</c:v>
                </c:pt>
                <c:pt idx="976">
                  <c:v>4.19700002670288</c:v>
                </c:pt>
                <c:pt idx="977">
                  <c:v>4.19700002670288</c:v>
                </c:pt>
                <c:pt idx="978">
                  <c:v>4.19700002670288</c:v>
                </c:pt>
                <c:pt idx="979">
                  <c:v>4.19700002670288</c:v>
                </c:pt>
                <c:pt idx="980">
                  <c:v>4.1849999427795401</c:v>
                </c:pt>
                <c:pt idx="981">
                  <c:v>4.1950001716613698</c:v>
                </c:pt>
                <c:pt idx="982">
                  <c:v>4.19700002670288</c:v>
                </c:pt>
                <c:pt idx="983">
                  <c:v>4.1880002021789497</c:v>
                </c:pt>
                <c:pt idx="984">
                  <c:v>4.1880002021789497</c:v>
                </c:pt>
                <c:pt idx="985">
                  <c:v>4.1880002021789497</c:v>
                </c:pt>
                <c:pt idx="986">
                  <c:v>4.1880002021789497</c:v>
                </c:pt>
                <c:pt idx="987">
                  <c:v>4.1880002021789497</c:v>
                </c:pt>
                <c:pt idx="988">
                  <c:v>4.1950001716613698</c:v>
                </c:pt>
                <c:pt idx="989">
                  <c:v>4.1900000572204501</c:v>
                </c:pt>
                <c:pt idx="990">
                  <c:v>4.1820001602172798</c:v>
                </c:pt>
                <c:pt idx="991">
                  <c:v>4.1849999427795401</c:v>
                </c:pt>
                <c:pt idx="992">
                  <c:v>4.1849999427795401</c:v>
                </c:pt>
                <c:pt idx="993">
                  <c:v>4.1849999427795401</c:v>
                </c:pt>
                <c:pt idx="994">
                  <c:v>4.1820001602172798</c:v>
                </c:pt>
                <c:pt idx="995">
                  <c:v>4.1820001602172798</c:v>
                </c:pt>
                <c:pt idx="996">
                  <c:v>4.1900000572204501</c:v>
                </c:pt>
                <c:pt idx="997">
                  <c:v>4.1880002021789497</c:v>
                </c:pt>
                <c:pt idx="998">
                  <c:v>4.1880002021789497</c:v>
                </c:pt>
                <c:pt idx="999">
                  <c:v>4.1880002021789497</c:v>
                </c:pt>
                <c:pt idx="1000">
                  <c:v>4.1880002021789497</c:v>
                </c:pt>
              </c:numCache>
            </c:numRef>
          </c:val>
          <c:smooth val="0"/>
          <c:extLst>
            <c:ext xmlns:c16="http://schemas.microsoft.com/office/drawing/2014/chart" uri="{C3380CC4-5D6E-409C-BE32-E72D297353CC}">
              <c16:uniqueId val="{00000001-831A-4946-9DE2-4D293F143AD4}"/>
            </c:ext>
          </c:extLst>
        </c:ser>
        <c:dLbls>
          <c:showLegendKey val="0"/>
          <c:showVal val="0"/>
          <c:showCatName val="0"/>
          <c:showSerName val="0"/>
          <c:showPercent val="0"/>
          <c:showBubbleSize val="0"/>
        </c:dLbls>
        <c:marker val="1"/>
        <c:smooth val="0"/>
        <c:axId val="736376864"/>
        <c:axId val="736375424"/>
      </c:lineChart>
      <c:catAx>
        <c:axId val="40934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09342336"/>
        <c:crosses val="autoZero"/>
        <c:auto val="1"/>
        <c:lblAlgn val="ctr"/>
        <c:lblOffset val="100"/>
        <c:noMultiLvlLbl val="0"/>
      </c:catAx>
      <c:valAx>
        <c:axId val="40934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09343776"/>
        <c:crosses val="autoZero"/>
        <c:crossBetween val="between"/>
      </c:valAx>
      <c:valAx>
        <c:axId val="736375424"/>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36376864"/>
        <c:crosses val="max"/>
        <c:crossBetween val="between"/>
      </c:valAx>
      <c:catAx>
        <c:axId val="736376864"/>
        <c:scaling>
          <c:orientation val="minMax"/>
        </c:scaling>
        <c:delete val="1"/>
        <c:axPos val="b"/>
        <c:numFmt formatCode="General" sourceLinked="1"/>
        <c:majorTickMark val="out"/>
        <c:minorTickMark val="none"/>
        <c:tickLblPos val="nextTo"/>
        <c:crossAx val="7363754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[FerreiraFabianBTCfinal.xlsm]BTC-GOLD!TablaDinámica12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BTC comparado al oro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'BTC-GOLD'!$C$3</c:f>
              <c:strCache>
                <c:ptCount val="1"/>
                <c:pt idx="0">
                  <c:v>Promedio de cierre BTC</c:v>
                </c:pt>
              </c:strCache>
            </c:strRef>
          </c:tx>
          <c:spPr>
            <a:ln w="28575" cap="rnd">
              <a:solidFill>
                <a:schemeClr val="accent1"/>
              </a:solidFill>
              <a:round/>
            </a:ln>
            <a:effectLst/>
          </c:spPr>
          <c:marker>
            <c:symbol val="none"/>
          </c:marker>
          <c:trendline>
            <c:spPr>
              <a:ln w="19050" cap="rnd">
                <a:solidFill>
                  <a:srgbClr val="00B0F0"/>
                </a:solidFill>
                <a:prstDash val="solid"/>
              </a:ln>
              <a:effectLst/>
            </c:spPr>
            <c:trendlineType val="linear"/>
            <c:dispRSqr val="0"/>
            <c:dispEq val="0"/>
          </c:trendline>
          <c:cat>
            <c:strRef>
              <c:f>'BTC-GOLD'!$B$4:$B$1005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'BTC-GOLD'!$C$4:$C$1005</c:f>
              <c:numCache>
                <c:formatCode>_("$"* #,##0.00_);_("$"* \(#,##0.00\);_("$"* "-"??_);_(@_)</c:formatCode>
                <c:ptCount val="1001"/>
                <c:pt idx="0">
                  <c:v>20231.259999999998</c:v>
                </c:pt>
                <c:pt idx="1">
                  <c:v>20190.12</c:v>
                </c:pt>
                <c:pt idx="2">
                  <c:v>20548.25</c:v>
                </c:pt>
                <c:pt idx="3">
                  <c:v>21637.59</c:v>
                </c:pt>
                <c:pt idx="4">
                  <c:v>21731.119999999999</c:v>
                </c:pt>
                <c:pt idx="5">
                  <c:v>21592.21</c:v>
                </c:pt>
                <c:pt idx="6">
                  <c:v>20860.45</c:v>
                </c:pt>
                <c:pt idx="7">
                  <c:v>19970.560000000001</c:v>
                </c:pt>
                <c:pt idx="8">
                  <c:v>19323.91</c:v>
                </c:pt>
                <c:pt idx="9">
                  <c:v>20212.07</c:v>
                </c:pt>
                <c:pt idx="10">
                  <c:v>20569.919999999998</c:v>
                </c:pt>
                <c:pt idx="11">
                  <c:v>20836.330000000002</c:v>
                </c:pt>
                <c:pt idx="12">
                  <c:v>21190.32</c:v>
                </c:pt>
                <c:pt idx="13">
                  <c:v>20779.34</c:v>
                </c:pt>
                <c:pt idx="14">
                  <c:v>22485.69</c:v>
                </c:pt>
                <c:pt idx="15">
                  <c:v>23389.43</c:v>
                </c:pt>
                <c:pt idx="16">
                  <c:v>23231.73</c:v>
                </c:pt>
                <c:pt idx="17">
                  <c:v>23164.63</c:v>
                </c:pt>
                <c:pt idx="18">
                  <c:v>22714.98</c:v>
                </c:pt>
                <c:pt idx="19">
                  <c:v>22465.48</c:v>
                </c:pt>
                <c:pt idx="20">
                  <c:v>22609.16</c:v>
                </c:pt>
                <c:pt idx="21">
                  <c:v>21361.7</c:v>
                </c:pt>
                <c:pt idx="22">
                  <c:v>21239.75</c:v>
                </c:pt>
                <c:pt idx="23">
                  <c:v>22930.55</c:v>
                </c:pt>
                <c:pt idx="24">
                  <c:v>23843.89</c:v>
                </c:pt>
                <c:pt idx="25">
                  <c:v>23804.63</c:v>
                </c:pt>
                <c:pt idx="26">
                  <c:v>23656.21</c:v>
                </c:pt>
                <c:pt idx="27">
                  <c:v>23336.9</c:v>
                </c:pt>
                <c:pt idx="28">
                  <c:v>23314.2</c:v>
                </c:pt>
                <c:pt idx="29">
                  <c:v>22978.12</c:v>
                </c:pt>
                <c:pt idx="30">
                  <c:v>22846.51</c:v>
                </c:pt>
                <c:pt idx="31">
                  <c:v>22630.959999999999</c:v>
                </c:pt>
                <c:pt idx="32">
                  <c:v>23289.31</c:v>
                </c:pt>
                <c:pt idx="33">
                  <c:v>22961.279999999999</c:v>
                </c:pt>
                <c:pt idx="34">
                  <c:v>23175.89</c:v>
                </c:pt>
                <c:pt idx="35">
                  <c:v>23809.49</c:v>
                </c:pt>
                <c:pt idx="36">
                  <c:v>23164.32</c:v>
                </c:pt>
                <c:pt idx="37">
                  <c:v>23947.64</c:v>
                </c:pt>
                <c:pt idx="38">
                  <c:v>23957.53</c:v>
                </c:pt>
                <c:pt idx="39">
                  <c:v>24402.82</c:v>
                </c:pt>
                <c:pt idx="40">
                  <c:v>24424.07</c:v>
                </c:pt>
                <c:pt idx="41">
                  <c:v>24319.33</c:v>
                </c:pt>
                <c:pt idx="42">
                  <c:v>24136.97</c:v>
                </c:pt>
                <c:pt idx="43">
                  <c:v>23883.29</c:v>
                </c:pt>
                <c:pt idx="44">
                  <c:v>23336</c:v>
                </c:pt>
                <c:pt idx="45">
                  <c:v>23212.74</c:v>
                </c:pt>
                <c:pt idx="46">
                  <c:v>20877.55</c:v>
                </c:pt>
                <c:pt idx="47">
                  <c:v>21166.06</c:v>
                </c:pt>
                <c:pt idx="48">
                  <c:v>21534.12</c:v>
                </c:pt>
                <c:pt idx="49">
                  <c:v>21398.91</c:v>
                </c:pt>
                <c:pt idx="50">
                  <c:v>21528.09</c:v>
                </c:pt>
                <c:pt idx="51">
                  <c:v>21395.02</c:v>
                </c:pt>
                <c:pt idx="52">
                  <c:v>21600.9</c:v>
                </c:pt>
                <c:pt idx="53">
                  <c:v>20260.02</c:v>
                </c:pt>
                <c:pt idx="54">
                  <c:v>20041.740000000002</c:v>
                </c:pt>
                <c:pt idx="55">
                  <c:v>19616.810000000001</c:v>
                </c:pt>
                <c:pt idx="56">
                  <c:v>20297.990000000002</c:v>
                </c:pt>
                <c:pt idx="57">
                  <c:v>19796.810000000001</c:v>
                </c:pt>
                <c:pt idx="58">
                  <c:v>20049.759999999998</c:v>
                </c:pt>
                <c:pt idx="59">
                  <c:v>20127.14</c:v>
                </c:pt>
                <c:pt idx="60">
                  <c:v>19969.77</c:v>
                </c:pt>
                <c:pt idx="61">
                  <c:v>19832.09</c:v>
                </c:pt>
                <c:pt idx="62">
                  <c:v>19986.71</c:v>
                </c:pt>
                <c:pt idx="63">
                  <c:v>19812.37</c:v>
                </c:pt>
                <c:pt idx="64">
                  <c:v>18837.669999999998</c:v>
                </c:pt>
                <c:pt idx="65">
                  <c:v>19290.32</c:v>
                </c:pt>
                <c:pt idx="66">
                  <c:v>19329.830000000002</c:v>
                </c:pt>
                <c:pt idx="67">
                  <c:v>21381.15</c:v>
                </c:pt>
                <c:pt idx="68">
                  <c:v>21680.54</c:v>
                </c:pt>
                <c:pt idx="69">
                  <c:v>21769.26</c:v>
                </c:pt>
                <c:pt idx="70">
                  <c:v>22370.45</c:v>
                </c:pt>
                <c:pt idx="71">
                  <c:v>20296.71</c:v>
                </c:pt>
                <c:pt idx="72">
                  <c:v>20241.09</c:v>
                </c:pt>
                <c:pt idx="73">
                  <c:v>19701.21</c:v>
                </c:pt>
                <c:pt idx="74">
                  <c:v>19772.580000000002</c:v>
                </c:pt>
                <c:pt idx="75">
                  <c:v>20127.580000000002</c:v>
                </c:pt>
                <c:pt idx="76">
                  <c:v>19419.509999999998</c:v>
                </c:pt>
                <c:pt idx="77">
                  <c:v>19544.13</c:v>
                </c:pt>
                <c:pt idx="78">
                  <c:v>18890.79</c:v>
                </c:pt>
                <c:pt idx="79">
                  <c:v>18547.400000000001</c:v>
                </c:pt>
                <c:pt idx="80">
                  <c:v>19413.55</c:v>
                </c:pt>
                <c:pt idx="81">
                  <c:v>19297.64</c:v>
                </c:pt>
                <c:pt idx="82">
                  <c:v>18937.009999999998</c:v>
                </c:pt>
                <c:pt idx="83">
                  <c:v>18802.099999999999</c:v>
                </c:pt>
                <c:pt idx="84">
                  <c:v>19222.669999999998</c:v>
                </c:pt>
                <c:pt idx="85">
                  <c:v>19110.55</c:v>
                </c:pt>
                <c:pt idx="86">
                  <c:v>19426.72</c:v>
                </c:pt>
                <c:pt idx="87">
                  <c:v>19573.05</c:v>
                </c:pt>
                <c:pt idx="88">
                  <c:v>19431.79</c:v>
                </c:pt>
                <c:pt idx="89">
                  <c:v>19312.099999999999</c:v>
                </c:pt>
                <c:pt idx="90">
                  <c:v>19044.11</c:v>
                </c:pt>
                <c:pt idx="91">
                  <c:v>19623.580000000002</c:v>
                </c:pt>
                <c:pt idx="92">
                  <c:v>20336.84</c:v>
                </c:pt>
                <c:pt idx="93">
                  <c:v>20160.72</c:v>
                </c:pt>
                <c:pt idx="94">
                  <c:v>19955.439999999999</c:v>
                </c:pt>
                <c:pt idx="95">
                  <c:v>19546.849999999999</c:v>
                </c:pt>
                <c:pt idx="96">
                  <c:v>19416.57</c:v>
                </c:pt>
                <c:pt idx="97">
                  <c:v>19446.43</c:v>
                </c:pt>
                <c:pt idx="98">
                  <c:v>19141.48</c:v>
                </c:pt>
                <c:pt idx="99">
                  <c:v>19051.419999999998</c:v>
                </c:pt>
                <c:pt idx="100">
                  <c:v>19157.45</c:v>
                </c:pt>
                <c:pt idx="101">
                  <c:v>19382.900000000001</c:v>
                </c:pt>
                <c:pt idx="102">
                  <c:v>19185.66</c:v>
                </c:pt>
                <c:pt idx="103">
                  <c:v>19067.63</c:v>
                </c:pt>
                <c:pt idx="104">
                  <c:v>19268.09</c:v>
                </c:pt>
                <c:pt idx="105">
                  <c:v>19550.759999999998</c:v>
                </c:pt>
                <c:pt idx="106">
                  <c:v>19334.419999999998</c:v>
                </c:pt>
                <c:pt idx="107">
                  <c:v>19139.54</c:v>
                </c:pt>
                <c:pt idx="108">
                  <c:v>19053.740000000002</c:v>
                </c:pt>
                <c:pt idx="109">
                  <c:v>19172.47</c:v>
                </c:pt>
                <c:pt idx="110">
                  <c:v>19208.189999999999</c:v>
                </c:pt>
                <c:pt idx="111">
                  <c:v>19567.009999999998</c:v>
                </c:pt>
                <c:pt idx="112">
                  <c:v>19345.57</c:v>
                </c:pt>
                <c:pt idx="113">
                  <c:v>20095.86</c:v>
                </c:pt>
                <c:pt idx="114">
                  <c:v>20770.439999999999</c:v>
                </c:pt>
                <c:pt idx="115">
                  <c:v>20285.84</c:v>
                </c:pt>
                <c:pt idx="116">
                  <c:v>20595.349999999999</c:v>
                </c:pt>
                <c:pt idx="117">
                  <c:v>20818.48</c:v>
                </c:pt>
                <c:pt idx="118">
                  <c:v>20635.599999999999</c:v>
                </c:pt>
                <c:pt idx="119">
                  <c:v>20495.77</c:v>
                </c:pt>
                <c:pt idx="120">
                  <c:v>20485.27</c:v>
                </c:pt>
                <c:pt idx="121">
                  <c:v>20159.5</c:v>
                </c:pt>
                <c:pt idx="122">
                  <c:v>20209.990000000002</c:v>
                </c:pt>
                <c:pt idx="123">
                  <c:v>21147.23</c:v>
                </c:pt>
                <c:pt idx="124">
                  <c:v>21282.69</c:v>
                </c:pt>
                <c:pt idx="125">
                  <c:v>20926.490000000002</c:v>
                </c:pt>
                <c:pt idx="126">
                  <c:v>20602.82</c:v>
                </c:pt>
                <c:pt idx="127">
                  <c:v>18541.27</c:v>
                </c:pt>
                <c:pt idx="128">
                  <c:v>15880.78</c:v>
                </c:pt>
                <c:pt idx="129">
                  <c:v>17586.77</c:v>
                </c:pt>
                <c:pt idx="130">
                  <c:v>17034.29</c:v>
                </c:pt>
                <c:pt idx="131">
                  <c:v>16799.189999999999</c:v>
                </c:pt>
                <c:pt idx="132">
                  <c:v>16353.37</c:v>
                </c:pt>
                <c:pt idx="133">
                  <c:v>16618.2</c:v>
                </c:pt>
                <c:pt idx="134">
                  <c:v>16884.61</c:v>
                </c:pt>
                <c:pt idx="135">
                  <c:v>16669.439999999999</c:v>
                </c:pt>
                <c:pt idx="136">
                  <c:v>16687.52</c:v>
                </c:pt>
                <c:pt idx="137">
                  <c:v>16697.78</c:v>
                </c:pt>
                <c:pt idx="138">
                  <c:v>16711.55</c:v>
                </c:pt>
                <c:pt idx="139">
                  <c:v>16291.83</c:v>
                </c:pt>
                <c:pt idx="140">
                  <c:v>15787.28</c:v>
                </c:pt>
                <c:pt idx="141">
                  <c:v>16189.77</c:v>
                </c:pt>
                <c:pt idx="142">
                  <c:v>16610.71</c:v>
                </c:pt>
                <c:pt idx="143">
                  <c:v>16604.46</c:v>
                </c:pt>
                <c:pt idx="144">
                  <c:v>16521.84</c:v>
                </c:pt>
                <c:pt idx="145">
                  <c:v>16464.28</c:v>
                </c:pt>
                <c:pt idx="146">
                  <c:v>16444.63</c:v>
                </c:pt>
                <c:pt idx="147">
                  <c:v>16217.32</c:v>
                </c:pt>
                <c:pt idx="148">
                  <c:v>16444.98</c:v>
                </c:pt>
                <c:pt idx="149">
                  <c:v>17168.57</c:v>
                </c:pt>
                <c:pt idx="150">
                  <c:v>16967.13</c:v>
                </c:pt>
                <c:pt idx="151">
                  <c:v>17088.66</c:v>
                </c:pt>
                <c:pt idx="152">
                  <c:v>16908.240000000002</c:v>
                </c:pt>
                <c:pt idx="153">
                  <c:v>17130.490000000002</c:v>
                </c:pt>
                <c:pt idx="154">
                  <c:v>16974.830000000002</c:v>
                </c:pt>
                <c:pt idx="155">
                  <c:v>17089.5</c:v>
                </c:pt>
                <c:pt idx="156">
                  <c:v>16848.13</c:v>
                </c:pt>
                <c:pt idx="157">
                  <c:v>17233.47</c:v>
                </c:pt>
                <c:pt idx="158">
                  <c:v>17133.150000000001</c:v>
                </c:pt>
                <c:pt idx="159">
                  <c:v>17128.72</c:v>
                </c:pt>
                <c:pt idx="160">
                  <c:v>17104.189999999999</c:v>
                </c:pt>
                <c:pt idx="161">
                  <c:v>17206.439999999999</c:v>
                </c:pt>
                <c:pt idx="162">
                  <c:v>17781.32</c:v>
                </c:pt>
                <c:pt idx="163">
                  <c:v>17815.650000000001</c:v>
                </c:pt>
                <c:pt idx="164">
                  <c:v>17364.87</c:v>
                </c:pt>
                <c:pt idx="165">
                  <c:v>16647.48</c:v>
                </c:pt>
                <c:pt idx="166">
                  <c:v>16795.09</c:v>
                </c:pt>
                <c:pt idx="167">
                  <c:v>16757.98</c:v>
                </c:pt>
                <c:pt idx="168">
                  <c:v>16439.68</c:v>
                </c:pt>
                <c:pt idx="169">
                  <c:v>16906.3</c:v>
                </c:pt>
                <c:pt idx="170">
                  <c:v>16817.54</c:v>
                </c:pt>
                <c:pt idx="171">
                  <c:v>16830.34</c:v>
                </c:pt>
                <c:pt idx="172">
                  <c:v>16796.95</c:v>
                </c:pt>
                <c:pt idx="173">
                  <c:v>16847.759999999998</c:v>
                </c:pt>
                <c:pt idx="174">
                  <c:v>16841.990000000002</c:v>
                </c:pt>
                <c:pt idx="175">
                  <c:v>16919.8</c:v>
                </c:pt>
                <c:pt idx="176">
                  <c:v>16717.169999999998</c:v>
                </c:pt>
                <c:pt idx="177">
                  <c:v>16552.57</c:v>
                </c:pt>
                <c:pt idx="178">
                  <c:v>16642.34</c:v>
                </c:pt>
                <c:pt idx="179">
                  <c:v>16602.59</c:v>
                </c:pt>
                <c:pt idx="180">
                  <c:v>16547.5</c:v>
                </c:pt>
                <c:pt idx="181">
                  <c:v>16625.080000000002</c:v>
                </c:pt>
                <c:pt idx="182">
                  <c:v>16688.47</c:v>
                </c:pt>
                <c:pt idx="183">
                  <c:v>16679.86</c:v>
                </c:pt>
                <c:pt idx="184">
                  <c:v>16863.240000000002</c:v>
                </c:pt>
                <c:pt idx="185">
                  <c:v>16836.740000000002</c:v>
                </c:pt>
                <c:pt idx="186">
                  <c:v>16951.97</c:v>
                </c:pt>
                <c:pt idx="187">
                  <c:v>16955.080000000002</c:v>
                </c:pt>
                <c:pt idx="188">
                  <c:v>17091.14</c:v>
                </c:pt>
                <c:pt idx="189">
                  <c:v>17196.55</c:v>
                </c:pt>
                <c:pt idx="190">
                  <c:v>17446.29</c:v>
                </c:pt>
                <c:pt idx="191">
                  <c:v>17934.900000000001</c:v>
                </c:pt>
                <c:pt idx="192">
                  <c:v>18869.59</c:v>
                </c:pt>
                <c:pt idx="193">
                  <c:v>19909.57</c:v>
                </c:pt>
                <c:pt idx="194">
                  <c:v>20976.3</c:v>
                </c:pt>
                <c:pt idx="195">
                  <c:v>20880.8</c:v>
                </c:pt>
                <c:pt idx="196">
                  <c:v>21169.63</c:v>
                </c:pt>
                <c:pt idx="197">
                  <c:v>21161.52</c:v>
                </c:pt>
                <c:pt idx="198">
                  <c:v>20688.78</c:v>
                </c:pt>
                <c:pt idx="199">
                  <c:v>21086.79</c:v>
                </c:pt>
                <c:pt idx="200">
                  <c:v>22676.55</c:v>
                </c:pt>
                <c:pt idx="201">
                  <c:v>22777.63</c:v>
                </c:pt>
                <c:pt idx="202">
                  <c:v>22720.42</c:v>
                </c:pt>
                <c:pt idx="203">
                  <c:v>22934.43</c:v>
                </c:pt>
                <c:pt idx="204">
                  <c:v>22636.47</c:v>
                </c:pt>
                <c:pt idx="205">
                  <c:v>23117.86</c:v>
                </c:pt>
                <c:pt idx="206">
                  <c:v>23032.78</c:v>
                </c:pt>
                <c:pt idx="207">
                  <c:v>23078.73</c:v>
                </c:pt>
                <c:pt idx="208">
                  <c:v>23031.09</c:v>
                </c:pt>
                <c:pt idx="209">
                  <c:v>23774.57</c:v>
                </c:pt>
                <c:pt idx="210">
                  <c:v>22840.14</c:v>
                </c:pt>
                <c:pt idx="211">
                  <c:v>23139.279999999999</c:v>
                </c:pt>
                <c:pt idx="212">
                  <c:v>23723.77</c:v>
                </c:pt>
                <c:pt idx="213">
                  <c:v>23471.87</c:v>
                </c:pt>
                <c:pt idx="214">
                  <c:v>23449.32</c:v>
                </c:pt>
                <c:pt idx="215">
                  <c:v>23331.85</c:v>
                </c:pt>
                <c:pt idx="216">
                  <c:v>22955.67</c:v>
                </c:pt>
                <c:pt idx="217">
                  <c:v>22760.11</c:v>
                </c:pt>
                <c:pt idx="218">
                  <c:v>23264.29</c:v>
                </c:pt>
                <c:pt idx="219">
                  <c:v>22939.4</c:v>
                </c:pt>
                <c:pt idx="220">
                  <c:v>21819.040000000001</c:v>
                </c:pt>
                <c:pt idx="221">
                  <c:v>21651.18</c:v>
                </c:pt>
                <c:pt idx="222">
                  <c:v>21870.880000000001</c:v>
                </c:pt>
                <c:pt idx="223">
                  <c:v>21788.2</c:v>
                </c:pt>
                <c:pt idx="224">
                  <c:v>21808.1</c:v>
                </c:pt>
                <c:pt idx="225">
                  <c:v>22220.799999999999</c:v>
                </c:pt>
                <c:pt idx="226">
                  <c:v>24307.84</c:v>
                </c:pt>
                <c:pt idx="227">
                  <c:v>23623.47</c:v>
                </c:pt>
                <c:pt idx="228">
                  <c:v>24565.599999999999</c:v>
                </c:pt>
                <c:pt idx="229">
                  <c:v>24641.279999999999</c:v>
                </c:pt>
                <c:pt idx="230">
                  <c:v>24327.64</c:v>
                </c:pt>
                <c:pt idx="231">
                  <c:v>24829.15</c:v>
                </c:pt>
                <c:pt idx="232">
                  <c:v>24436.35</c:v>
                </c:pt>
                <c:pt idx="233">
                  <c:v>24188.84</c:v>
                </c:pt>
                <c:pt idx="234">
                  <c:v>23947.49</c:v>
                </c:pt>
                <c:pt idx="235">
                  <c:v>23198.13</c:v>
                </c:pt>
                <c:pt idx="236">
                  <c:v>23175.38</c:v>
                </c:pt>
                <c:pt idx="237">
                  <c:v>23561.21</c:v>
                </c:pt>
                <c:pt idx="238">
                  <c:v>23522.87</c:v>
                </c:pt>
                <c:pt idx="239">
                  <c:v>23147.35</c:v>
                </c:pt>
                <c:pt idx="240">
                  <c:v>23646.55</c:v>
                </c:pt>
                <c:pt idx="241">
                  <c:v>23475.47</c:v>
                </c:pt>
                <c:pt idx="242">
                  <c:v>22362.68</c:v>
                </c:pt>
                <c:pt idx="243">
                  <c:v>22353.35</c:v>
                </c:pt>
                <c:pt idx="244">
                  <c:v>22435.51</c:v>
                </c:pt>
                <c:pt idx="245">
                  <c:v>22429.759999999998</c:v>
                </c:pt>
                <c:pt idx="246">
                  <c:v>22219.77</c:v>
                </c:pt>
                <c:pt idx="247">
                  <c:v>21718.080000000002</c:v>
                </c:pt>
                <c:pt idx="248">
                  <c:v>20363.02</c:v>
                </c:pt>
                <c:pt idx="249">
                  <c:v>20187.240000000002</c:v>
                </c:pt>
                <c:pt idx="250">
                  <c:v>20632.41</c:v>
                </c:pt>
                <c:pt idx="251">
                  <c:v>22163.95</c:v>
                </c:pt>
                <c:pt idx="252">
                  <c:v>24197.53</c:v>
                </c:pt>
                <c:pt idx="253">
                  <c:v>24746.07</c:v>
                </c:pt>
                <c:pt idx="254">
                  <c:v>24375.96</c:v>
                </c:pt>
                <c:pt idx="255">
                  <c:v>25052.79</c:v>
                </c:pt>
                <c:pt idx="256">
                  <c:v>27423.93</c:v>
                </c:pt>
                <c:pt idx="257">
                  <c:v>26965.88</c:v>
                </c:pt>
                <c:pt idx="258">
                  <c:v>28038.68</c:v>
                </c:pt>
                <c:pt idx="259">
                  <c:v>27767.24</c:v>
                </c:pt>
                <c:pt idx="260">
                  <c:v>28175.82</c:v>
                </c:pt>
                <c:pt idx="261">
                  <c:v>27307.439999999999</c:v>
                </c:pt>
                <c:pt idx="262">
                  <c:v>28333.97</c:v>
                </c:pt>
                <c:pt idx="263">
                  <c:v>27493.29</c:v>
                </c:pt>
                <c:pt idx="264">
                  <c:v>27494.71</c:v>
                </c:pt>
                <c:pt idx="265">
                  <c:v>27994.33</c:v>
                </c:pt>
                <c:pt idx="266">
                  <c:v>27139.89</c:v>
                </c:pt>
                <c:pt idx="267">
                  <c:v>27268.13</c:v>
                </c:pt>
                <c:pt idx="268">
                  <c:v>28348.44</c:v>
                </c:pt>
                <c:pt idx="269">
                  <c:v>28033.56</c:v>
                </c:pt>
                <c:pt idx="270">
                  <c:v>28478.48</c:v>
                </c:pt>
                <c:pt idx="271">
                  <c:v>28411.040000000001</c:v>
                </c:pt>
                <c:pt idx="272">
                  <c:v>28199.31</c:v>
                </c:pt>
                <c:pt idx="273">
                  <c:v>27790.22</c:v>
                </c:pt>
                <c:pt idx="274">
                  <c:v>28168.09</c:v>
                </c:pt>
                <c:pt idx="275">
                  <c:v>28177.98</c:v>
                </c:pt>
                <c:pt idx="276">
                  <c:v>28044.14</c:v>
                </c:pt>
                <c:pt idx="277">
                  <c:v>27925.86</c:v>
                </c:pt>
                <c:pt idx="278">
                  <c:v>27947.79</c:v>
                </c:pt>
                <c:pt idx="279">
                  <c:v>28333.05</c:v>
                </c:pt>
                <c:pt idx="280">
                  <c:v>29652.98</c:v>
                </c:pt>
                <c:pt idx="281">
                  <c:v>30235.06</c:v>
                </c:pt>
                <c:pt idx="282">
                  <c:v>30139.05</c:v>
                </c:pt>
                <c:pt idx="283">
                  <c:v>30399.07</c:v>
                </c:pt>
                <c:pt idx="284">
                  <c:v>30485.7</c:v>
                </c:pt>
                <c:pt idx="285">
                  <c:v>30318.5</c:v>
                </c:pt>
                <c:pt idx="286">
                  <c:v>30315.360000000001</c:v>
                </c:pt>
                <c:pt idx="287">
                  <c:v>29445.040000000001</c:v>
                </c:pt>
                <c:pt idx="288">
                  <c:v>30397.55</c:v>
                </c:pt>
                <c:pt idx="289">
                  <c:v>28822.68</c:v>
                </c:pt>
                <c:pt idx="290">
                  <c:v>28245.99</c:v>
                </c:pt>
                <c:pt idx="291">
                  <c:v>27276.91</c:v>
                </c:pt>
                <c:pt idx="292">
                  <c:v>27817.5</c:v>
                </c:pt>
                <c:pt idx="293">
                  <c:v>27591.38</c:v>
                </c:pt>
                <c:pt idx="294">
                  <c:v>27525.34</c:v>
                </c:pt>
                <c:pt idx="295">
                  <c:v>28307.599999999999</c:v>
                </c:pt>
                <c:pt idx="296">
                  <c:v>28422.7</c:v>
                </c:pt>
                <c:pt idx="297">
                  <c:v>29473.79</c:v>
                </c:pt>
                <c:pt idx="298">
                  <c:v>29340.26</c:v>
                </c:pt>
                <c:pt idx="299">
                  <c:v>29248.49</c:v>
                </c:pt>
                <c:pt idx="300">
                  <c:v>29268.81</c:v>
                </c:pt>
                <c:pt idx="301">
                  <c:v>28091.57</c:v>
                </c:pt>
                <c:pt idx="302">
                  <c:v>28680.54</c:v>
                </c:pt>
                <c:pt idx="303">
                  <c:v>29006.31</c:v>
                </c:pt>
                <c:pt idx="304">
                  <c:v>28847.71</c:v>
                </c:pt>
                <c:pt idx="305">
                  <c:v>29534.38</c:v>
                </c:pt>
                <c:pt idx="306">
                  <c:v>28904.62</c:v>
                </c:pt>
                <c:pt idx="307">
                  <c:v>28454.98</c:v>
                </c:pt>
                <c:pt idx="308">
                  <c:v>27694.27</c:v>
                </c:pt>
                <c:pt idx="309">
                  <c:v>27658.78</c:v>
                </c:pt>
                <c:pt idx="310">
                  <c:v>27621.759999999998</c:v>
                </c:pt>
                <c:pt idx="311">
                  <c:v>27000.79</c:v>
                </c:pt>
                <c:pt idx="312">
                  <c:v>26804.99</c:v>
                </c:pt>
                <c:pt idx="313">
                  <c:v>26784.080000000002</c:v>
                </c:pt>
                <c:pt idx="314">
                  <c:v>26930.639999999999</c:v>
                </c:pt>
                <c:pt idx="315">
                  <c:v>27192.69</c:v>
                </c:pt>
                <c:pt idx="316">
                  <c:v>27036.65</c:v>
                </c:pt>
                <c:pt idx="317">
                  <c:v>27398.799999999999</c:v>
                </c:pt>
                <c:pt idx="318">
                  <c:v>26832.21</c:v>
                </c:pt>
                <c:pt idx="319">
                  <c:v>26890.13</c:v>
                </c:pt>
                <c:pt idx="320">
                  <c:v>27129.59</c:v>
                </c:pt>
                <c:pt idx="321">
                  <c:v>26753.83</c:v>
                </c:pt>
                <c:pt idx="322">
                  <c:v>26851.279999999999</c:v>
                </c:pt>
                <c:pt idx="323">
                  <c:v>27225.73</c:v>
                </c:pt>
                <c:pt idx="324">
                  <c:v>26334.82</c:v>
                </c:pt>
                <c:pt idx="325">
                  <c:v>26476.21</c:v>
                </c:pt>
                <c:pt idx="326">
                  <c:v>26719.29</c:v>
                </c:pt>
                <c:pt idx="327">
                  <c:v>26868.35</c:v>
                </c:pt>
                <c:pt idx="328">
                  <c:v>28085.65</c:v>
                </c:pt>
                <c:pt idx="329">
                  <c:v>27745.88</c:v>
                </c:pt>
                <c:pt idx="330">
                  <c:v>27702.35</c:v>
                </c:pt>
                <c:pt idx="331">
                  <c:v>27219.66</c:v>
                </c:pt>
                <c:pt idx="332">
                  <c:v>26819.97</c:v>
                </c:pt>
                <c:pt idx="333">
                  <c:v>27249.59</c:v>
                </c:pt>
                <c:pt idx="334">
                  <c:v>27075.13</c:v>
                </c:pt>
                <c:pt idx="335">
                  <c:v>27119.07</c:v>
                </c:pt>
                <c:pt idx="336">
                  <c:v>25760.1</c:v>
                </c:pt>
                <c:pt idx="337">
                  <c:v>27238.78</c:v>
                </c:pt>
                <c:pt idx="338">
                  <c:v>26346</c:v>
                </c:pt>
                <c:pt idx="339">
                  <c:v>26508.22</c:v>
                </c:pt>
                <c:pt idx="340">
                  <c:v>26480.38</c:v>
                </c:pt>
                <c:pt idx="341">
                  <c:v>25851.24</c:v>
                </c:pt>
                <c:pt idx="342">
                  <c:v>25940.17</c:v>
                </c:pt>
                <c:pt idx="343">
                  <c:v>25902.5</c:v>
                </c:pt>
                <c:pt idx="344">
                  <c:v>25918.73</c:v>
                </c:pt>
                <c:pt idx="345">
                  <c:v>25124.68</c:v>
                </c:pt>
                <c:pt idx="346">
                  <c:v>25576.39</c:v>
                </c:pt>
                <c:pt idx="347">
                  <c:v>26327.46</c:v>
                </c:pt>
                <c:pt idx="348">
                  <c:v>26510.68</c:v>
                </c:pt>
                <c:pt idx="349">
                  <c:v>26336.21</c:v>
                </c:pt>
                <c:pt idx="350">
                  <c:v>26851.03</c:v>
                </c:pt>
                <c:pt idx="351">
                  <c:v>28327.49</c:v>
                </c:pt>
                <c:pt idx="352">
                  <c:v>30027.3</c:v>
                </c:pt>
                <c:pt idx="353">
                  <c:v>29912.28</c:v>
                </c:pt>
                <c:pt idx="354">
                  <c:v>30695.47</c:v>
                </c:pt>
                <c:pt idx="355">
                  <c:v>30548.7</c:v>
                </c:pt>
                <c:pt idx="356">
                  <c:v>30480.26</c:v>
                </c:pt>
                <c:pt idx="357">
                  <c:v>30271.13</c:v>
                </c:pt>
                <c:pt idx="358">
                  <c:v>30688.16</c:v>
                </c:pt>
                <c:pt idx="359">
                  <c:v>30086.25</c:v>
                </c:pt>
                <c:pt idx="360">
                  <c:v>30445.35</c:v>
                </c:pt>
                <c:pt idx="361">
                  <c:v>30477.25</c:v>
                </c:pt>
                <c:pt idx="362">
                  <c:v>30590.080000000002</c:v>
                </c:pt>
                <c:pt idx="363">
                  <c:v>30620.77</c:v>
                </c:pt>
                <c:pt idx="364">
                  <c:v>31156.44</c:v>
                </c:pt>
                <c:pt idx="365">
                  <c:v>30777.58</c:v>
                </c:pt>
                <c:pt idx="366">
                  <c:v>30514.17</c:v>
                </c:pt>
                <c:pt idx="367">
                  <c:v>29909.34</c:v>
                </c:pt>
                <c:pt idx="368">
                  <c:v>30342.27</c:v>
                </c:pt>
                <c:pt idx="369">
                  <c:v>30292.54</c:v>
                </c:pt>
                <c:pt idx="370">
                  <c:v>30171.23</c:v>
                </c:pt>
                <c:pt idx="371">
                  <c:v>30414.47</c:v>
                </c:pt>
                <c:pt idx="372">
                  <c:v>30620.95</c:v>
                </c:pt>
                <c:pt idx="373">
                  <c:v>30391.65</c:v>
                </c:pt>
                <c:pt idx="374">
                  <c:v>31476.05</c:v>
                </c:pt>
                <c:pt idx="375">
                  <c:v>30334.07</c:v>
                </c:pt>
                <c:pt idx="376">
                  <c:v>30295.81</c:v>
                </c:pt>
                <c:pt idx="377">
                  <c:v>30249.13</c:v>
                </c:pt>
                <c:pt idx="378">
                  <c:v>30145.89</c:v>
                </c:pt>
                <c:pt idx="379">
                  <c:v>29856.560000000001</c:v>
                </c:pt>
                <c:pt idx="380">
                  <c:v>29913.919999999998</c:v>
                </c:pt>
                <c:pt idx="381">
                  <c:v>29792.02</c:v>
                </c:pt>
                <c:pt idx="382">
                  <c:v>29908.74</c:v>
                </c:pt>
                <c:pt idx="383">
                  <c:v>29771.8</c:v>
                </c:pt>
                <c:pt idx="384">
                  <c:v>30084.54</c:v>
                </c:pt>
                <c:pt idx="385">
                  <c:v>29176.92</c:v>
                </c:pt>
                <c:pt idx="386">
                  <c:v>29227.39</c:v>
                </c:pt>
                <c:pt idx="387">
                  <c:v>29354.97</c:v>
                </c:pt>
                <c:pt idx="388">
                  <c:v>29210.69</c:v>
                </c:pt>
                <c:pt idx="389">
                  <c:v>29319.25</c:v>
                </c:pt>
                <c:pt idx="390">
                  <c:v>29356.92</c:v>
                </c:pt>
                <c:pt idx="391">
                  <c:v>29275.31</c:v>
                </c:pt>
                <c:pt idx="392">
                  <c:v>29230.11</c:v>
                </c:pt>
                <c:pt idx="393">
                  <c:v>29675.73</c:v>
                </c:pt>
                <c:pt idx="394">
                  <c:v>29151.96</c:v>
                </c:pt>
                <c:pt idx="395">
                  <c:v>29178.68</c:v>
                </c:pt>
                <c:pt idx="396">
                  <c:v>29074.09</c:v>
                </c:pt>
                <c:pt idx="397">
                  <c:v>29042.13</c:v>
                </c:pt>
                <c:pt idx="398">
                  <c:v>29041.86</c:v>
                </c:pt>
                <c:pt idx="399">
                  <c:v>29180.58</c:v>
                </c:pt>
                <c:pt idx="400">
                  <c:v>29765.49</c:v>
                </c:pt>
                <c:pt idx="401">
                  <c:v>29561.49</c:v>
                </c:pt>
                <c:pt idx="402">
                  <c:v>29429.59</c:v>
                </c:pt>
                <c:pt idx="403">
                  <c:v>29397.71</c:v>
                </c:pt>
                <c:pt idx="404">
                  <c:v>29415.96</c:v>
                </c:pt>
                <c:pt idx="405">
                  <c:v>29282.91</c:v>
                </c:pt>
                <c:pt idx="406">
                  <c:v>29408.44</c:v>
                </c:pt>
                <c:pt idx="407">
                  <c:v>29170.35</c:v>
                </c:pt>
                <c:pt idx="408">
                  <c:v>28701.78</c:v>
                </c:pt>
                <c:pt idx="409">
                  <c:v>26664.55</c:v>
                </c:pt>
                <c:pt idx="410">
                  <c:v>26049.56</c:v>
                </c:pt>
                <c:pt idx="411">
                  <c:v>26096.21</c:v>
                </c:pt>
                <c:pt idx="412">
                  <c:v>26189.58</c:v>
                </c:pt>
                <c:pt idx="413">
                  <c:v>26124.14</c:v>
                </c:pt>
                <c:pt idx="414">
                  <c:v>26031.66</c:v>
                </c:pt>
                <c:pt idx="415">
                  <c:v>26431.64</c:v>
                </c:pt>
                <c:pt idx="416">
                  <c:v>26162.37</c:v>
                </c:pt>
                <c:pt idx="417">
                  <c:v>26047.67</c:v>
                </c:pt>
                <c:pt idx="418">
                  <c:v>26008.46</c:v>
                </c:pt>
                <c:pt idx="419">
                  <c:v>26089.69</c:v>
                </c:pt>
                <c:pt idx="420">
                  <c:v>26106.15</c:v>
                </c:pt>
                <c:pt idx="421">
                  <c:v>27727.39</c:v>
                </c:pt>
                <c:pt idx="422">
                  <c:v>27297.27</c:v>
                </c:pt>
                <c:pt idx="423">
                  <c:v>25931.47</c:v>
                </c:pt>
                <c:pt idx="424">
                  <c:v>25800.720000000001</c:v>
                </c:pt>
                <c:pt idx="425">
                  <c:v>25868.799999999999</c:v>
                </c:pt>
                <c:pt idx="426">
                  <c:v>25969.57</c:v>
                </c:pt>
                <c:pt idx="427">
                  <c:v>25812.42</c:v>
                </c:pt>
                <c:pt idx="428">
                  <c:v>25779.98</c:v>
                </c:pt>
                <c:pt idx="429">
                  <c:v>25753.24</c:v>
                </c:pt>
                <c:pt idx="430">
                  <c:v>26240.2</c:v>
                </c:pt>
                <c:pt idx="431">
                  <c:v>25905.65</c:v>
                </c:pt>
                <c:pt idx="432">
                  <c:v>25895.68</c:v>
                </c:pt>
                <c:pt idx="433">
                  <c:v>25832.23</c:v>
                </c:pt>
                <c:pt idx="434">
                  <c:v>25162.65</c:v>
                </c:pt>
                <c:pt idx="435">
                  <c:v>25833.34</c:v>
                </c:pt>
                <c:pt idx="436">
                  <c:v>26228.32</c:v>
                </c:pt>
                <c:pt idx="437">
                  <c:v>26539.67</c:v>
                </c:pt>
                <c:pt idx="438">
                  <c:v>26608.69</c:v>
                </c:pt>
                <c:pt idx="439">
                  <c:v>26568.28</c:v>
                </c:pt>
                <c:pt idx="440">
                  <c:v>26534.19</c:v>
                </c:pt>
                <c:pt idx="441">
                  <c:v>26754.28</c:v>
                </c:pt>
                <c:pt idx="442">
                  <c:v>27211.119999999999</c:v>
                </c:pt>
                <c:pt idx="443">
                  <c:v>27132.01</c:v>
                </c:pt>
                <c:pt idx="444">
                  <c:v>26567.63</c:v>
                </c:pt>
                <c:pt idx="445">
                  <c:v>26579.57</c:v>
                </c:pt>
                <c:pt idx="446">
                  <c:v>26579.39</c:v>
                </c:pt>
                <c:pt idx="447">
                  <c:v>26256.83</c:v>
                </c:pt>
                <c:pt idx="448">
                  <c:v>26298.48</c:v>
                </c:pt>
                <c:pt idx="449">
                  <c:v>26217.25</c:v>
                </c:pt>
                <c:pt idx="450">
                  <c:v>26352.720000000001</c:v>
                </c:pt>
                <c:pt idx="451">
                  <c:v>27021.55</c:v>
                </c:pt>
                <c:pt idx="452">
                  <c:v>26911.72</c:v>
                </c:pt>
                <c:pt idx="453">
                  <c:v>26967.919999999998</c:v>
                </c:pt>
                <c:pt idx="454">
                  <c:v>27983.75</c:v>
                </c:pt>
                <c:pt idx="455">
                  <c:v>27530.79</c:v>
                </c:pt>
                <c:pt idx="456">
                  <c:v>27429.98</c:v>
                </c:pt>
                <c:pt idx="457">
                  <c:v>27799.39</c:v>
                </c:pt>
                <c:pt idx="458">
                  <c:v>27415.91</c:v>
                </c:pt>
                <c:pt idx="459">
                  <c:v>27946.6</c:v>
                </c:pt>
                <c:pt idx="460">
                  <c:v>27968.84</c:v>
                </c:pt>
                <c:pt idx="461">
                  <c:v>27935.09</c:v>
                </c:pt>
                <c:pt idx="462">
                  <c:v>27583.68</c:v>
                </c:pt>
                <c:pt idx="463">
                  <c:v>27391.02</c:v>
                </c:pt>
                <c:pt idx="464">
                  <c:v>26873.32</c:v>
                </c:pt>
                <c:pt idx="465">
                  <c:v>26756.799999999999</c:v>
                </c:pt>
                <c:pt idx="466">
                  <c:v>26862.38</c:v>
                </c:pt>
                <c:pt idx="467">
                  <c:v>26861.71</c:v>
                </c:pt>
                <c:pt idx="468">
                  <c:v>27159.65</c:v>
                </c:pt>
                <c:pt idx="469">
                  <c:v>28519.47</c:v>
                </c:pt>
                <c:pt idx="470">
                  <c:v>28415.75</c:v>
                </c:pt>
                <c:pt idx="471">
                  <c:v>28328.34</c:v>
                </c:pt>
                <c:pt idx="472">
                  <c:v>28719.81</c:v>
                </c:pt>
                <c:pt idx="473">
                  <c:v>29682.95</c:v>
                </c:pt>
                <c:pt idx="474">
                  <c:v>29918.41</c:v>
                </c:pt>
                <c:pt idx="475">
                  <c:v>29993.9</c:v>
                </c:pt>
                <c:pt idx="476">
                  <c:v>33086.230000000003</c:v>
                </c:pt>
                <c:pt idx="477">
                  <c:v>33901.53</c:v>
                </c:pt>
                <c:pt idx="478">
                  <c:v>34502.82</c:v>
                </c:pt>
                <c:pt idx="479">
                  <c:v>34156.65</c:v>
                </c:pt>
                <c:pt idx="480">
                  <c:v>33909.800000000003</c:v>
                </c:pt>
                <c:pt idx="481">
                  <c:v>34089.57</c:v>
                </c:pt>
                <c:pt idx="482">
                  <c:v>34538.480000000003</c:v>
                </c:pt>
                <c:pt idx="483">
                  <c:v>34502.36</c:v>
                </c:pt>
                <c:pt idx="484">
                  <c:v>34667.78</c:v>
                </c:pt>
                <c:pt idx="485">
                  <c:v>35437.25</c:v>
                </c:pt>
                <c:pt idx="486">
                  <c:v>34938.239999999998</c:v>
                </c:pt>
                <c:pt idx="487">
                  <c:v>34732.32</c:v>
                </c:pt>
                <c:pt idx="488">
                  <c:v>35082.199999999997</c:v>
                </c:pt>
                <c:pt idx="489">
                  <c:v>35049.360000000001</c:v>
                </c:pt>
                <c:pt idx="490">
                  <c:v>35037.370000000003</c:v>
                </c:pt>
                <c:pt idx="491">
                  <c:v>35443.56</c:v>
                </c:pt>
                <c:pt idx="492">
                  <c:v>35655.279999999999</c:v>
                </c:pt>
                <c:pt idx="493">
                  <c:v>36693.129999999997</c:v>
                </c:pt>
                <c:pt idx="494">
                  <c:v>37313.97</c:v>
                </c:pt>
                <c:pt idx="495">
                  <c:v>37138.050000000003</c:v>
                </c:pt>
                <c:pt idx="496">
                  <c:v>37054.519999999997</c:v>
                </c:pt>
                <c:pt idx="497">
                  <c:v>36502.36</c:v>
                </c:pt>
                <c:pt idx="498">
                  <c:v>35537.64</c:v>
                </c:pt>
                <c:pt idx="499">
                  <c:v>37880.58</c:v>
                </c:pt>
                <c:pt idx="500">
                  <c:v>36154.769999999997</c:v>
                </c:pt>
                <c:pt idx="501">
                  <c:v>36596.68</c:v>
                </c:pt>
                <c:pt idx="502">
                  <c:v>36585.699999999997</c:v>
                </c:pt>
                <c:pt idx="503">
                  <c:v>37386.550000000003</c:v>
                </c:pt>
                <c:pt idx="504">
                  <c:v>37476.959999999999</c:v>
                </c:pt>
                <c:pt idx="505">
                  <c:v>35813.81</c:v>
                </c:pt>
                <c:pt idx="506">
                  <c:v>37432.339999999997</c:v>
                </c:pt>
                <c:pt idx="507">
                  <c:v>37289.620000000003</c:v>
                </c:pt>
                <c:pt idx="508">
                  <c:v>37720.28</c:v>
                </c:pt>
                <c:pt idx="509">
                  <c:v>37796.79</c:v>
                </c:pt>
                <c:pt idx="510">
                  <c:v>37479.120000000003</c:v>
                </c:pt>
                <c:pt idx="511">
                  <c:v>37254.17</c:v>
                </c:pt>
                <c:pt idx="512">
                  <c:v>37831.089999999997</c:v>
                </c:pt>
                <c:pt idx="513">
                  <c:v>37858.49</c:v>
                </c:pt>
                <c:pt idx="514">
                  <c:v>37712.75</c:v>
                </c:pt>
                <c:pt idx="515">
                  <c:v>38688.75</c:v>
                </c:pt>
                <c:pt idx="516">
                  <c:v>39476.33</c:v>
                </c:pt>
                <c:pt idx="517">
                  <c:v>39978.39</c:v>
                </c:pt>
                <c:pt idx="518">
                  <c:v>41980.1</c:v>
                </c:pt>
                <c:pt idx="519">
                  <c:v>44080.65</c:v>
                </c:pt>
                <c:pt idx="520">
                  <c:v>43746.45</c:v>
                </c:pt>
                <c:pt idx="521">
                  <c:v>43292.66</c:v>
                </c:pt>
                <c:pt idx="522">
                  <c:v>44166.6</c:v>
                </c:pt>
                <c:pt idx="523">
                  <c:v>43725.98</c:v>
                </c:pt>
                <c:pt idx="524">
                  <c:v>43779.7</c:v>
                </c:pt>
                <c:pt idx="525">
                  <c:v>41243.83</c:v>
                </c:pt>
                <c:pt idx="526">
                  <c:v>41450.22</c:v>
                </c:pt>
                <c:pt idx="527">
                  <c:v>42890.74</c:v>
                </c:pt>
                <c:pt idx="528">
                  <c:v>43023.97</c:v>
                </c:pt>
                <c:pt idx="529">
                  <c:v>41929.760000000002</c:v>
                </c:pt>
                <c:pt idx="530">
                  <c:v>42240.12</c:v>
                </c:pt>
                <c:pt idx="531">
                  <c:v>41364.660000000003</c:v>
                </c:pt>
                <c:pt idx="532">
                  <c:v>42623.54</c:v>
                </c:pt>
                <c:pt idx="533">
                  <c:v>42270.53</c:v>
                </c:pt>
                <c:pt idx="534">
                  <c:v>43652.25</c:v>
                </c:pt>
                <c:pt idx="535">
                  <c:v>43869.15</c:v>
                </c:pt>
                <c:pt idx="536">
                  <c:v>43997.9</c:v>
                </c:pt>
                <c:pt idx="537">
                  <c:v>43739.54</c:v>
                </c:pt>
                <c:pt idx="538">
                  <c:v>43016.12</c:v>
                </c:pt>
                <c:pt idx="539">
                  <c:v>43613.14</c:v>
                </c:pt>
                <c:pt idx="540">
                  <c:v>42520.4</c:v>
                </c:pt>
                <c:pt idx="541">
                  <c:v>43442.86</c:v>
                </c:pt>
                <c:pt idx="542">
                  <c:v>42627.86</c:v>
                </c:pt>
                <c:pt idx="543">
                  <c:v>42099.4</c:v>
                </c:pt>
                <c:pt idx="544">
                  <c:v>42156.9</c:v>
                </c:pt>
                <c:pt idx="545">
                  <c:v>42265.19</c:v>
                </c:pt>
                <c:pt idx="546">
                  <c:v>44167.33</c:v>
                </c:pt>
                <c:pt idx="547">
                  <c:v>44957.97</c:v>
                </c:pt>
                <c:pt idx="548">
                  <c:v>42848.18</c:v>
                </c:pt>
                <c:pt idx="549">
                  <c:v>44179.92</c:v>
                </c:pt>
                <c:pt idx="550">
                  <c:v>44162.69</c:v>
                </c:pt>
                <c:pt idx="551">
                  <c:v>43989.2</c:v>
                </c:pt>
                <c:pt idx="552">
                  <c:v>43943.1</c:v>
                </c:pt>
                <c:pt idx="553">
                  <c:v>46970.5</c:v>
                </c:pt>
                <c:pt idx="554">
                  <c:v>46139.73</c:v>
                </c:pt>
                <c:pt idx="555">
                  <c:v>46627.78</c:v>
                </c:pt>
                <c:pt idx="556">
                  <c:v>46368.59</c:v>
                </c:pt>
                <c:pt idx="557">
                  <c:v>42853.17</c:v>
                </c:pt>
                <c:pt idx="558">
                  <c:v>42842.38</c:v>
                </c:pt>
                <c:pt idx="559">
                  <c:v>41796.269999999997</c:v>
                </c:pt>
                <c:pt idx="560">
                  <c:v>42511.97</c:v>
                </c:pt>
                <c:pt idx="561">
                  <c:v>43154.95</c:v>
                </c:pt>
                <c:pt idx="562">
                  <c:v>42742.65</c:v>
                </c:pt>
                <c:pt idx="563">
                  <c:v>41262.06</c:v>
                </c:pt>
                <c:pt idx="564">
                  <c:v>41618.410000000003</c:v>
                </c:pt>
                <c:pt idx="565">
                  <c:v>41665.589999999997</c:v>
                </c:pt>
                <c:pt idx="566">
                  <c:v>41545.79</c:v>
                </c:pt>
                <c:pt idx="567">
                  <c:v>39507.370000000003</c:v>
                </c:pt>
                <c:pt idx="568">
                  <c:v>39845.550000000003</c:v>
                </c:pt>
                <c:pt idx="569">
                  <c:v>40077.07</c:v>
                </c:pt>
                <c:pt idx="570">
                  <c:v>39933.81</c:v>
                </c:pt>
                <c:pt idx="571">
                  <c:v>41816.870000000003</c:v>
                </c:pt>
                <c:pt idx="572">
                  <c:v>42120.05</c:v>
                </c:pt>
                <c:pt idx="573">
                  <c:v>42035.59</c:v>
                </c:pt>
                <c:pt idx="574">
                  <c:v>43288.25</c:v>
                </c:pt>
                <c:pt idx="575">
                  <c:v>42952.61</c:v>
                </c:pt>
                <c:pt idx="576">
                  <c:v>42582.61</c:v>
                </c:pt>
                <c:pt idx="577">
                  <c:v>43075.77</c:v>
                </c:pt>
                <c:pt idx="578">
                  <c:v>43185.86</c:v>
                </c:pt>
                <c:pt idx="579">
                  <c:v>42992.25</c:v>
                </c:pt>
                <c:pt idx="580">
                  <c:v>42583.58</c:v>
                </c:pt>
                <c:pt idx="581">
                  <c:v>42658.67</c:v>
                </c:pt>
                <c:pt idx="582">
                  <c:v>43084.67</c:v>
                </c:pt>
                <c:pt idx="583">
                  <c:v>44318.22</c:v>
                </c:pt>
                <c:pt idx="584">
                  <c:v>45301.57</c:v>
                </c:pt>
                <c:pt idx="585">
                  <c:v>47147.199999999997</c:v>
                </c:pt>
                <c:pt idx="586">
                  <c:v>47771.28</c:v>
                </c:pt>
                <c:pt idx="587">
                  <c:v>48293.919999999998</c:v>
                </c:pt>
                <c:pt idx="588">
                  <c:v>49958.22</c:v>
                </c:pt>
                <c:pt idx="589">
                  <c:v>49742.44</c:v>
                </c:pt>
                <c:pt idx="590">
                  <c:v>51826.7</c:v>
                </c:pt>
                <c:pt idx="591">
                  <c:v>51938.55</c:v>
                </c:pt>
                <c:pt idx="592">
                  <c:v>52160.2</c:v>
                </c:pt>
                <c:pt idx="593">
                  <c:v>51663</c:v>
                </c:pt>
                <c:pt idx="594">
                  <c:v>52122.55</c:v>
                </c:pt>
                <c:pt idx="595">
                  <c:v>51779.14</c:v>
                </c:pt>
                <c:pt idx="596">
                  <c:v>52284.88</c:v>
                </c:pt>
                <c:pt idx="597">
                  <c:v>51839.18</c:v>
                </c:pt>
                <c:pt idx="598">
                  <c:v>51304.97</c:v>
                </c:pt>
                <c:pt idx="599">
                  <c:v>50731.95</c:v>
                </c:pt>
                <c:pt idx="600">
                  <c:v>51571.1</c:v>
                </c:pt>
                <c:pt idx="601">
                  <c:v>51733.24</c:v>
                </c:pt>
                <c:pt idx="602">
                  <c:v>54522.400000000001</c:v>
                </c:pt>
                <c:pt idx="603">
                  <c:v>57085.37</c:v>
                </c:pt>
                <c:pt idx="604">
                  <c:v>62504.79</c:v>
                </c:pt>
                <c:pt idx="605">
                  <c:v>61198.38</c:v>
                </c:pt>
                <c:pt idx="606">
                  <c:v>62440.63</c:v>
                </c:pt>
                <c:pt idx="607">
                  <c:v>62029.85</c:v>
                </c:pt>
                <c:pt idx="608">
                  <c:v>63167.37</c:v>
                </c:pt>
                <c:pt idx="609">
                  <c:v>68330.41</c:v>
                </c:pt>
                <c:pt idx="610">
                  <c:v>63801.2</c:v>
                </c:pt>
                <c:pt idx="611">
                  <c:v>66106.8</c:v>
                </c:pt>
                <c:pt idx="612">
                  <c:v>66925.48</c:v>
                </c:pt>
                <c:pt idx="613">
                  <c:v>68300.09</c:v>
                </c:pt>
                <c:pt idx="614">
                  <c:v>68498.880000000005</c:v>
                </c:pt>
                <c:pt idx="615">
                  <c:v>69019.789999999994</c:v>
                </c:pt>
                <c:pt idx="616">
                  <c:v>72123.91</c:v>
                </c:pt>
                <c:pt idx="617">
                  <c:v>71481.289999999994</c:v>
                </c:pt>
                <c:pt idx="618">
                  <c:v>73083.5</c:v>
                </c:pt>
                <c:pt idx="619">
                  <c:v>71396.59</c:v>
                </c:pt>
                <c:pt idx="620">
                  <c:v>69403.77</c:v>
                </c:pt>
                <c:pt idx="621">
                  <c:v>65315.12</c:v>
                </c:pt>
                <c:pt idx="622">
                  <c:v>68390.63</c:v>
                </c:pt>
                <c:pt idx="623">
                  <c:v>67548.59</c:v>
                </c:pt>
                <c:pt idx="624">
                  <c:v>61912.77</c:v>
                </c:pt>
                <c:pt idx="625">
                  <c:v>67913.67</c:v>
                </c:pt>
                <c:pt idx="626">
                  <c:v>65491.39</c:v>
                </c:pt>
                <c:pt idx="627">
                  <c:v>63778.76</c:v>
                </c:pt>
                <c:pt idx="628">
                  <c:v>64062.2</c:v>
                </c:pt>
                <c:pt idx="629">
                  <c:v>67234.17</c:v>
                </c:pt>
                <c:pt idx="630">
                  <c:v>69958.81</c:v>
                </c:pt>
                <c:pt idx="631">
                  <c:v>69987.839999999997</c:v>
                </c:pt>
                <c:pt idx="632">
                  <c:v>69455.34</c:v>
                </c:pt>
                <c:pt idx="633">
                  <c:v>70744.95</c:v>
                </c:pt>
                <c:pt idx="634">
                  <c:v>69892.83</c:v>
                </c:pt>
                <c:pt idx="635">
                  <c:v>69645.3</c:v>
                </c:pt>
                <c:pt idx="636">
                  <c:v>71333.649999999994</c:v>
                </c:pt>
                <c:pt idx="637">
                  <c:v>69702.149999999994</c:v>
                </c:pt>
                <c:pt idx="638">
                  <c:v>65446.97</c:v>
                </c:pt>
                <c:pt idx="639">
                  <c:v>65980.81</c:v>
                </c:pt>
                <c:pt idx="640">
                  <c:v>68508.84</c:v>
                </c:pt>
                <c:pt idx="641">
                  <c:v>67837.64</c:v>
                </c:pt>
                <c:pt idx="642">
                  <c:v>68896.11</c:v>
                </c:pt>
                <c:pt idx="643">
                  <c:v>69362.55</c:v>
                </c:pt>
                <c:pt idx="644">
                  <c:v>71631.360000000001</c:v>
                </c:pt>
                <c:pt idx="645">
                  <c:v>69139.02</c:v>
                </c:pt>
                <c:pt idx="646">
                  <c:v>70587.88</c:v>
                </c:pt>
                <c:pt idx="647">
                  <c:v>70060.61</c:v>
                </c:pt>
                <c:pt idx="648">
                  <c:v>67195.87</c:v>
                </c:pt>
                <c:pt idx="649">
                  <c:v>63821.47</c:v>
                </c:pt>
                <c:pt idx="650">
                  <c:v>65738.73</c:v>
                </c:pt>
                <c:pt idx="651">
                  <c:v>63426.21</c:v>
                </c:pt>
                <c:pt idx="652">
                  <c:v>63811.86</c:v>
                </c:pt>
                <c:pt idx="653">
                  <c:v>61276.69</c:v>
                </c:pt>
                <c:pt idx="654">
                  <c:v>63512.75</c:v>
                </c:pt>
                <c:pt idx="655">
                  <c:v>63843.57</c:v>
                </c:pt>
                <c:pt idx="656">
                  <c:v>64994.44</c:v>
                </c:pt>
                <c:pt idx="657">
                  <c:v>64926.64</c:v>
                </c:pt>
                <c:pt idx="658">
                  <c:v>66837.679999999993</c:v>
                </c:pt>
                <c:pt idx="659">
                  <c:v>66407.27</c:v>
                </c:pt>
                <c:pt idx="660">
                  <c:v>64276.9</c:v>
                </c:pt>
                <c:pt idx="661">
                  <c:v>64481.71</c:v>
                </c:pt>
                <c:pt idx="662">
                  <c:v>63755.32</c:v>
                </c:pt>
                <c:pt idx="663">
                  <c:v>63419.14</c:v>
                </c:pt>
                <c:pt idx="664">
                  <c:v>63113.23</c:v>
                </c:pt>
                <c:pt idx="665">
                  <c:v>63841.120000000003</c:v>
                </c:pt>
                <c:pt idx="666">
                  <c:v>60636.86</c:v>
                </c:pt>
                <c:pt idx="667">
                  <c:v>58254.01</c:v>
                </c:pt>
                <c:pt idx="668">
                  <c:v>59123.43</c:v>
                </c:pt>
                <c:pt idx="669">
                  <c:v>62889.84</c:v>
                </c:pt>
                <c:pt idx="670">
                  <c:v>63891.47</c:v>
                </c:pt>
                <c:pt idx="671">
                  <c:v>64031.13</c:v>
                </c:pt>
                <c:pt idx="672">
                  <c:v>63161.95</c:v>
                </c:pt>
                <c:pt idx="673">
                  <c:v>62334.82</c:v>
                </c:pt>
                <c:pt idx="674">
                  <c:v>61187.94</c:v>
                </c:pt>
                <c:pt idx="675">
                  <c:v>63049.96</c:v>
                </c:pt>
                <c:pt idx="676">
                  <c:v>60792.78</c:v>
                </c:pt>
                <c:pt idx="677">
                  <c:v>60793.71</c:v>
                </c:pt>
                <c:pt idx="678">
                  <c:v>61448.39</c:v>
                </c:pt>
                <c:pt idx="679">
                  <c:v>62901.45</c:v>
                </c:pt>
                <c:pt idx="680">
                  <c:v>61552.79</c:v>
                </c:pt>
                <c:pt idx="681">
                  <c:v>66267.490000000005</c:v>
                </c:pt>
                <c:pt idx="682">
                  <c:v>65231.58</c:v>
                </c:pt>
                <c:pt idx="683">
                  <c:v>67051.88</c:v>
                </c:pt>
                <c:pt idx="684">
                  <c:v>66940.800000000003</c:v>
                </c:pt>
                <c:pt idx="685">
                  <c:v>66278.37</c:v>
                </c:pt>
                <c:pt idx="686">
                  <c:v>71448.2</c:v>
                </c:pt>
                <c:pt idx="687">
                  <c:v>70136.53</c:v>
                </c:pt>
                <c:pt idx="688">
                  <c:v>69122.34</c:v>
                </c:pt>
                <c:pt idx="689">
                  <c:v>67929.56</c:v>
                </c:pt>
                <c:pt idx="690">
                  <c:v>68526.100000000006</c:v>
                </c:pt>
                <c:pt idx="691">
                  <c:v>69265.95</c:v>
                </c:pt>
                <c:pt idx="692">
                  <c:v>68518.09</c:v>
                </c:pt>
                <c:pt idx="693">
                  <c:v>69394.55</c:v>
                </c:pt>
                <c:pt idx="694">
                  <c:v>68296.22</c:v>
                </c:pt>
                <c:pt idx="695">
                  <c:v>67578.09</c:v>
                </c:pt>
                <c:pt idx="696">
                  <c:v>68364.990000000005</c:v>
                </c:pt>
                <c:pt idx="697">
                  <c:v>67491.41</c:v>
                </c:pt>
                <c:pt idx="698">
                  <c:v>67706.94</c:v>
                </c:pt>
                <c:pt idx="699">
                  <c:v>67751.600000000006</c:v>
                </c:pt>
                <c:pt idx="700">
                  <c:v>68804.78</c:v>
                </c:pt>
                <c:pt idx="701">
                  <c:v>70567.77</c:v>
                </c:pt>
                <c:pt idx="702">
                  <c:v>71082.820000000007</c:v>
                </c:pt>
                <c:pt idx="703">
                  <c:v>70757.16</c:v>
                </c:pt>
                <c:pt idx="704">
                  <c:v>69342.59</c:v>
                </c:pt>
                <c:pt idx="705">
                  <c:v>69305.77</c:v>
                </c:pt>
                <c:pt idx="706">
                  <c:v>69647.990000000005</c:v>
                </c:pt>
                <c:pt idx="707">
                  <c:v>69512.28</c:v>
                </c:pt>
                <c:pt idx="708">
                  <c:v>67332.03</c:v>
                </c:pt>
                <c:pt idx="709">
                  <c:v>68241.19</c:v>
                </c:pt>
                <c:pt idx="710">
                  <c:v>66756.399999999994</c:v>
                </c:pt>
                <c:pt idx="711">
                  <c:v>66011.09</c:v>
                </c:pt>
                <c:pt idx="712">
                  <c:v>66191</c:v>
                </c:pt>
                <c:pt idx="713">
                  <c:v>66639.05</c:v>
                </c:pt>
                <c:pt idx="714">
                  <c:v>66490.3</c:v>
                </c:pt>
                <c:pt idx="715">
                  <c:v>65140.75</c:v>
                </c:pt>
                <c:pt idx="716">
                  <c:v>64960.3</c:v>
                </c:pt>
                <c:pt idx="717">
                  <c:v>64828.66</c:v>
                </c:pt>
                <c:pt idx="718">
                  <c:v>64096.2</c:v>
                </c:pt>
                <c:pt idx="719">
                  <c:v>64252.58</c:v>
                </c:pt>
                <c:pt idx="720">
                  <c:v>63180.800000000003</c:v>
                </c:pt>
                <c:pt idx="721">
                  <c:v>60277.41</c:v>
                </c:pt>
                <c:pt idx="722">
                  <c:v>61804.639999999999</c:v>
                </c:pt>
                <c:pt idx="723">
                  <c:v>60811.28</c:v>
                </c:pt>
                <c:pt idx="724">
                  <c:v>61604.800000000003</c:v>
                </c:pt>
                <c:pt idx="725">
                  <c:v>60320.14</c:v>
                </c:pt>
                <c:pt idx="726">
                  <c:v>60887.38</c:v>
                </c:pt>
                <c:pt idx="727">
                  <c:v>62678.29</c:v>
                </c:pt>
                <c:pt idx="728">
                  <c:v>62851.98</c:v>
                </c:pt>
                <c:pt idx="729">
                  <c:v>62029.02</c:v>
                </c:pt>
                <c:pt idx="730">
                  <c:v>60173.919999999998</c:v>
                </c:pt>
                <c:pt idx="731">
                  <c:v>56977.7</c:v>
                </c:pt>
                <c:pt idx="732">
                  <c:v>56662.38</c:v>
                </c:pt>
                <c:pt idx="733">
                  <c:v>58303.54</c:v>
                </c:pt>
                <c:pt idx="734">
                  <c:v>55849.11</c:v>
                </c:pt>
                <c:pt idx="735">
                  <c:v>56705.1</c:v>
                </c:pt>
                <c:pt idx="736">
                  <c:v>58009.23</c:v>
                </c:pt>
                <c:pt idx="737">
                  <c:v>57742.5</c:v>
                </c:pt>
                <c:pt idx="738">
                  <c:v>57344.91</c:v>
                </c:pt>
                <c:pt idx="739">
                  <c:v>57899.46</c:v>
                </c:pt>
                <c:pt idx="740">
                  <c:v>59231.95</c:v>
                </c:pt>
                <c:pt idx="741">
                  <c:v>60787.79</c:v>
                </c:pt>
                <c:pt idx="742">
                  <c:v>64870.15</c:v>
                </c:pt>
                <c:pt idx="743">
                  <c:v>65097.15</c:v>
                </c:pt>
                <c:pt idx="744">
                  <c:v>64118.79</c:v>
                </c:pt>
                <c:pt idx="745">
                  <c:v>63974.07</c:v>
                </c:pt>
                <c:pt idx="746">
                  <c:v>66710.16</c:v>
                </c:pt>
                <c:pt idx="747">
                  <c:v>67163.649999999994</c:v>
                </c:pt>
                <c:pt idx="748">
                  <c:v>68154.52</c:v>
                </c:pt>
                <c:pt idx="749">
                  <c:v>67585.25</c:v>
                </c:pt>
                <c:pt idx="750">
                  <c:v>65927.67</c:v>
                </c:pt>
                <c:pt idx="751">
                  <c:v>65372.13</c:v>
                </c:pt>
                <c:pt idx="752">
                  <c:v>65777.23</c:v>
                </c:pt>
                <c:pt idx="753">
                  <c:v>67912.06</c:v>
                </c:pt>
                <c:pt idx="754">
                  <c:v>67813.34</c:v>
                </c:pt>
                <c:pt idx="755">
                  <c:v>68255.87</c:v>
                </c:pt>
                <c:pt idx="756">
                  <c:v>66819.91</c:v>
                </c:pt>
                <c:pt idx="757">
                  <c:v>66201.02</c:v>
                </c:pt>
                <c:pt idx="758">
                  <c:v>64619.25</c:v>
                </c:pt>
                <c:pt idx="759">
                  <c:v>65357.5</c:v>
                </c:pt>
                <c:pt idx="760">
                  <c:v>61415.07</c:v>
                </c:pt>
                <c:pt idx="761">
                  <c:v>60680.09</c:v>
                </c:pt>
                <c:pt idx="762">
                  <c:v>58116.98</c:v>
                </c:pt>
                <c:pt idx="763">
                  <c:v>53991.46</c:v>
                </c:pt>
                <c:pt idx="764">
                  <c:v>56034.32</c:v>
                </c:pt>
                <c:pt idx="765">
                  <c:v>55027.46</c:v>
                </c:pt>
                <c:pt idx="766">
                  <c:v>61710.14</c:v>
                </c:pt>
                <c:pt idx="767">
                  <c:v>60880.11</c:v>
                </c:pt>
                <c:pt idx="768">
                  <c:v>60945.81</c:v>
                </c:pt>
                <c:pt idx="769">
                  <c:v>58719.48</c:v>
                </c:pt>
                <c:pt idx="770">
                  <c:v>59354.52</c:v>
                </c:pt>
                <c:pt idx="771">
                  <c:v>60609.57</c:v>
                </c:pt>
                <c:pt idx="772">
                  <c:v>58737.27</c:v>
                </c:pt>
                <c:pt idx="773">
                  <c:v>57560.1</c:v>
                </c:pt>
                <c:pt idx="774">
                  <c:v>58894.11</c:v>
                </c:pt>
                <c:pt idx="775">
                  <c:v>59478.97</c:v>
                </c:pt>
                <c:pt idx="776">
                  <c:v>58483.96</c:v>
                </c:pt>
                <c:pt idx="777">
                  <c:v>59493.45</c:v>
                </c:pt>
                <c:pt idx="778">
                  <c:v>59012.79</c:v>
                </c:pt>
                <c:pt idx="779">
                  <c:v>61175.19</c:v>
                </c:pt>
                <c:pt idx="780">
                  <c:v>60381.91</c:v>
                </c:pt>
                <c:pt idx="781">
                  <c:v>64094.36</c:v>
                </c:pt>
                <c:pt idx="782">
                  <c:v>64178.99</c:v>
                </c:pt>
                <c:pt idx="783">
                  <c:v>64333.54</c:v>
                </c:pt>
                <c:pt idx="784">
                  <c:v>62880.66</c:v>
                </c:pt>
                <c:pt idx="785">
                  <c:v>59504.13</c:v>
                </c:pt>
                <c:pt idx="786">
                  <c:v>59027.63</c:v>
                </c:pt>
                <c:pt idx="787">
                  <c:v>59388.18</c:v>
                </c:pt>
                <c:pt idx="788">
                  <c:v>59119.48</c:v>
                </c:pt>
                <c:pt idx="789">
                  <c:v>58969.9</c:v>
                </c:pt>
                <c:pt idx="790">
                  <c:v>57325.49</c:v>
                </c:pt>
                <c:pt idx="791">
                  <c:v>59112.480000000003</c:v>
                </c:pt>
                <c:pt idx="792">
                  <c:v>57431.02</c:v>
                </c:pt>
                <c:pt idx="793">
                  <c:v>57971.54</c:v>
                </c:pt>
                <c:pt idx="794">
                  <c:v>56160.49</c:v>
                </c:pt>
                <c:pt idx="795">
                  <c:v>53948.75</c:v>
                </c:pt>
                <c:pt idx="796">
                  <c:v>54139.69</c:v>
                </c:pt>
                <c:pt idx="797">
                  <c:v>54841.57</c:v>
                </c:pt>
                <c:pt idx="798">
                  <c:v>57019.54</c:v>
                </c:pt>
                <c:pt idx="799">
                  <c:v>57648.71</c:v>
                </c:pt>
                <c:pt idx="800">
                  <c:v>57343.17</c:v>
                </c:pt>
                <c:pt idx="801">
                  <c:v>58127.01</c:v>
                </c:pt>
                <c:pt idx="802">
                  <c:v>60571.3</c:v>
                </c:pt>
                <c:pt idx="803">
                  <c:v>60005.120000000003</c:v>
                </c:pt>
                <c:pt idx="804">
                  <c:v>59182.84</c:v>
                </c:pt>
                <c:pt idx="805">
                  <c:v>58192.51</c:v>
                </c:pt>
                <c:pt idx="806">
                  <c:v>60308.54</c:v>
                </c:pt>
                <c:pt idx="807">
                  <c:v>61649.68</c:v>
                </c:pt>
                <c:pt idx="808">
                  <c:v>62940.46</c:v>
                </c:pt>
                <c:pt idx="809">
                  <c:v>63192.98</c:v>
                </c:pt>
                <c:pt idx="810">
                  <c:v>63394.84</c:v>
                </c:pt>
                <c:pt idx="811">
                  <c:v>63648.71</c:v>
                </c:pt>
                <c:pt idx="812">
                  <c:v>63329.8</c:v>
                </c:pt>
                <c:pt idx="813">
                  <c:v>64301.97</c:v>
                </c:pt>
                <c:pt idx="814">
                  <c:v>63143.14</c:v>
                </c:pt>
                <c:pt idx="815">
                  <c:v>65181.02</c:v>
                </c:pt>
                <c:pt idx="816">
                  <c:v>65790.66</c:v>
                </c:pt>
                <c:pt idx="817">
                  <c:v>65887.649999999994</c:v>
                </c:pt>
                <c:pt idx="818">
                  <c:v>65635.3</c:v>
                </c:pt>
                <c:pt idx="819">
                  <c:v>63329.5</c:v>
                </c:pt>
                <c:pt idx="820">
                  <c:v>60837.01</c:v>
                </c:pt>
                <c:pt idx="821">
                  <c:v>60632.79</c:v>
                </c:pt>
                <c:pt idx="822">
                  <c:v>60759.4</c:v>
                </c:pt>
                <c:pt idx="823">
                  <c:v>62067.48</c:v>
                </c:pt>
                <c:pt idx="824">
                  <c:v>62089.95</c:v>
                </c:pt>
                <c:pt idx="825">
                  <c:v>62818.95</c:v>
                </c:pt>
                <c:pt idx="826">
                  <c:v>62236.66</c:v>
                </c:pt>
                <c:pt idx="827">
                  <c:v>62131.97</c:v>
                </c:pt>
                <c:pt idx="828">
                  <c:v>60582.1</c:v>
                </c:pt>
                <c:pt idx="829">
                  <c:v>60274.5</c:v>
                </c:pt>
                <c:pt idx="830">
                  <c:v>62445.09</c:v>
                </c:pt>
                <c:pt idx="831">
                  <c:v>63193.02</c:v>
                </c:pt>
                <c:pt idx="832">
                  <c:v>62851.38</c:v>
                </c:pt>
                <c:pt idx="833">
                  <c:v>66046.13</c:v>
                </c:pt>
                <c:pt idx="834">
                  <c:v>67041.11</c:v>
                </c:pt>
                <c:pt idx="835">
                  <c:v>67612.72</c:v>
                </c:pt>
                <c:pt idx="836">
                  <c:v>67399.839999999997</c:v>
                </c:pt>
                <c:pt idx="837">
                  <c:v>68418.789999999994</c:v>
                </c:pt>
                <c:pt idx="838">
                  <c:v>68362.73</c:v>
                </c:pt>
                <c:pt idx="839">
                  <c:v>69001.7</c:v>
                </c:pt>
                <c:pt idx="840">
                  <c:v>67367.850000000006</c:v>
                </c:pt>
                <c:pt idx="841">
                  <c:v>67361.41</c:v>
                </c:pt>
                <c:pt idx="842">
                  <c:v>66432.2</c:v>
                </c:pt>
                <c:pt idx="843">
                  <c:v>68161.05</c:v>
                </c:pt>
                <c:pt idx="844">
                  <c:v>66642.41</c:v>
                </c:pt>
                <c:pt idx="845">
                  <c:v>67014.7</c:v>
                </c:pt>
                <c:pt idx="846">
                  <c:v>67929.3</c:v>
                </c:pt>
                <c:pt idx="847">
                  <c:v>69907.759999999995</c:v>
                </c:pt>
                <c:pt idx="848">
                  <c:v>72720.490000000005</c:v>
                </c:pt>
                <c:pt idx="849">
                  <c:v>72339.539999999994</c:v>
                </c:pt>
                <c:pt idx="850">
                  <c:v>70215.19</c:v>
                </c:pt>
                <c:pt idx="851">
                  <c:v>69482.47</c:v>
                </c:pt>
                <c:pt idx="852">
                  <c:v>69289.27</c:v>
                </c:pt>
                <c:pt idx="853">
                  <c:v>68741.119999999995</c:v>
                </c:pt>
                <c:pt idx="854">
                  <c:v>67811.509999999995</c:v>
                </c:pt>
                <c:pt idx="855">
                  <c:v>69359.56</c:v>
                </c:pt>
                <c:pt idx="856">
                  <c:v>75639.08</c:v>
                </c:pt>
                <c:pt idx="857">
                  <c:v>75904.86</c:v>
                </c:pt>
                <c:pt idx="858">
                  <c:v>76545.48</c:v>
                </c:pt>
                <c:pt idx="859">
                  <c:v>76778.87</c:v>
                </c:pt>
                <c:pt idx="860">
                  <c:v>80474.19</c:v>
                </c:pt>
                <c:pt idx="861">
                  <c:v>88701.48</c:v>
                </c:pt>
                <c:pt idx="862">
                  <c:v>87955.81</c:v>
                </c:pt>
                <c:pt idx="863">
                  <c:v>90584.16</c:v>
                </c:pt>
                <c:pt idx="864">
                  <c:v>87250.43</c:v>
                </c:pt>
                <c:pt idx="865">
                  <c:v>91066.01</c:v>
                </c:pt>
                <c:pt idx="866">
                  <c:v>90558.48</c:v>
                </c:pt>
                <c:pt idx="867">
                  <c:v>89845.85</c:v>
                </c:pt>
                <c:pt idx="868">
                  <c:v>90542.64</c:v>
                </c:pt>
                <c:pt idx="869">
                  <c:v>92343.79</c:v>
                </c:pt>
                <c:pt idx="870">
                  <c:v>94339.49</c:v>
                </c:pt>
                <c:pt idx="871">
                  <c:v>98504.73</c:v>
                </c:pt>
                <c:pt idx="872">
                  <c:v>98997.66</c:v>
                </c:pt>
                <c:pt idx="873">
                  <c:v>97777.279999999999</c:v>
                </c:pt>
                <c:pt idx="874">
                  <c:v>98013.82</c:v>
                </c:pt>
                <c:pt idx="875">
                  <c:v>93102.3</c:v>
                </c:pt>
                <c:pt idx="876">
                  <c:v>91985.32</c:v>
                </c:pt>
                <c:pt idx="877">
                  <c:v>95962.53</c:v>
                </c:pt>
                <c:pt idx="878">
                  <c:v>95652.47</c:v>
                </c:pt>
                <c:pt idx="879">
                  <c:v>97461.52</c:v>
                </c:pt>
                <c:pt idx="880">
                  <c:v>96449.05</c:v>
                </c:pt>
                <c:pt idx="881">
                  <c:v>97279.79</c:v>
                </c:pt>
                <c:pt idx="882">
                  <c:v>95865.3</c:v>
                </c:pt>
                <c:pt idx="883">
                  <c:v>96002.16</c:v>
                </c:pt>
                <c:pt idx="884">
                  <c:v>98768.53</c:v>
                </c:pt>
                <c:pt idx="885">
                  <c:v>96593.57</c:v>
                </c:pt>
                <c:pt idx="886">
                  <c:v>99920.71</c:v>
                </c:pt>
                <c:pt idx="887">
                  <c:v>99923.34</c:v>
                </c:pt>
                <c:pt idx="888">
                  <c:v>101236.02</c:v>
                </c:pt>
                <c:pt idx="889">
                  <c:v>97432.72</c:v>
                </c:pt>
                <c:pt idx="890">
                  <c:v>96675.43</c:v>
                </c:pt>
                <c:pt idx="891">
                  <c:v>101173.03</c:v>
                </c:pt>
                <c:pt idx="892">
                  <c:v>100043</c:v>
                </c:pt>
                <c:pt idx="893">
                  <c:v>101459.26</c:v>
                </c:pt>
                <c:pt idx="894">
                  <c:v>101372.97</c:v>
                </c:pt>
                <c:pt idx="895">
                  <c:v>104298.7</c:v>
                </c:pt>
                <c:pt idx="896">
                  <c:v>106029.72</c:v>
                </c:pt>
                <c:pt idx="897">
                  <c:v>106140.6</c:v>
                </c:pt>
                <c:pt idx="898">
                  <c:v>100041.54</c:v>
                </c:pt>
                <c:pt idx="899">
                  <c:v>97490.95</c:v>
                </c:pt>
                <c:pt idx="900">
                  <c:v>97755.93</c:v>
                </c:pt>
                <c:pt idx="901">
                  <c:v>97224.73</c:v>
                </c:pt>
                <c:pt idx="902">
                  <c:v>95104.94</c:v>
                </c:pt>
                <c:pt idx="903">
                  <c:v>94686.24</c:v>
                </c:pt>
                <c:pt idx="904">
                  <c:v>98676.09</c:v>
                </c:pt>
                <c:pt idx="905">
                  <c:v>99299.199999999997</c:v>
                </c:pt>
                <c:pt idx="906">
                  <c:v>95795.520000000004</c:v>
                </c:pt>
                <c:pt idx="907">
                  <c:v>94164.86</c:v>
                </c:pt>
                <c:pt idx="908">
                  <c:v>95163.93</c:v>
                </c:pt>
                <c:pt idx="909">
                  <c:v>93530.23</c:v>
                </c:pt>
                <c:pt idx="910">
                  <c:v>92643.21</c:v>
                </c:pt>
                <c:pt idx="911">
                  <c:v>93429.2</c:v>
                </c:pt>
                <c:pt idx="912">
                  <c:v>94419.76</c:v>
                </c:pt>
                <c:pt idx="913">
                  <c:v>96886.88</c:v>
                </c:pt>
                <c:pt idx="914">
                  <c:v>98107.43</c:v>
                </c:pt>
                <c:pt idx="915">
                  <c:v>98236.23</c:v>
                </c:pt>
                <c:pt idx="916">
                  <c:v>98314.96</c:v>
                </c:pt>
                <c:pt idx="917">
                  <c:v>102078.09</c:v>
                </c:pt>
                <c:pt idx="918">
                  <c:v>96922.7</c:v>
                </c:pt>
                <c:pt idx="919">
                  <c:v>95043.520000000004</c:v>
                </c:pt>
                <c:pt idx="920">
                  <c:v>92484.04</c:v>
                </c:pt>
                <c:pt idx="921">
                  <c:v>94701.45</c:v>
                </c:pt>
                <c:pt idx="922">
                  <c:v>94566.59</c:v>
                </c:pt>
                <c:pt idx="923">
                  <c:v>94488.44</c:v>
                </c:pt>
                <c:pt idx="924">
                  <c:v>94516.52</c:v>
                </c:pt>
                <c:pt idx="925">
                  <c:v>96534.05</c:v>
                </c:pt>
                <c:pt idx="926">
                  <c:v>100504.49</c:v>
                </c:pt>
                <c:pt idx="927">
                  <c:v>99756.91</c:v>
                </c:pt>
                <c:pt idx="928">
                  <c:v>104462.04</c:v>
                </c:pt>
                <c:pt idx="929">
                  <c:v>104408.07</c:v>
                </c:pt>
                <c:pt idx="930">
                  <c:v>101089.61</c:v>
                </c:pt>
                <c:pt idx="931">
                  <c:v>102016.66</c:v>
                </c:pt>
                <c:pt idx="932">
                  <c:v>106146.27</c:v>
                </c:pt>
                <c:pt idx="933">
                  <c:v>103653.07</c:v>
                </c:pt>
                <c:pt idx="934">
                  <c:v>103960.17</c:v>
                </c:pt>
                <c:pt idx="935">
                  <c:v>104819.48</c:v>
                </c:pt>
                <c:pt idx="936">
                  <c:v>104714.65</c:v>
                </c:pt>
                <c:pt idx="937">
                  <c:v>102682.5</c:v>
                </c:pt>
                <c:pt idx="938">
                  <c:v>102087.69</c:v>
                </c:pt>
                <c:pt idx="939">
                  <c:v>101332.48</c:v>
                </c:pt>
                <c:pt idx="940">
                  <c:v>103703.21</c:v>
                </c:pt>
                <c:pt idx="941">
                  <c:v>104735.3</c:v>
                </c:pt>
                <c:pt idx="942">
                  <c:v>102405.02</c:v>
                </c:pt>
                <c:pt idx="943">
                  <c:v>100655.91</c:v>
                </c:pt>
                <c:pt idx="944">
                  <c:v>97688.98</c:v>
                </c:pt>
                <c:pt idx="945">
                  <c:v>101405.42</c:v>
                </c:pt>
                <c:pt idx="946">
                  <c:v>97871.82</c:v>
                </c:pt>
                <c:pt idx="947">
                  <c:v>96615.45</c:v>
                </c:pt>
                <c:pt idx="948">
                  <c:v>96593.3</c:v>
                </c:pt>
                <c:pt idx="949">
                  <c:v>96529.09</c:v>
                </c:pt>
                <c:pt idx="950">
                  <c:v>96482.45</c:v>
                </c:pt>
                <c:pt idx="951">
                  <c:v>96500.09</c:v>
                </c:pt>
                <c:pt idx="952">
                  <c:v>97437.55</c:v>
                </c:pt>
                <c:pt idx="953">
                  <c:v>95747.43</c:v>
                </c:pt>
                <c:pt idx="954">
                  <c:v>97885.86</c:v>
                </c:pt>
                <c:pt idx="955">
                  <c:v>96623.87</c:v>
                </c:pt>
                <c:pt idx="956">
                  <c:v>97508.97</c:v>
                </c:pt>
                <c:pt idx="957">
                  <c:v>97580.35</c:v>
                </c:pt>
                <c:pt idx="958">
                  <c:v>96175.03</c:v>
                </c:pt>
                <c:pt idx="959">
                  <c:v>95773.38</c:v>
                </c:pt>
                <c:pt idx="960">
                  <c:v>95539.55</c:v>
                </c:pt>
                <c:pt idx="961">
                  <c:v>96635.61</c:v>
                </c:pt>
                <c:pt idx="962">
                  <c:v>98333.94</c:v>
                </c:pt>
                <c:pt idx="963">
                  <c:v>96125.55</c:v>
                </c:pt>
                <c:pt idx="964">
                  <c:v>96577.76</c:v>
                </c:pt>
                <c:pt idx="965">
                  <c:v>96273.919999999998</c:v>
                </c:pt>
                <c:pt idx="966">
                  <c:v>91418.17</c:v>
                </c:pt>
                <c:pt idx="967">
                  <c:v>88736.17</c:v>
                </c:pt>
                <c:pt idx="968">
                  <c:v>84347.02</c:v>
                </c:pt>
                <c:pt idx="969">
                  <c:v>84704.23</c:v>
                </c:pt>
                <c:pt idx="970">
                  <c:v>84373.01</c:v>
                </c:pt>
                <c:pt idx="971">
                  <c:v>86031.91</c:v>
                </c:pt>
                <c:pt idx="972">
                  <c:v>94248.35</c:v>
                </c:pt>
                <c:pt idx="973">
                  <c:v>86065.67</c:v>
                </c:pt>
                <c:pt idx="974">
                  <c:v>87222.2</c:v>
                </c:pt>
                <c:pt idx="975">
                  <c:v>90623.56</c:v>
                </c:pt>
                <c:pt idx="976">
                  <c:v>89961.73</c:v>
                </c:pt>
                <c:pt idx="977">
                  <c:v>86742.67</c:v>
                </c:pt>
                <c:pt idx="978">
                  <c:v>86154.59</c:v>
                </c:pt>
                <c:pt idx="979">
                  <c:v>80601.039999999994</c:v>
                </c:pt>
                <c:pt idx="980">
                  <c:v>78532</c:v>
                </c:pt>
                <c:pt idx="981">
                  <c:v>82862.210000000006</c:v>
                </c:pt>
                <c:pt idx="982">
                  <c:v>83722.36</c:v>
                </c:pt>
                <c:pt idx="983">
                  <c:v>81066.7</c:v>
                </c:pt>
                <c:pt idx="984">
                  <c:v>83969.1</c:v>
                </c:pt>
                <c:pt idx="985">
                  <c:v>84343.11</c:v>
                </c:pt>
                <c:pt idx="986">
                  <c:v>82579.69</c:v>
                </c:pt>
                <c:pt idx="987">
                  <c:v>84075.69</c:v>
                </c:pt>
                <c:pt idx="988">
                  <c:v>82718.5</c:v>
                </c:pt>
                <c:pt idx="989">
                  <c:v>86854.23</c:v>
                </c:pt>
                <c:pt idx="990">
                  <c:v>84167.2</c:v>
                </c:pt>
                <c:pt idx="991">
                  <c:v>84043.24</c:v>
                </c:pt>
                <c:pt idx="992">
                  <c:v>83832.479999999996</c:v>
                </c:pt>
                <c:pt idx="993">
                  <c:v>86054.38</c:v>
                </c:pt>
                <c:pt idx="994">
                  <c:v>87498.91</c:v>
                </c:pt>
                <c:pt idx="995">
                  <c:v>87471.7</c:v>
                </c:pt>
                <c:pt idx="996">
                  <c:v>86900.88</c:v>
                </c:pt>
                <c:pt idx="997">
                  <c:v>87177.1</c:v>
                </c:pt>
                <c:pt idx="998">
                  <c:v>84353.15</c:v>
                </c:pt>
                <c:pt idx="999">
                  <c:v>82597.59</c:v>
                </c:pt>
                <c:pt idx="1000">
                  <c:v>81817.41</c:v>
                </c:pt>
              </c:numCache>
            </c:numRef>
          </c:val>
          <c:smooth val="0"/>
          <c:extLst>
            <c:ext xmlns:c16="http://schemas.microsoft.com/office/drawing/2014/chart" uri="{C3380CC4-5D6E-409C-BE32-E72D297353CC}">
              <c16:uniqueId val="{00000001-F6B7-4188-AAFA-0D1DB85AED1A}"/>
            </c:ext>
          </c:extLst>
        </c:ser>
        <c:dLbls>
          <c:showLegendKey val="0"/>
          <c:showVal val="0"/>
          <c:showCatName val="0"/>
          <c:showSerName val="0"/>
          <c:showPercent val="0"/>
          <c:showBubbleSize val="0"/>
        </c:dLbls>
        <c:marker val="1"/>
        <c:smooth val="0"/>
        <c:axId val="399455360"/>
        <c:axId val="399459200"/>
      </c:lineChart>
      <c:lineChart>
        <c:grouping val="standard"/>
        <c:varyColors val="0"/>
        <c:ser>
          <c:idx val="1"/>
          <c:order val="1"/>
          <c:tx>
            <c:strRef>
              <c:f>'BTC-GOLD'!$D$3</c:f>
              <c:strCache>
                <c:ptCount val="1"/>
                <c:pt idx="0">
                  <c:v>Promedio de cierre GOLD</c:v>
                </c:pt>
              </c:strCache>
            </c:strRef>
          </c:tx>
          <c:spPr>
            <a:ln w="28575" cap="rnd">
              <a:solidFill>
                <a:schemeClr val="accent2"/>
              </a:solidFill>
              <a:round/>
            </a:ln>
            <a:effectLst/>
          </c:spPr>
          <c:marker>
            <c:symbol val="none"/>
          </c:marker>
          <c:trendline>
            <c:spPr>
              <a:ln w="19050" cap="rnd">
                <a:solidFill>
                  <a:schemeClr val="accent2">
                    <a:lumMod val="75000"/>
                  </a:schemeClr>
                </a:solidFill>
                <a:prstDash val="solid"/>
              </a:ln>
              <a:effectLst/>
            </c:spPr>
            <c:trendlineType val="linear"/>
            <c:dispRSqr val="0"/>
            <c:dispEq val="0"/>
          </c:trendline>
          <c:cat>
            <c:strRef>
              <c:f>'BTC-GOLD'!$B$4:$B$1005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'BTC-GOLD'!$D$4:$D$1005</c:f>
              <c:numCache>
                <c:formatCode>_("$"* #,##0.00_);_("$"* \(#,##0.00\);_("$"* "-"??_);_(@_)</c:formatCode>
                <c:ptCount val="1001"/>
                <c:pt idx="0">
                  <c:v>1761.80004882812</c:v>
                </c:pt>
                <c:pt idx="1">
                  <c:v>1761.80004882812</c:v>
                </c:pt>
                <c:pt idx="2">
                  <c:v>1761.80004882812</c:v>
                </c:pt>
                <c:pt idx="3">
                  <c:v>1734.90002441406</c:v>
                </c:pt>
                <c:pt idx="4">
                  <c:v>1737.90002441406</c:v>
                </c:pt>
                <c:pt idx="5">
                  <c:v>1740.59997558593</c:v>
                </c:pt>
                <c:pt idx="6">
                  <c:v>1737.90002441406</c:v>
                </c:pt>
                <c:pt idx="7">
                  <c:v>1740.59997558593</c:v>
                </c:pt>
                <c:pt idx="8">
                  <c:v>1730</c:v>
                </c:pt>
                <c:pt idx="9">
                  <c:v>1723.30004882812</c:v>
                </c:pt>
                <c:pt idx="10">
                  <c:v>1734.19995117187</c:v>
                </c:pt>
                <c:pt idx="11">
                  <c:v>1704.5</c:v>
                </c:pt>
                <c:pt idx="12">
                  <c:v>1702.40002441406</c:v>
                </c:pt>
                <c:pt idx="13">
                  <c:v>1704.5</c:v>
                </c:pt>
                <c:pt idx="14">
                  <c:v>1702.40002441406</c:v>
                </c:pt>
                <c:pt idx="15">
                  <c:v>1709.19995117187</c:v>
                </c:pt>
                <c:pt idx="16">
                  <c:v>1710</c:v>
                </c:pt>
                <c:pt idx="17">
                  <c:v>1699.5</c:v>
                </c:pt>
                <c:pt idx="18">
                  <c:v>1712.69995117187</c:v>
                </c:pt>
                <c:pt idx="19">
                  <c:v>1727.09997558593</c:v>
                </c:pt>
                <c:pt idx="20">
                  <c:v>1712.69995117187</c:v>
                </c:pt>
                <c:pt idx="21">
                  <c:v>1727.09997558593</c:v>
                </c:pt>
                <c:pt idx="22">
                  <c:v>1719</c:v>
                </c:pt>
                <c:pt idx="23">
                  <c:v>1717.69995117187</c:v>
                </c:pt>
                <c:pt idx="24">
                  <c:v>1719.09997558593</c:v>
                </c:pt>
                <c:pt idx="25">
                  <c:v>1750.30004882812</c:v>
                </c:pt>
                <c:pt idx="26">
                  <c:v>1762.90002441406</c:v>
                </c:pt>
                <c:pt idx="27">
                  <c:v>1750.30004882812</c:v>
                </c:pt>
                <c:pt idx="28">
                  <c:v>1762.90002441406</c:v>
                </c:pt>
                <c:pt idx="29">
                  <c:v>1769</c:v>
                </c:pt>
                <c:pt idx="30">
                  <c:v>1771.09997558593</c:v>
                </c:pt>
                <c:pt idx="31">
                  <c:v>1758</c:v>
                </c:pt>
                <c:pt idx="32">
                  <c:v>1788.5</c:v>
                </c:pt>
                <c:pt idx="33">
                  <c:v>1772.90002441406</c:v>
                </c:pt>
                <c:pt idx="34">
                  <c:v>1788.5</c:v>
                </c:pt>
                <c:pt idx="35">
                  <c:v>1772.90002441406</c:v>
                </c:pt>
                <c:pt idx="36">
                  <c:v>1786.80004882812</c:v>
                </c:pt>
                <c:pt idx="37">
                  <c:v>1794</c:v>
                </c:pt>
                <c:pt idx="38">
                  <c:v>1795.59997558593</c:v>
                </c:pt>
                <c:pt idx="39">
                  <c:v>1789.69995117187</c:v>
                </c:pt>
                <c:pt idx="40">
                  <c:v>1798.59997558593</c:v>
                </c:pt>
                <c:pt idx="41">
                  <c:v>1789.69995117187</c:v>
                </c:pt>
                <c:pt idx="42">
                  <c:v>1798.59997558593</c:v>
                </c:pt>
                <c:pt idx="43">
                  <c:v>1781.40002441406</c:v>
                </c:pt>
                <c:pt idx="44">
                  <c:v>1773.19995117187</c:v>
                </c:pt>
                <c:pt idx="45">
                  <c:v>1760.30004882812</c:v>
                </c:pt>
                <c:pt idx="46">
                  <c:v>1755.30004882812</c:v>
                </c:pt>
                <c:pt idx="47">
                  <c:v>1747.59997558593</c:v>
                </c:pt>
                <c:pt idx="48">
                  <c:v>1755.30004882812</c:v>
                </c:pt>
                <c:pt idx="49">
                  <c:v>1747.59997558593</c:v>
                </c:pt>
                <c:pt idx="50">
                  <c:v>1734</c:v>
                </c:pt>
                <c:pt idx="51">
                  <c:v>1746.80004882812</c:v>
                </c:pt>
                <c:pt idx="52">
                  <c:v>1747.80004882812</c:v>
                </c:pt>
                <c:pt idx="53">
                  <c:v>1757.69995117187</c:v>
                </c:pt>
                <c:pt idx="54">
                  <c:v>1736.09997558593</c:v>
                </c:pt>
                <c:pt idx="55">
                  <c:v>1757.69995117187</c:v>
                </c:pt>
                <c:pt idx="56">
                  <c:v>1736.09997558593</c:v>
                </c:pt>
                <c:pt idx="57">
                  <c:v>1736.59997558593</c:v>
                </c:pt>
                <c:pt idx="58">
                  <c:v>1723.19995117187</c:v>
                </c:pt>
                <c:pt idx="59">
                  <c:v>1712.80004882812</c:v>
                </c:pt>
                <c:pt idx="60">
                  <c:v>1696.59997558593</c:v>
                </c:pt>
                <c:pt idx="61">
                  <c:v>1709.80004882812</c:v>
                </c:pt>
                <c:pt idx="62">
                  <c:v>1696.59997558593</c:v>
                </c:pt>
                <c:pt idx="63">
                  <c:v>1709.80004882812</c:v>
                </c:pt>
                <c:pt idx="64">
                  <c:v>1696.59997558593</c:v>
                </c:pt>
                <c:pt idx="65">
                  <c:v>1700.40002441406</c:v>
                </c:pt>
                <c:pt idx="66">
                  <c:v>1715.30004882812</c:v>
                </c:pt>
                <c:pt idx="67">
                  <c:v>1708</c:v>
                </c:pt>
                <c:pt idx="68">
                  <c:v>1716.19995117187</c:v>
                </c:pt>
                <c:pt idx="69">
                  <c:v>1708</c:v>
                </c:pt>
                <c:pt idx="70">
                  <c:v>1716.19995117187</c:v>
                </c:pt>
                <c:pt idx="71">
                  <c:v>1728.09997558593</c:v>
                </c:pt>
                <c:pt idx="72">
                  <c:v>1705</c:v>
                </c:pt>
                <c:pt idx="73">
                  <c:v>1696.5</c:v>
                </c:pt>
                <c:pt idx="74">
                  <c:v>1665.40002441406</c:v>
                </c:pt>
                <c:pt idx="75">
                  <c:v>1671.69995117187</c:v>
                </c:pt>
                <c:pt idx="76">
                  <c:v>1665.40002441406</c:v>
                </c:pt>
                <c:pt idx="77">
                  <c:v>1671.69995117187</c:v>
                </c:pt>
                <c:pt idx="78">
                  <c:v>1666.19995117187</c:v>
                </c:pt>
                <c:pt idx="79">
                  <c:v>1659.69995117187</c:v>
                </c:pt>
                <c:pt idx="80">
                  <c:v>1664.59997558593</c:v>
                </c:pt>
                <c:pt idx="81">
                  <c:v>1670.80004882812</c:v>
                </c:pt>
                <c:pt idx="82">
                  <c:v>1645.30004882812</c:v>
                </c:pt>
                <c:pt idx="83">
                  <c:v>1670.80004882812</c:v>
                </c:pt>
                <c:pt idx="84">
                  <c:v>1645.30004882812</c:v>
                </c:pt>
                <c:pt idx="85">
                  <c:v>1623.30004882812</c:v>
                </c:pt>
                <c:pt idx="86">
                  <c:v>1626.69995117187</c:v>
                </c:pt>
                <c:pt idx="87">
                  <c:v>1660.40002441406</c:v>
                </c:pt>
                <c:pt idx="88">
                  <c:v>1658.5</c:v>
                </c:pt>
                <c:pt idx="89">
                  <c:v>1662.40002441406</c:v>
                </c:pt>
                <c:pt idx="90">
                  <c:v>1658.5</c:v>
                </c:pt>
                <c:pt idx="91">
                  <c:v>1662.40002441406</c:v>
                </c:pt>
                <c:pt idx="92">
                  <c:v>1692.90002441406</c:v>
                </c:pt>
                <c:pt idx="93">
                  <c:v>1721.09997558593</c:v>
                </c:pt>
                <c:pt idx="94">
                  <c:v>1711.40002441406</c:v>
                </c:pt>
                <c:pt idx="95">
                  <c:v>1711.69995117187</c:v>
                </c:pt>
                <c:pt idx="96">
                  <c:v>1700.5</c:v>
                </c:pt>
                <c:pt idx="97">
                  <c:v>1711.69995117187</c:v>
                </c:pt>
                <c:pt idx="98">
                  <c:v>1700.5</c:v>
                </c:pt>
                <c:pt idx="99">
                  <c:v>1667.30004882812</c:v>
                </c:pt>
                <c:pt idx="100">
                  <c:v>1678.69995117187</c:v>
                </c:pt>
                <c:pt idx="101">
                  <c:v>1670.30004882812</c:v>
                </c:pt>
                <c:pt idx="102">
                  <c:v>1670</c:v>
                </c:pt>
                <c:pt idx="103">
                  <c:v>1641.69995117187</c:v>
                </c:pt>
                <c:pt idx="104">
                  <c:v>1670</c:v>
                </c:pt>
                <c:pt idx="105">
                  <c:v>1641.69995117187</c:v>
                </c:pt>
                <c:pt idx="106">
                  <c:v>1657</c:v>
                </c:pt>
                <c:pt idx="107">
                  <c:v>1649</c:v>
                </c:pt>
                <c:pt idx="108">
                  <c:v>1627.5</c:v>
                </c:pt>
                <c:pt idx="109">
                  <c:v>1630.80004882812</c:v>
                </c:pt>
                <c:pt idx="110">
                  <c:v>1651</c:v>
                </c:pt>
                <c:pt idx="111">
                  <c:v>1630.80004882812</c:v>
                </c:pt>
                <c:pt idx="112">
                  <c:v>1651</c:v>
                </c:pt>
                <c:pt idx="113">
                  <c:v>1648.69995117187</c:v>
                </c:pt>
                <c:pt idx="114">
                  <c:v>1652.80004882812</c:v>
                </c:pt>
                <c:pt idx="115">
                  <c:v>1664</c:v>
                </c:pt>
                <c:pt idx="116">
                  <c:v>1660.69995117187</c:v>
                </c:pt>
                <c:pt idx="117">
                  <c:v>1639.59997558593</c:v>
                </c:pt>
                <c:pt idx="118">
                  <c:v>1660.69995117187</c:v>
                </c:pt>
                <c:pt idx="119">
                  <c:v>1639.59997558593</c:v>
                </c:pt>
                <c:pt idx="120">
                  <c:v>1635.90002441406</c:v>
                </c:pt>
                <c:pt idx="121">
                  <c:v>1645</c:v>
                </c:pt>
                <c:pt idx="122">
                  <c:v>1645.69995117187</c:v>
                </c:pt>
                <c:pt idx="123">
                  <c:v>1627.30004882812</c:v>
                </c:pt>
                <c:pt idx="124">
                  <c:v>1672.5</c:v>
                </c:pt>
                <c:pt idx="125">
                  <c:v>1627.30004882812</c:v>
                </c:pt>
                <c:pt idx="126">
                  <c:v>1672.5</c:v>
                </c:pt>
                <c:pt idx="127">
                  <c:v>1676.5</c:v>
                </c:pt>
                <c:pt idx="128">
                  <c:v>1712.09997558593</c:v>
                </c:pt>
                <c:pt idx="129">
                  <c:v>1710.09997558593</c:v>
                </c:pt>
                <c:pt idx="130">
                  <c:v>1750.30004882812</c:v>
                </c:pt>
                <c:pt idx="131">
                  <c:v>1766</c:v>
                </c:pt>
                <c:pt idx="132">
                  <c:v>1750.30004882812</c:v>
                </c:pt>
                <c:pt idx="133">
                  <c:v>1766</c:v>
                </c:pt>
                <c:pt idx="134">
                  <c:v>1773.59997558593</c:v>
                </c:pt>
                <c:pt idx="135">
                  <c:v>1773.80004882812</c:v>
                </c:pt>
                <c:pt idx="136">
                  <c:v>1773</c:v>
                </c:pt>
                <c:pt idx="137">
                  <c:v>1760.80004882812</c:v>
                </c:pt>
                <c:pt idx="138">
                  <c:v>1751.90002441406</c:v>
                </c:pt>
                <c:pt idx="139">
                  <c:v>1760.80004882812</c:v>
                </c:pt>
                <c:pt idx="140">
                  <c:v>1751.90002441406</c:v>
                </c:pt>
                <c:pt idx="141">
                  <c:v>1737.40002441406</c:v>
                </c:pt>
                <c:pt idx="142">
                  <c:v>1738.30004882812</c:v>
                </c:pt>
                <c:pt idx="143">
                  <c:v>1744.90002441406</c:v>
                </c:pt>
                <c:pt idx="144">
                  <c:v>1738.30004882812</c:v>
                </c:pt>
                <c:pt idx="145">
                  <c:v>1753.30004882812</c:v>
                </c:pt>
                <c:pt idx="146">
                  <c:v>1738.30004882812</c:v>
                </c:pt>
                <c:pt idx="147">
                  <c:v>1753.30004882812</c:v>
                </c:pt>
                <c:pt idx="148">
                  <c:v>1740.09997558593</c:v>
                </c:pt>
                <c:pt idx="149">
                  <c:v>1748.40002441406</c:v>
                </c:pt>
                <c:pt idx="150">
                  <c:v>1746</c:v>
                </c:pt>
                <c:pt idx="151">
                  <c:v>1801.09997558593</c:v>
                </c:pt>
                <c:pt idx="152">
                  <c:v>1795.90002441406</c:v>
                </c:pt>
                <c:pt idx="153">
                  <c:v>1801.09997558593</c:v>
                </c:pt>
                <c:pt idx="154">
                  <c:v>1795.90002441406</c:v>
                </c:pt>
                <c:pt idx="155">
                  <c:v>1767.40002441406</c:v>
                </c:pt>
                <c:pt idx="156">
                  <c:v>1769.30004882812</c:v>
                </c:pt>
                <c:pt idx="157">
                  <c:v>1785.5</c:v>
                </c:pt>
                <c:pt idx="158">
                  <c:v>1788.69995117187</c:v>
                </c:pt>
                <c:pt idx="159">
                  <c:v>1798.09997558593</c:v>
                </c:pt>
                <c:pt idx="160">
                  <c:v>1788.69995117187</c:v>
                </c:pt>
                <c:pt idx="161">
                  <c:v>1798.09997558593</c:v>
                </c:pt>
                <c:pt idx="162">
                  <c:v>1780.5</c:v>
                </c:pt>
                <c:pt idx="163">
                  <c:v>1813.90002441406</c:v>
                </c:pt>
                <c:pt idx="164">
                  <c:v>1807.5</c:v>
                </c:pt>
                <c:pt idx="165">
                  <c:v>1777.19995117187</c:v>
                </c:pt>
                <c:pt idx="166">
                  <c:v>1790</c:v>
                </c:pt>
                <c:pt idx="167">
                  <c:v>1777.19995117187</c:v>
                </c:pt>
                <c:pt idx="168">
                  <c:v>1790</c:v>
                </c:pt>
                <c:pt idx="169">
                  <c:v>1787.69995117187</c:v>
                </c:pt>
                <c:pt idx="170">
                  <c:v>1815.90002441406</c:v>
                </c:pt>
                <c:pt idx="171">
                  <c:v>1815.90002441406</c:v>
                </c:pt>
                <c:pt idx="172">
                  <c:v>1787</c:v>
                </c:pt>
                <c:pt idx="173">
                  <c:v>1795.90002441406</c:v>
                </c:pt>
                <c:pt idx="174">
                  <c:v>1787</c:v>
                </c:pt>
                <c:pt idx="175">
                  <c:v>1795.90002441406</c:v>
                </c:pt>
                <c:pt idx="176">
                  <c:v>1787</c:v>
                </c:pt>
                <c:pt idx="177">
                  <c:v>1814.80004882812</c:v>
                </c:pt>
                <c:pt idx="178">
                  <c:v>1807.90002441406</c:v>
                </c:pt>
                <c:pt idx="179">
                  <c:v>1819.5</c:v>
                </c:pt>
                <c:pt idx="180">
                  <c:v>1819.69995117187</c:v>
                </c:pt>
                <c:pt idx="181">
                  <c:v>1819.5</c:v>
                </c:pt>
                <c:pt idx="182">
                  <c:v>1819.69995117187</c:v>
                </c:pt>
                <c:pt idx="183">
                  <c:v>1819.5</c:v>
                </c:pt>
                <c:pt idx="184">
                  <c:v>1839.69995117187</c:v>
                </c:pt>
                <c:pt idx="185">
                  <c:v>1852.80004882812</c:v>
                </c:pt>
                <c:pt idx="186">
                  <c:v>1834.80004882812</c:v>
                </c:pt>
                <c:pt idx="187">
                  <c:v>1864.19995117187</c:v>
                </c:pt>
                <c:pt idx="188">
                  <c:v>1834.80004882812</c:v>
                </c:pt>
                <c:pt idx="189">
                  <c:v>1864.19995117187</c:v>
                </c:pt>
                <c:pt idx="190">
                  <c:v>1872.69995117187</c:v>
                </c:pt>
                <c:pt idx="191">
                  <c:v>1871.59997558593</c:v>
                </c:pt>
                <c:pt idx="192">
                  <c:v>1874.59997558593</c:v>
                </c:pt>
                <c:pt idx="193">
                  <c:v>1895.5</c:v>
                </c:pt>
                <c:pt idx="194">
                  <c:v>1918.40002441406</c:v>
                </c:pt>
                <c:pt idx="195">
                  <c:v>1895.5</c:v>
                </c:pt>
                <c:pt idx="196">
                  <c:v>1918.40002441406</c:v>
                </c:pt>
                <c:pt idx="197">
                  <c:v>1895.5</c:v>
                </c:pt>
                <c:pt idx="198">
                  <c:v>1907.19995117187</c:v>
                </c:pt>
                <c:pt idx="199">
                  <c:v>1904.40002441406</c:v>
                </c:pt>
                <c:pt idx="200">
                  <c:v>1922.09997558593</c:v>
                </c:pt>
                <c:pt idx="201">
                  <c:v>1926.40002441406</c:v>
                </c:pt>
                <c:pt idx="202">
                  <c:v>1922.09997558593</c:v>
                </c:pt>
                <c:pt idx="203">
                  <c:v>1926.40002441406</c:v>
                </c:pt>
                <c:pt idx="204">
                  <c:v>1927.09997558593</c:v>
                </c:pt>
                <c:pt idx="205">
                  <c:v>1933.90002441406</c:v>
                </c:pt>
                <c:pt idx="206">
                  <c:v>1941.19995117187</c:v>
                </c:pt>
                <c:pt idx="207">
                  <c:v>1929.09997558593</c:v>
                </c:pt>
                <c:pt idx="208">
                  <c:v>1928.59997558593</c:v>
                </c:pt>
                <c:pt idx="209">
                  <c:v>1929.09997558593</c:v>
                </c:pt>
                <c:pt idx="210">
                  <c:v>1928.59997558593</c:v>
                </c:pt>
                <c:pt idx="211">
                  <c:v>1922.90002441406</c:v>
                </c:pt>
                <c:pt idx="212">
                  <c:v>1929.5</c:v>
                </c:pt>
                <c:pt idx="213">
                  <c:v>1927.80004882812</c:v>
                </c:pt>
                <c:pt idx="214">
                  <c:v>1916.30004882812</c:v>
                </c:pt>
                <c:pt idx="215">
                  <c:v>1862.90002441406</c:v>
                </c:pt>
                <c:pt idx="216">
                  <c:v>1916.30004882812</c:v>
                </c:pt>
                <c:pt idx="217">
                  <c:v>1862.90002441406</c:v>
                </c:pt>
                <c:pt idx="218">
                  <c:v>1866.19995117187</c:v>
                </c:pt>
                <c:pt idx="219">
                  <c:v>1871.69995117187</c:v>
                </c:pt>
                <c:pt idx="220">
                  <c:v>1877.40002441406</c:v>
                </c:pt>
                <c:pt idx="221">
                  <c:v>1866.19995117187</c:v>
                </c:pt>
                <c:pt idx="222">
                  <c:v>1862.80004882812</c:v>
                </c:pt>
                <c:pt idx="223">
                  <c:v>1866.19995117187</c:v>
                </c:pt>
                <c:pt idx="224">
                  <c:v>1862.80004882812</c:v>
                </c:pt>
                <c:pt idx="225">
                  <c:v>1851.90002441406</c:v>
                </c:pt>
                <c:pt idx="226">
                  <c:v>1854</c:v>
                </c:pt>
                <c:pt idx="227">
                  <c:v>1834.19995117187</c:v>
                </c:pt>
                <c:pt idx="228">
                  <c:v>1842</c:v>
                </c:pt>
                <c:pt idx="229">
                  <c:v>1840.40002441406</c:v>
                </c:pt>
                <c:pt idx="230">
                  <c:v>1842</c:v>
                </c:pt>
                <c:pt idx="231">
                  <c:v>1840.40002441406</c:v>
                </c:pt>
                <c:pt idx="232">
                  <c:v>1842</c:v>
                </c:pt>
                <c:pt idx="233">
                  <c:v>1833</c:v>
                </c:pt>
                <c:pt idx="234">
                  <c:v>1832</c:v>
                </c:pt>
                <c:pt idx="235">
                  <c:v>1818</c:v>
                </c:pt>
                <c:pt idx="236">
                  <c:v>1808.80004882812</c:v>
                </c:pt>
                <c:pt idx="237">
                  <c:v>1818</c:v>
                </c:pt>
                <c:pt idx="238">
                  <c:v>1808.80004882812</c:v>
                </c:pt>
                <c:pt idx="239">
                  <c:v>1817</c:v>
                </c:pt>
                <c:pt idx="240">
                  <c:v>1828.90002441406</c:v>
                </c:pt>
                <c:pt idx="241">
                  <c:v>1837.69995117187</c:v>
                </c:pt>
                <c:pt idx="242">
                  <c:v>1833.5</c:v>
                </c:pt>
                <c:pt idx="243">
                  <c:v>1847.69995117187</c:v>
                </c:pt>
                <c:pt idx="244">
                  <c:v>1833.5</c:v>
                </c:pt>
                <c:pt idx="245">
                  <c:v>1847.69995117187</c:v>
                </c:pt>
                <c:pt idx="246">
                  <c:v>1847.90002441406</c:v>
                </c:pt>
                <c:pt idx="247">
                  <c:v>1813.90002441406</c:v>
                </c:pt>
                <c:pt idx="248">
                  <c:v>1812.69995117187</c:v>
                </c:pt>
                <c:pt idx="249">
                  <c:v>1829.30004882812</c:v>
                </c:pt>
                <c:pt idx="250">
                  <c:v>1862</c:v>
                </c:pt>
                <c:pt idx="251">
                  <c:v>1829.30004882812</c:v>
                </c:pt>
                <c:pt idx="252">
                  <c:v>1862</c:v>
                </c:pt>
                <c:pt idx="253">
                  <c:v>1911.69995117187</c:v>
                </c:pt>
                <c:pt idx="254">
                  <c:v>1906.19995117187</c:v>
                </c:pt>
                <c:pt idx="255">
                  <c:v>1926.59997558593</c:v>
                </c:pt>
                <c:pt idx="256">
                  <c:v>1919</c:v>
                </c:pt>
                <c:pt idx="257">
                  <c:v>1969.80004882812</c:v>
                </c:pt>
                <c:pt idx="258">
                  <c:v>1919</c:v>
                </c:pt>
                <c:pt idx="259">
                  <c:v>1969.80004882812</c:v>
                </c:pt>
                <c:pt idx="260">
                  <c:v>1979.19995117187</c:v>
                </c:pt>
                <c:pt idx="261">
                  <c:v>1938</c:v>
                </c:pt>
                <c:pt idx="262">
                  <c:v>1946.80004882812</c:v>
                </c:pt>
                <c:pt idx="263">
                  <c:v>1993.80004882812</c:v>
                </c:pt>
                <c:pt idx="264">
                  <c:v>1982.09997558593</c:v>
                </c:pt>
                <c:pt idx="265">
                  <c:v>1993.80004882812</c:v>
                </c:pt>
                <c:pt idx="266">
                  <c:v>1982.09997558593</c:v>
                </c:pt>
                <c:pt idx="267">
                  <c:v>1952.40002441406</c:v>
                </c:pt>
                <c:pt idx="268">
                  <c:v>1972.40002441406</c:v>
                </c:pt>
                <c:pt idx="269">
                  <c:v>1966.09997558593</c:v>
                </c:pt>
                <c:pt idx="270">
                  <c:v>1980.30004882812</c:v>
                </c:pt>
                <c:pt idx="271">
                  <c:v>1969</c:v>
                </c:pt>
                <c:pt idx="272">
                  <c:v>1980.30004882812</c:v>
                </c:pt>
                <c:pt idx="273">
                  <c:v>1969</c:v>
                </c:pt>
                <c:pt idx="274">
                  <c:v>1983.90002441406</c:v>
                </c:pt>
                <c:pt idx="275">
                  <c:v>2022.19995117187</c:v>
                </c:pt>
                <c:pt idx="276">
                  <c:v>2020.90002441406</c:v>
                </c:pt>
                <c:pt idx="277">
                  <c:v>2011.90002441406</c:v>
                </c:pt>
                <c:pt idx="278">
                  <c:v>2020.90002441406</c:v>
                </c:pt>
                <c:pt idx="279">
                  <c:v>2011.90002441406</c:v>
                </c:pt>
                <c:pt idx="280">
                  <c:v>2020.90002441406</c:v>
                </c:pt>
                <c:pt idx="281">
                  <c:v>1989.09997558593</c:v>
                </c:pt>
                <c:pt idx="282">
                  <c:v>2004.80004882812</c:v>
                </c:pt>
                <c:pt idx="283">
                  <c:v>2010.90002441406</c:v>
                </c:pt>
                <c:pt idx="284">
                  <c:v>2041.30004882812</c:v>
                </c:pt>
                <c:pt idx="285">
                  <c:v>2002.19995117187</c:v>
                </c:pt>
                <c:pt idx="286">
                  <c:v>2041.30004882812</c:v>
                </c:pt>
                <c:pt idx="287">
                  <c:v>2002.19995117187</c:v>
                </c:pt>
                <c:pt idx="288">
                  <c:v>1994.19995117187</c:v>
                </c:pt>
                <c:pt idx="289">
                  <c:v>2007.40002441406</c:v>
                </c:pt>
                <c:pt idx="290">
                  <c:v>1995.19995117187</c:v>
                </c:pt>
                <c:pt idx="291">
                  <c:v>2007.59997558593</c:v>
                </c:pt>
                <c:pt idx="292">
                  <c:v>1979.5</c:v>
                </c:pt>
                <c:pt idx="293">
                  <c:v>2007.59997558593</c:v>
                </c:pt>
                <c:pt idx="294">
                  <c:v>1979.5</c:v>
                </c:pt>
                <c:pt idx="295">
                  <c:v>1989.09997558593</c:v>
                </c:pt>
                <c:pt idx="296">
                  <c:v>1994</c:v>
                </c:pt>
                <c:pt idx="297">
                  <c:v>1985.69995117187</c:v>
                </c:pt>
                <c:pt idx="298">
                  <c:v>1989.90002441406</c:v>
                </c:pt>
                <c:pt idx="299">
                  <c:v>1990.09997558593</c:v>
                </c:pt>
                <c:pt idx="300">
                  <c:v>1989.90002441406</c:v>
                </c:pt>
                <c:pt idx="301">
                  <c:v>1990.09997558593</c:v>
                </c:pt>
                <c:pt idx="302">
                  <c:v>1983.40002441406</c:v>
                </c:pt>
                <c:pt idx="303">
                  <c:v>2014.30004882812</c:v>
                </c:pt>
                <c:pt idx="304">
                  <c:v>2028.59997558593</c:v>
                </c:pt>
                <c:pt idx="305">
                  <c:v>2048</c:v>
                </c:pt>
                <c:pt idx="306">
                  <c:v>2017.40002441406</c:v>
                </c:pt>
                <c:pt idx="307">
                  <c:v>2048</c:v>
                </c:pt>
                <c:pt idx="308">
                  <c:v>2017.40002441406</c:v>
                </c:pt>
                <c:pt idx="309">
                  <c:v>2026.30004882812</c:v>
                </c:pt>
                <c:pt idx="310">
                  <c:v>2036.19995117187</c:v>
                </c:pt>
                <c:pt idx="311">
                  <c:v>2030.5</c:v>
                </c:pt>
                <c:pt idx="312">
                  <c:v>2014.69995117187</c:v>
                </c:pt>
                <c:pt idx="313">
                  <c:v>2014.5</c:v>
                </c:pt>
                <c:pt idx="314">
                  <c:v>2014.69995117187</c:v>
                </c:pt>
                <c:pt idx="315">
                  <c:v>2014.5</c:v>
                </c:pt>
                <c:pt idx="316">
                  <c:v>2018</c:v>
                </c:pt>
                <c:pt idx="317">
                  <c:v>1988.40002441406</c:v>
                </c:pt>
                <c:pt idx="318">
                  <c:v>1980.69995117187</c:v>
                </c:pt>
                <c:pt idx="319">
                  <c:v>1956.5</c:v>
                </c:pt>
                <c:pt idx="320">
                  <c:v>1978.69995117187</c:v>
                </c:pt>
                <c:pt idx="321">
                  <c:v>1956.5</c:v>
                </c:pt>
                <c:pt idx="322">
                  <c:v>1978.69995117187</c:v>
                </c:pt>
                <c:pt idx="323">
                  <c:v>1974.80004882812</c:v>
                </c:pt>
                <c:pt idx="324">
                  <c:v>1972.40002441406</c:v>
                </c:pt>
                <c:pt idx="325">
                  <c:v>1962.80004882812</c:v>
                </c:pt>
                <c:pt idx="326">
                  <c:v>1943.09997558593</c:v>
                </c:pt>
                <c:pt idx="327">
                  <c:v>1944.09997558593</c:v>
                </c:pt>
                <c:pt idx="328">
                  <c:v>1943.09997558593</c:v>
                </c:pt>
                <c:pt idx="329">
                  <c:v>1944.09997558593</c:v>
                </c:pt>
                <c:pt idx="330">
                  <c:v>1943.09997558593</c:v>
                </c:pt>
                <c:pt idx="331">
                  <c:v>1958</c:v>
                </c:pt>
                <c:pt idx="332">
                  <c:v>1963.90002441406</c:v>
                </c:pt>
                <c:pt idx="333">
                  <c:v>1978</c:v>
                </c:pt>
                <c:pt idx="334">
                  <c:v>1952.40002441406</c:v>
                </c:pt>
                <c:pt idx="335">
                  <c:v>1978</c:v>
                </c:pt>
                <c:pt idx="336">
                  <c:v>1952.40002441406</c:v>
                </c:pt>
                <c:pt idx="337">
                  <c:v>1958</c:v>
                </c:pt>
                <c:pt idx="338">
                  <c:v>1965.5</c:v>
                </c:pt>
                <c:pt idx="339">
                  <c:v>1942.69995117187</c:v>
                </c:pt>
                <c:pt idx="340">
                  <c:v>1963.59997558593</c:v>
                </c:pt>
                <c:pt idx="341">
                  <c:v>1962.19995117187</c:v>
                </c:pt>
                <c:pt idx="342">
                  <c:v>1963.59997558593</c:v>
                </c:pt>
                <c:pt idx="343">
                  <c:v>1962.19995117187</c:v>
                </c:pt>
                <c:pt idx="344">
                  <c:v>1955.30004882812</c:v>
                </c:pt>
                <c:pt idx="345">
                  <c:v>1944.59997558593</c:v>
                </c:pt>
                <c:pt idx="346">
                  <c:v>1955.30004882812</c:v>
                </c:pt>
                <c:pt idx="347">
                  <c:v>1957.80004882812</c:v>
                </c:pt>
                <c:pt idx="348">
                  <c:v>1958.40002441406</c:v>
                </c:pt>
                <c:pt idx="349">
                  <c:v>1957.80004882812</c:v>
                </c:pt>
                <c:pt idx="350">
                  <c:v>1958.40002441406</c:v>
                </c:pt>
                <c:pt idx="351">
                  <c:v>1957.80004882812</c:v>
                </c:pt>
                <c:pt idx="352">
                  <c:v>1935.5</c:v>
                </c:pt>
                <c:pt idx="353">
                  <c:v>1933.30004882812</c:v>
                </c:pt>
                <c:pt idx="354">
                  <c:v>1912.69995117187</c:v>
                </c:pt>
                <c:pt idx="355">
                  <c:v>1919.09997558593</c:v>
                </c:pt>
                <c:pt idx="356">
                  <c:v>1912.69995117187</c:v>
                </c:pt>
                <c:pt idx="357">
                  <c:v>1919.09997558593</c:v>
                </c:pt>
                <c:pt idx="358">
                  <c:v>1923.69995117187</c:v>
                </c:pt>
                <c:pt idx="359">
                  <c:v>1914</c:v>
                </c:pt>
                <c:pt idx="360">
                  <c:v>1912.30004882812</c:v>
                </c:pt>
                <c:pt idx="361">
                  <c:v>1909.19995117187</c:v>
                </c:pt>
                <c:pt idx="362">
                  <c:v>1921.09997558593</c:v>
                </c:pt>
                <c:pt idx="363">
                  <c:v>1909.19995117187</c:v>
                </c:pt>
                <c:pt idx="364">
                  <c:v>1921.09997558593</c:v>
                </c:pt>
                <c:pt idx="365">
                  <c:v>1921.69995117187</c:v>
                </c:pt>
                <c:pt idx="366">
                  <c:v>1921.09997558593</c:v>
                </c:pt>
                <c:pt idx="367">
                  <c:v>1919.59997558593</c:v>
                </c:pt>
                <c:pt idx="368">
                  <c:v>1908.69995117187</c:v>
                </c:pt>
                <c:pt idx="369">
                  <c:v>1926.19995117187</c:v>
                </c:pt>
                <c:pt idx="370">
                  <c:v>1908.69995117187</c:v>
                </c:pt>
                <c:pt idx="371">
                  <c:v>1926.19995117187</c:v>
                </c:pt>
                <c:pt idx="372">
                  <c:v>1925</c:v>
                </c:pt>
                <c:pt idx="373">
                  <c:v>1931.30004882812</c:v>
                </c:pt>
                <c:pt idx="374">
                  <c:v>1956.19995117187</c:v>
                </c:pt>
                <c:pt idx="375">
                  <c:v>1959.19995117187</c:v>
                </c:pt>
                <c:pt idx="376">
                  <c:v>1960.09997558593</c:v>
                </c:pt>
                <c:pt idx="377">
                  <c:v>1959.19995117187</c:v>
                </c:pt>
                <c:pt idx="378">
                  <c:v>1960.09997558593</c:v>
                </c:pt>
                <c:pt idx="379">
                  <c:v>1952.40002441406</c:v>
                </c:pt>
                <c:pt idx="380">
                  <c:v>1977.19995117187</c:v>
                </c:pt>
                <c:pt idx="381">
                  <c:v>1977.5</c:v>
                </c:pt>
                <c:pt idx="382">
                  <c:v>1968.30004882812</c:v>
                </c:pt>
                <c:pt idx="383">
                  <c:v>1964.30004882812</c:v>
                </c:pt>
                <c:pt idx="384">
                  <c:v>1968.30004882812</c:v>
                </c:pt>
                <c:pt idx="385">
                  <c:v>1964.30004882812</c:v>
                </c:pt>
                <c:pt idx="386">
                  <c:v>1960.30004882812</c:v>
                </c:pt>
                <c:pt idx="387">
                  <c:v>1962.09997558593</c:v>
                </c:pt>
                <c:pt idx="388">
                  <c:v>1968.90002441406</c:v>
                </c:pt>
                <c:pt idx="389">
                  <c:v>1945.40002441406</c:v>
                </c:pt>
                <c:pt idx="390">
                  <c:v>1960.40002441406</c:v>
                </c:pt>
                <c:pt idx="391">
                  <c:v>1945.40002441406</c:v>
                </c:pt>
                <c:pt idx="392">
                  <c:v>1960.40002441406</c:v>
                </c:pt>
                <c:pt idx="393">
                  <c:v>1970.5</c:v>
                </c:pt>
                <c:pt idx="394">
                  <c:v>1940.69995117187</c:v>
                </c:pt>
                <c:pt idx="395">
                  <c:v>1937.40002441406</c:v>
                </c:pt>
                <c:pt idx="396">
                  <c:v>1932</c:v>
                </c:pt>
                <c:pt idx="397">
                  <c:v>1939.59997558593</c:v>
                </c:pt>
                <c:pt idx="398">
                  <c:v>1932</c:v>
                </c:pt>
                <c:pt idx="399">
                  <c:v>1939.59997558593</c:v>
                </c:pt>
                <c:pt idx="400">
                  <c:v>1933.5</c:v>
                </c:pt>
                <c:pt idx="401">
                  <c:v>1924.09997558593</c:v>
                </c:pt>
                <c:pt idx="402">
                  <c:v>1915.40002441406</c:v>
                </c:pt>
                <c:pt idx="403">
                  <c:v>1914.40002441406</c:v>
                </c:pt>
                <c:pt idx="404">
                  <c:v>1912.90002441406</c:v>
                </c:pt>
                <c:pt idx="405">
                  <c:v>1914.40002441406</c:v>
                </c:pt>
                <c:pt idx="406">
                  <c:v>1912.90002441406</c:v>
                </c:pt>
                <c:pt idx="407">
                  <c:v>1910.59997558593</c:v>
                </c:pt>
                <c:pt idx="408">
                  <c:v>1902.5</c:v>
                </c:pt>
                <c:pt idx="409">
                  <c:v>1896.09997558593</c:v>
                </c:pt>
                <c:pt idx="410">
                  <c:v>1884.09997558593</c:v>
                </c:pt>
                <c:pt idx="411">
                  <c:v>1886.09997558593</c:v>
                </c:pt>
                <c:pt idx="412">
                  <c:v>1884.09997558593</c:v>
                </c:pt>
                <c:pt idx="413">
                  <c:v>1886.09997558593</c:v>
                </c:pt>
                <c:pt idx="414">
                  <c:v>1893.30004882812</c:v>
                </c:pt>
                <c:pt idx="415">
                  <c:v>1896.40002441406</c:v>
                </c:pt>
                <c:pt idx="416">
                  <c:v>1918.5</c:v>
                </c:pt>
                <c:pt idx="417">
                  <c:v>1918.19995117187</c:v>
                </c:pt>
                <c:pt idx="418">
                  <c:v>1911.09997558593</c:v>
                </c:pt>
                <c:pt idx="419">
                  <c:v>1918.19995117187</c:v>
                </c:pt>
                <c:pt idx="420">
                  <c:v>1911.09997558593</c:v>
                </c:pt>
                <c:pt idx="421">
                  <c:v>1917.90002441406</c:v>
                </c:pt>
                <c:pt idx="422">
                  <c:v>1936.5</c:v>
                </c:pt>
                <c:pt idx="423">
                  <c:v>1944.30004882812</c:v>
                </c:pt>
                <c:pt idx="424">
                  <c:v>1938.19995117187</c:v>
                </c:pt>
                <c:pt idx="425">
                  <c:v>1939.80004882812</c:v>
                </c:pt>
                <c:pt idx="426">
                  <c:v>1938.19995117187</c:v>
                </c:pt>
                <c:pt idx="427">
                  <c:v>1939.80004882812</c:v>
                </c:pt>
                <c:pt idx="428">
                  <c:v>1938.19995117187</c:v>
                </c:pt>
                <c:pt idx="429">
                  <c:v>1926.19995117187</c:v>
                </c:pt>
                <c:pt idx="430">
                  <c:v>1918.09997558593</c:v>
                </c:pt>
                <c:pt idx="431">
                  <c:v>1917.5</c:v>
                </c:pt>
                <c:pt idx="432">
                  <c:v>1918.40002441406</c:v>
                </c:pt>
                <c:pt idx="433">
                  <c:v>1917.5</c:v>
                </c:pt>
                <c:pt idx="434">
                  <c:v>1918.40002441406</c:v>
                </c:pt>
                <c:pt idx="435">
                  <c:v>1923.30004882812</c:v>
                </c:pt>
                <c:pt idx="436">
                  <c:v>1911.30004882812</c:v>
                </c:pt>
                <c:pt idx="437">
                  <c:v>1909.09997558593</c:v>
                </c:pt>
                <c:pt idx="438">
                  <c:v>1910</c:v>
                </c:pt>
                <c:pt idx="439">
                  <c:v>1923.69995117187</c:v>
                </c:pt>
                <c:pt idx="440">
                  <c:v>1910</c:v>
                </c:pt>
                <c:pt idx="441">
                  <c:v>1923.69995117187</c:v>
                </c:pt>
                <c:pt idx="442">
                  <c:v>1931.5</c:v>
                </c:pt>
                <c:pt idx="443">
                  <c:v>1932</c:v>
                </c:pt>
                <c:pt idx="444">
                  <c:v>1945.59997558593</c:v>
                </c:pt>
                <c:pt idx="445">
                  <c:v>1919.19995117187</c:v>
                </c:pt>
                <c:pt idx="446">
                  <c:v>1925.40002441406</c:v>
                </c:pt>
                <c:pt idx="447">
                  <c:v>1919.19995117187</c:v>
                </c:pt>
                <c:pt idx="448">
                  <c:v>1925.40002441406</c:v>
                </c:pt>
                <c:pt idx="449">
                  <c:v>1916.59997558593</c:v>
                </c:pt>
                <c:pt idx="450">
                  <c:v>1900.40002441406</c:v>
                </c:pt>
                <c:pt idx="451">
                  <c:v>1871.59997558593</c:v>
                </c:pt>
                <c:pt idx="452">
                  <c:v>1860.40002441406</c:v>
                </c:pt>
                <c:pt idx="453">
                  <c:v>1848.09997558593</c:v>
                </c:pt>
                <c:pt idx="454">
                  <c:v>1860.40002441406</c:v>
                </c:pt>
                <c:pt idx="455">
                  <c:v>1848.09997558593</c:v>
                </c:pt>
                <c:pt idx="456">
                  <c:v>1830</c:v>
                </c:pt>
                <c:pt idx="457">
                  <c:v>1824.59997558593</c:v>
                </c:pt>
                <c:pt idx="458">
                  <c:v>1818.5</c:v>
                </c:pt>
                <c:pt idx="459">
                  <c:v>1816.59997558593</c:v>
                </c:pt>
                <c:pt idx="460">
                  <c:v>1830.19995117187</c:v>
                </c:pt>
                <c:pt idx="461">
                  <c:v>1816.59997558593</c:v>
                </c:pt>
                <c:pt idx="462">
                  <c:v>1830.19995117187</c:v>
                </c:pt>
                <c:pt idx="463">
                  <c:v>1849.5</c:v>
                </c:pt>
                <c:pt idx="464">
                  <c:v>1861</c:v>
                </c:pt>
                <c:pt idx="465">
                  <c:v>1872.80004882812</c:v>
                </c:pt>
                <c:pt idx="466">
                  <c:v>1869.30004882812</c:v>
                </c:pt>
                <c:pt idx="467">
                  <c:v>1927.40002441406</c:v>
                </c:pt>
                <c:pt idx="468">
                  <c:v>1869.30004882812</c:v>
                </c:pt>
                <c:pt idx="469">
                  <c:v>1927.40002441406</c:v>
                </c:pt>
                <c:pt idx="470">
                  <c:v>1921.09997558593</c:v>
                </c:pt>
                <c:pt idx="471">
                  <c:v>1922.69995117187</c:v>
                </c:pt>
                <c:pt idx="472">
                  <c:v>1955.30004882812</c:v>
                </c:pt>
                <c:pt idx="473">
                  <c:v>1968.40002441406</c:v>
                </c:pt>
                <c:pt idx="474">
                  <c:v>1982.5</c:v>
                </c:pt>
                <c:pt idx="475">
                  <c:v>1968.40002441406</c:v>
                </c:pt>
                <c:pt idx="476">
                  <c:v>1982.5</c:v>
                </c:pt>
                <c:pt idx="477">
                  <c:v>1976.30004882812</c:v>
                </c:pt>
                <c:pt idx="478">
                  <c:v>1975</c:v>
                </c:pt>
                <c:pt idx="479">
                  <c:v>1984.09997558593</c:v>
                </c:pt>
                <c:pt idx="480">
                  <c:v>1987.19995117187</c:v>
                </c:pt>
                <c:pt idx="481">
                  <c:v>1988.59997558593</c:v>
                </c:pt>
                <c:pt idx="482">
                  <c:v>1987.19995117187</c:v>
                </c:pt>
                <c:pt idx="483">
                  <c:v>1988.59997558593</c:v>
                </c:pt>
                <c:pt idx="484">
                  <c:v>1996.19995117187</c:v>
                </c:pt>
                <c:pt idx="485">
                  <c:v>1985.19995117187</c:v>
                </c:pt>
                <c:pt idx="486">
                  <c:v>1978.80004882812</c:v>
                </c:pt>
                <c:pt idx="487">
                  <c:v>1985.59997558593</c:v>
                </c:pt>
                <c:pt idx="488">
                  <c:v>1991.5</c:v>
                </c:pt>
                <c:pt idx="489">
                  <c:v>1985.59997558593</c:v>
                </c:pt>
                <c:pt idx="490">
                  <c:v>1991.5</c:v>
                </c:pt>
                <c:pt idx="491">
                  <c:v>1981.59997558593</c:v>
                </c:pt>
                <c:pt idx="492">
                  <c:v>1966.80004882812</c:v>
                </c:pt>
                <c:pt idx="493">
                  <c:v>1951.5</c:v>
                </c:pt>
                <c:pt idx="494">
                  <c:v>1964.19995117187</c:v>
                </c:pt>
                <c:pt idx="495">
                  <c:v>1932.59997558593</c:v>
                </c:pt>
                <c:pt idx="496">
                  <c:v>1964.19995117187</c:v>
                </c:pt>
                <c:pt idx="497">
                  <c:v>1932.59997558593</c:v>
                </c:pt>
                <c:pt idx="498">
                  <c:v>1945.5</c:v>
                </c:pt>
                <c:pt idx="499">
                  <c:v>1961.80004882812</c:v>
                </c:pt>
                <c:pt idx="500">
                  <c:v>1960.09997558593</c:v>
                </c:pt>
                <c:pt idx="501">
                  <c:v>1983.90002441406</c:v>
                </c:pt>
                <c:pt idx="502">
                  <c:v>1981.59997558593</c:v>
                </c:pt>
                <c:pt idx="503">
                  <c:v>1983.90002441406</c:v>
                </c:pt>
                <c:pt idx="504">
                  <c:v>1981.59997558593</c:v>
                </c:pt>
                <c:pt idx="505">
                  <c:v>1977.69995117187</c:v>
                </c:pt>
                <c:pt idx="506">
                  <c:v>1999.30004882812</c:v>
                </c:pt>
                <c:pt idx="507">
                  <c:v>1991.40002441406</c:v>
                </c:pt>
                <c:pt idx="508">
                  <c:v>1999.30004882812</c:v>
                </c:pt>
                <c:pt idx="509">
                  <c:v>2002.19995117187</c:v>
                </c:pt>
                <c:pt idx="510">
                  <c:v>1999.30004882812</c:v>
                </c:pt>
                <c:pt idx="511">
                  <c:v>2002.19995117187</c:v>
                </c:pt>
                <c:pt idx="512">
                  <c:v>2011.80004882812</c:v>
                </c:pt>
                <c:pt idx="513">
                  <c:v>2039.69995117187</c:v>
                </c:pt>
                <c:pt idx="514">
                  <c:v>2047.09997558593</c:v>
                </c:pt>
                <c:pt idx="515">
                  <c:v>2038.09997558593</c:v>
                </c:pt>
                <c:pt idx="516">
                  <c:v>2071</c:v>
                </c:pt>
                <c:pt idx="517">
                  <c:v>2038.09997558593</c:v>
                </c:pt>
                <c:pt idx="518">
                  <c:v>2071</c:v>
                </c:pt>
                <c:pt idx="519">
                  <c:v>2024.09997558593</c:v>
                </c:pt>
                <c:pt idx="520">
                  <c:v>2018.5</c:v>
                </c:pt>
                <c:pt idx="521">
                  <c:v>2030.5</c:v>
                </c:pt>
                <c:pt idx="522">
                  <c:v>2029.90002441406</c:v>
                </c:pt>
                <c:pt idx="523">
                  <c:v>1998.30004882812</c:v>
                </c:pt>
                <c:pt idx="524">
                  <c:v>2029.90002441406</c:v>
                </c:pt>
                <c:pt idx="525">
                  <c:v>1998.30004882812</c:v>
                </c:pt>
                <c:pt idx="526">
                  <c:v>1978</c:v>
                </c:pt>
                <c:pt idx="527">
                  <c:v>1977.80004882812</c:v>
                </c:pt>
                <c:pt idx="528">
                  <c:v>1982.30004882812</c:v>
                </c:pt>
                <c:pt idx="529">
                  <c:v>2030.19995117187</c:v>
                </c:pt>
                <c:pt idx="530">
                  <c:v>2021.09997558593</c:v>
                </c:pt>
                <c:pt idx="531">
                  <c:v>2030.19995117187</c:v>
                </c:pt>
                <c:pt idx="532">
                  <c:v>2021.09997558593</c:v>
                </c:pt>
                <c:pt idx="533">
                  <c:v>2026.30004882812</c:v>
                </c:pt>
                <c:pt idx="534">
                  <c:v>2038.40002441406</c:v>
                </c:pt>
                <c:pt idx="535">
                  <c:v>2034.5</c:v>
                </c:pt>
                <c:pt idx="536">
                  <c:v>2039.09997558593</c:v>
                </c:pt>
                <c:pt idx="537">
                  <c:v>2057.10009765625</c:v>
                </c:pt>
                <c:pt idx="538">
                  <c:v>2039.09997558593</c:v>
                </c:pt>
                <c:pt idx="539">
                  <c:v>2057.10009765625</c:v>
                </c:pt>
                <c:pt idx="540">
                  <c:v>2039.09997558593</c:v>
                </c:pt>
                <c:pt idx="541">
                  <c:v>2058.19995117187</c:v>
                </c:pt>
                <c:pt idx="542">
                  <c:v>2081.89990234375</c:v>
                </c:pt>
                <c:pt idx="543">
                  <c:v>2073.89990234375</c:v>
                </c:pt>
                <c:pt idx="544">
                  <c:v>2062.39990234375</c:v>
                </c:pt>
                <c:pt idx="545">
                  <c:v>2073.89990234375</c:v>
                </c:pt>
                <c:pt idx="546">
                  <c:v>2062.39990234375</c:v>
                </c:pt>
                <c:pt idx="547">
                  <c:v>2073.89990234375</c:v>
                </c:pt>
                <c:pt idx="548">
                  <c:v>2064.39990234375</c:v>
                </c:pt>
                <c:pt idx="549">
                  <c:v>2034.19995117187</c:v>
                </c:pt>
                <c:pt idx="550">
                  <c:v>2042.30004882812</c:v>
                </c:pt>
                <c:pt idx="551">
                  <c:v>2042.40002441406</c:v>
                </c:pt>
                <c:pt idx="552">
                  <c:v>2042.30004882812</c:v>
                </c:pt>
                <c:pt idx="553">
                  <c:v>2042.40002441406</c:v>
                </c:pt>
                <c:pt idx="554">
                  <c:v>2026.59997558593</c:v>
                </c:pt>
                <c:pt idx="555">
                  <c:v>2026.40002441406</c:v>
                </c:pt>
                <c:pt idx="556">
                  <c:v>2021.69995117187</c:v>
                </c:pt>
                <c:pt idx="557">
                  <c:v>2014.30004882812</c:v>
                </c:pt>
                <c:pt idx="558">
                  <c:v>2046.69995117187</c:v>
                </c:pt>
                <c:pt idx="559">
                  <c:v>2014.30004882812</c:v>
                </c:pt>
                <c:pt idx="560">
                  <c:v>2046.69995117187</c:v>
                </c:pt>
                <c:pt idx="561">
                  <c:v>2014.30004882812</c:v>
                </c:pt>
                <c:pt idx="562">
                  <c:v>2026</c:v>
                </c:pt>
                <c:pt idx="563">
                  <c:v>2002.59997558593</c:v>
                </c:pt>
                <c:pt idx="564">
                  <c:v>2018.59997558593</c:v>
                </c:pt>
                <c:pt idx="565">
                  <c:v>2026.5</c:v>
                </c:pt>
                <c:pt idx="566">
                  <c:v>2018.59997558593</c:v>
                </c:pt>
                <c:pt idx="567">
                  <c:v>2026.5</c:v>
                </c:pt>
                <c:pt idx="568">
                  <c:v>2019.80004882812</c:v>
                </c:pt>
                <c:pt idx="569">
                  <c:v>2023.69995117187</c:v>
                </c:pt>
                <c:pt idx="570">
                  <c:v>2013.90002441406</c:v>
                </c:pt>
                <c:pt idx="571">
                  <c:v>2016.90002441406</c:v>
                </c:pt>
                <c:pt idx="572">
                  <c:v>2016.80004882812</c:v>
                </c:pt>
                <c:pt idx="573">
                  <c:v>2016.90002441406</c:v>
                </c:pt>
                <c:pt idx="574">
                  <c:v>2016.80004882812</c:v>
                </c:pt>
                <c:pt idx="575">
                  <c:v>2025.19995117187</c:v>
                </c:pt>
                <c:pt idx="576">
                  <c:v>2031.5</c:v>
                </c:pt>
                <c:pt idx="577">
                  <c:v>2048.39990234375</c:v>
                </c:pt>
                <c:pt idx="578">
                  <c:v>2053</c:v>
                </c:pt>
                <c:pt idx="579">
                  <c:v>2036.09997558593</c:v>
                </c:pt>
                <c:pt idx="580">
                  <c:v>2053</c:v>
                </c:pt>
                <c:pt idx="581">
                  <c:v>2036.09997558593</c:v>
                </c:pt>
                <c:pt idx="582">
                  <c:v>2025.69995117187</c:v>
                </c:pt>
                <c:pt idx="583">
                  <c:v>2034.5</c:v>
                </c:pt>
                <c:pt idx="584">
                  <c:v>2035.19995117187</c:v>
                </c:pt>
                <c:pt idx="585">
                  <c:v>2032.19995117187</c:v>
                </c:pt>
                <c:pt idx="586">
                  <c:v>2023.30004882812</c:v>
                </c:pt>
                <c:pt idx="587">
                  <c:v>2032.19995117187</c:v>
                </c:pt>
                <c:pt idx="588">
                  <c:v>2023.30004882812</c:v>
                </c:pt>
                <c:pt idx="589">
                  <c:v>2018.19995117187</c:v>
                </c:pt>
                <c:pt idx="590">
                  <c:v>1992.90002441406</c:v>
                </c:pt>
                <c:pt idx="591">
                  <c:v>1990.30004882812</c:v>
                </c:pt>
                <c:pt idx="592">
                  <c:v>2002.09997558593</c:v>
                </c:pt>
                <c:pt idx="593">
                  <c:v>2011.5</c:v>
                </c:pt>
                <c:pt idx="594">
                  <c:v>2002.09997558593</c:v>
                </c:pt>
                <c:pt idx="595">
                  <c:v>2011.5</c:v>
                </c:pt>
                <c:pt idx="596">
                  <c:v>2002.09997558593</c:v>
                </c:pt>
                <c:pt idx="597">
                  <c:v>2027.5</c:v>
                </c:pt>
                <c:pt idx="598">
                  <c:v>2022.30004882812</c:v>
                </c:pt>
                <c:pt idx="599">
                  <c:v>2019.69995117187</c:v>
                </c:pt>
                <c:pt idx="600">
                  <c:v>2038.59997558593</c:v>
                </c:pt>
                <c:pt idx="601">
                  <c:v>2019.69995117187</c:v>
                </c:pt>
                <c:pt idx="602">
                  <c:v>2038.59997558593</c:v>
                </c:pt>
                <c:pt idx="603">
                  <c:v>2028.5</c:v>
                </c:pt>
                <c:pt idx="604">
                  <c:v>2034</c:v>
                </c:pt>
                <c:pt idx="605">
                  <c:v>2033</c:v>
                </c:pt>
                <c:pt idx="606">
                  <c:v>2045.69995117187</c:v>
                </c:pt>
                <c:pt idx="607">
                  <c:v>2086.89990234375</c:v>
                </c:pt>
                <c:pt idx="608">
                  <c:v>2045.69995117187</c:v>
                </c:pt>
                <c:pt idx="609">
                  <c:v>2086.89990234375</c:v>
                </c:pt>
                <c:pt idx="610">
                  <c:v>2117.69995117187</c:v>
                </c:pt>
                <c:pt idx="611">
                  <c:v>2133.5</c:v>
                </c:pt>
                <c:pt idx="612">
                  <c:v>2150.30004882812</c:v>
                </c:pt>
                <c:pt idx="613">
                  <c:v>2158</c:v>
                </c:pt>
                <c:pt idx="614">
                  <c:v>2178.60009765625</c:v>
                </c:pt>
                <c:pt idx="615">
                  <c:v>2158</c:v>
                </c:pt>
                <c:pt idx="616">
                  <c:v>2178.60009765625</c:v>
                </c:pt>
                <c:pt idx="617">
                  <c:v>2182.5</c:v>
                </c:pt>
                <c:pt idx="618">
                  <c:v>2160.39990234375</c:v>
                </c:pt>
                <c:pt idx="619">
                  <c:v>2175.39990234375</c:v>
                </c:pt>
                <c:pt idx="620">
                  <c:v>2163</c:v>
                </c:pt>
                <c:pt idx="621">
                  <c:v>2157.30004882812</c:v>
                </c:pt>
                <c:pt idx="622">
                  <c:v>2163</c:v>
                </c:pt>
                <c:pt idx="623">
                  <c:v>2157.30004882812</c:v>
                </c:pt>
                <c:pt idx="624">
                  <c:v>2160.69995117187</c:v>
                </c:pt>
                <c:pt idx="625">
                  <c:v>2156.30004882812</c:v>
                </c:pt>
                <c:pt idx="626">
                  <c:v>2157.89990234375</c:v>
                </c:pt>
                <c:pt idx="627">
                  <c:v>2182.39990234375</c:v>
                </c:pt>
                <c:pt idx="628">
                  <c:v>2158.10009765625</c:v>
                </c:pt>
                <c:pt idx="629">
                  <c:v>2182.39990234375</c:v>
                </c:pt>
                <c:pt idx="630">
                  <c:v>2158.10009765625</c:v>
                </c:pt>
                <c:pt idx="631">
                  <c:v>2174.80004882812</c:v>
                </c:pt>
                <c:pt idx="632">
                  <c:v>2175.60009765625</c:v>
                </c:pt>
                <c:pt idx="633">
                  <c:v>2190.60009765625</c:v>
                </c:pt>
                <c:pt idx="634">
                  <c:v>2217.39990234375</c:v>
                </c:pt>
                <c:pt idx="635">
                  <c:v>2190.60009765625</c:v>
                </c:pt>
                <c:pt idx="636">
                  <c:v>2217.39990234375</c:v>
                </c:pt>
                <c:pt idx="637">
                  <c:v>2190.60009765625</c:v>
                </c:pt>
                <c:pt idx="638">
                  <c:v>2236.5</c:v>
                </c:pt>
                <c:pt idx="639">
                  <c:v>2261</c:v>
                </c:pt>
                <c:pt idx="640">
                  <c:v>2294.39990234375</c:v>
                </c:pt>
                <c:pt idx="641">
                  <c:v>2288.80004882812</c:v>
                </c:pt>
                <c:pt idx="642">
                  <c:v>2325.69995117187</c:v>
                </c:pt>
                <c:pt idx="643">
                  <c:v>2288.80004882812</c:v>
                </c:pt>
                <c:pt idx="644">
                  <c:v>2325.69995117187</c:v>
                </c:pt>
                <c:pt idx="645">
                  <c:v>2331.69995117187</c:v>
                </c:pt>
                <c:pt idx="646">
                  <c:v>2343.5</c:v>
                </c:pt>
                <c:pt idx="647">
                  <c:v>2329.60009765625</c:v>
                </c:pt>
                <c:pt idx="648">
                  <c:v>2354.80004882812</c:v>
                </c:pt>
                <c:pt idx="649">
                  <c:v>2356.19995117187</c:v>
                </c:pt>
                <c:pt idx="650">
                  <c:v>2354.80004882812</c:v>
                </c:pt>
                <c:pt idx="651">
                  <c:v>2356.19995117187</c:v>
                </c:pt>
                <c:pt idx="652">
                  <c:v>2365.80004882812</c:v>
                </c:pt>
                <c:pt idx="653">
                  <c:v>2390.80004882812</c:v>
                </c:pt>
                <c:pt idx="654">
                  <c:v>2371.69995117187</c:v>
                </c:pt>
                <c:pt idx="655">
                  <c:v>2382.30004882812</c:v>
                </c:pt>
                <c:pt idx="656">
                  <c:v>2398.39990234375</c:v>
                </c:pt>
                <c:pt idx="657">
                  <c:v>2382.30004882812</c:v>
                </c:pt>
                <c:pt idx="658">
                  <c:v>2398.39990234375</c:v>
                </c:pt>
                <c:pt idx="659">
                  <c:v>2332.19995117187</c:v>
                </c:pt>
                <c:pt idx="660">
                  <c:v>2327.69995117187</c:v>
                </c:pt>
                <c:pt idx="661">
                  <c:v>2324.5</c:v>
                </c:pt>
                <c:pt idx="662">
                  <c:v>2329.80004882812</c:v>
                </c:pt>
                <c:pt idx="663">
                  <c:v>2334.80004882812</c:v>
                </c:pt>
                <c:pt idx="664">
                  <c:v>2329.80004882812</c:v>
                </c:pt>
                <c:pt idx="665">
                  <c:v>2334.80004882812</c:v>
                </c:pt>
                <c:pt idx="666">
                  <c:v>2345.39990234375</c:v>
                </c:pt>
                <c:pt idx="667">
                  <c:v>2291.39990234375</c:v>
                </c:pt>
                <c:pt idx="668">
                  <c:v>2299.89990234375</c:v>
                </c:pt>
                <c:pt idx="669">
                  <c:v>2299.19995117187</c:v>
                </c:pt>
                <c:pt idx="670">
                  <c:v>2299</c:v>
                </c:pt>
                <c:pt idx="671">
                  <c:v>2299.19995117187</c:v>
                </c:pt>
                <c:pt idx="672">
                  <c:v>2299</c:v>
                </c:pt>
                <c:pt idx="673">
                  <c:v>2321.60009765625</c:v>
                </c:pt>
                <c:pt idx="674">
                  <c:v>2315.19995117187</c:v>
                </c:pt>
                <c:pt idx="675">
                  <c:v>2313.60009765625</c:v>
                </c:pt>
                <c:pt idx="676">
                  <c:v>2332.10009765625</c:v>
                </c:pt>
                <c:pt idx="677">
                  <c:v>2367.30004882812</c:v>
                </c:pt>
                <c:pt idx="678">
                  <c:v>2332.10009765625</c:v>
                </c:pt>
                <c:pt idx="679">
                  <c:v>2367.30004882812</c:v>
                </c:pt>
                <c:pt idx="680">
                  <c:v>2336.10009765625</c:v>
                </c:pt>
                <c:pt idx="681">
                  <c:v>2353.39990234375</c:v>
                </c:pt>
                <c:pt idx="682">
                  <c:v>2388.69995117187</c:v>
                </c:pt>
                <c:pt idx="683">
                  <c:v>2380</c:v>
                </c:pt>
                <c:pt idx="684">
                  <c:v>2412.19995117187</c:v>
                </c:pt>
                <c:pt idx="685">
                  <c:v>2380</c:v>
                </c:pt>
                <c:pt idx="686">
                  <c:v>2412.19995117187</c:v>
                </c:pt>
                <c:pt idx="687">
                  <c:v>2433.89990234375</c:v>
                </c:pt>
                <c:pt idx="688">
                  <c:v>2421.69995117187</c:v>
                </c:pt>
                <c:pt idx="689">
                  <c:v>2389.19995117187</c:v>
                </c:pt>
                <c:pt idx="690">
                  <c:v>2335</c:v>
                </c:pt>
                <c:pt idx="691">
                  <c:v>2332.5</c:v>
                </c:pt>
                <c:pt idx="692">
                  <c:v>2335</c:v>
                </c:pt>
                <c:pt idx="693">
                  <c:v>2332.5</c:v>
                </c:pt>
                <c:pt idx="694">
                  <c:v>2335</c:v>
                </c:pt>
                <c:pt idx="695">
                  <c:v>2355.19995117187</c:v>
                </c:pt>
                <c:pt idx="696">
                  <c:v>2340.30004882812</c:v>
                </c:pt>
                <c:pt idx="697">
                  <c:v>2342.89990234375</c:v>
                </c:pt>
                <c:pt idx="698">
                  <c:v>2322.89990234375</c:v>
                </c:pt>
                <c:pt idx="699">
                  <c:v>2342.89990234375</c:v>
                </c:pt>
                <c:pt idx="700">
                  <c:v>2322.89990234375</c:v>
                </c:pt>
                <c:pt idx="701">
                  <c:v>2346.60009765625</c:v>
                </c:pt>
                <c:pt idx="702">
                  <c:v>2325.5</c:v>
                </c:pt>
                <c:pt idx="703">
                  <c:v>2354.10009765625</c:v>
                </c:pt>
                <c:pt idx="704">
                  <c:v>2370.30004882812</c:v>
                </c:pt>
                <c:pt idx="705">
                  <c:v>2305.19995117187</c:v>
                </c:pt>
                <c:pt idx="706">
                  <c:v>2370.30004882812</c:v>
                </c:pt>
                <c:pt idx="707">
                  <c:v>2305.19995117187</c:v>
                </c:pt>
                <c:pt idx="708">
                  <c:v>2307.69995117187</c:v>
                </c:pt>
                <c:pt idx="709">
                  <c:v>2307.5</c:v>
                </c:pt>
                <c:pt idx="710">
                  <c:v>2336</c:v>
                </c:pt>
                <c:pt idx="711">
                  <c:v>2300.19995117187</c:v>
                </c:pt>
                <c:pt idx="712">
                  <c:v>2331.39990234375</c:v>
                </c:pt>
                <c:pt idx="713">
                  <c:v>2300.19995117187</c:v>
                </c:pt>
                <c:pt idx="714">
                  <c:v>2331.39990234375</c:v>
                </c:pt>
                <c:pt idx="715">
                  <c:v>2312.39990234375</c:v>
                </c:pt>
                <c:pt idx="716">
                  <c:v>2330.39990234375</c:v>
                </c:pt>
                <c:pt idx="717">
                  <c:v>2312.39990234375</c:v>
                </c:pt>
                <c:pt idx="718">
                  <c:v>2353.80004882812</c:v>
                </c:pt>
                <c:pt idx="719">
                  <c:v>2316.39990234375</c:v>
                </c:pt>
                <c:pt idx="720">
                  <c:v>2353.80004882812</c:v>
                </c:pt>
                <c:pt idx="721">
                  <c:v>2316.39990234375</c:v>
                </c:pt>
                <c:pt idx="722">
                  <c:v>2330</c:v>
                </c:pt>
                <c:pt idx="723">
                  <c:v>2316.60009765625</c:v>
                </c:pt>
                <c:pt idx="724">
                  <c:v>2299.19995117187</c:v>
                </c:pt>
                <c:pt idx="725">
                  <c:v>2324.5</c:v>
                </c:pt>
                <c:pt idx="726">
                  <c:v>2327.69995117187</c:v>
                </c:pt>
                <c:pt idx="727">
                  <c:v>2324.5</c:v>
                </c:pt>
                <c:pt idx="728">
                  <c:v>2327.69995117187</c:v>
                </c:pt>
                <c:pt idx="729">
                  <c:v>2327.60009765625</c:v>
                </c:pt>
                <c:pt idx="730">
                  <c:v>2323</c:v>
                </c:pt>
                <c:pt idx="731">
                  <c:v>2359.80004882812</c:v>
                </c:pt>
                <c:pt idx="732">
                  <c:v>2323</c:v>
                </c:pt>
                <c:pt idx="733">
                  <c:v>2388.5</c:v>
                </c:pt>
                <c:pt idx="734">
                  <c:v>2323</c:v>
                </c:pt>
                <c:pt idx="735">
                  <c:v>2388.5</c:v>
                </c:pt>
                <c:pt idx="736">
                  <c:v>2355.19995117187</c:v>
                </c:pt>
                <c:pt idx="737">
                  <c:v>2360.10009765625</c:v>
                </c:pt>
                <c:pt idx="738">
                  <c:v>2372.19995117187</c:v>
                </c:pt>
                <c:pt idx="739">
                  <c:v>2415</c:v>
                </c:pt>
                <c:pt idx="740">
                  <c:v>2414</c:v>
                </c:pt>
                <c:pt idx="741">
                  <c:v>2415</c:v>
                </c:pt>
                <c:pt idx="742">
                  <c:v>2414</c:v>
                </c:pt>
                <c:pt idx="743">
                  <c:v>2422.89990234375</c:v>
                </c:pt>
                <c:pt idx="744">
                  <c:v>2462.39990234375</c:v>
                </c:pt>
                <c:pt idx="745">
                  <c:v>2454.80004882812</c:v>
                </c:pt>
                <c:pt idx="746">
                  <c:v>2451.80004882812</c:v>
                </c:pt>
                <c:pt idx="747">
                  <c:v>2395.5</c:v>
                </c:pt>
                <c:pt idx="748">
                  <c:v>2451.80004882812</c:v>
                </c:pt>
                <c:pt idx="749">
                  <c:v>2395.5</c:v>
                </c:pt>
                <c:pt idx="750">
                  <c:v>2392</c:v>
                </c:pt>
                <c:pt idx="751">
                  <c:v>2404.60009765625</c:v>
                </c:pt>
                <c:pt idx="752">
                  <c:v>2413.30004882812</c:v>
                </c:pt>
                <c:pt idx="753">
                  <c:v>2351.89990234375</c:v>
                </c:pt>
                <c:pt idx="754">
                  <c:v>2380</c:v>
                </c:pt>
                <c:pt idx="755">
                  <c:v>2351.89990234375</c:v>
                </c:pt>
                <c:pt idx="756">
                  <c:v>2380</c:v>
                </c:pt>
                <c:pt idx="757">
                  <c:v>2377.30004882812</c:v>
                </c:pt>
                <c:pt idx="758">
                  <c:v>2405</c:v>
                </c:pt>
                <c:pt idx="759">
                  <c:v>2426.5</c:v>
                </c:pt>
                <c:pt idx="760">
                  <c:v>2435</c:v>
                </c:pt>
                <c:pt idx="761">
                  <c:v>2425.69995117187</c:v>
                </c:pt>
                <c:pt idx="762">
                  <c:v>2435</c:v>
                </c:pt>
                <c:pt idx="763">
                  <c:v>2425.69995117187</c:v>
                </c:pt>
                <c:pt idx="764">
                  <c:v>2401.69995117187</c:v>
                </c:pt>
                <c:pt idx="765">
                  <c:v>2389.10009765625</c:v>
                </c:pt>
                <c:pt idx="766">
                  <c:v>2390.5</c:v>
                </c:pt>
                <c:pt idx="767">
                  <c:v>2422.19995117187</c:v>
                </c:pt>
                <c:pt idx="768">
                  <c:v>2432.10009765625</c:v>
                </c:pt>
                <c:pt idx="769">
                  <c:v>2422.19995117187</c:v>
                </c:pt>
                <c:pt idx="770">
                  <c:v>2432.10009765625</c:v>
                </c:pt>
                <c:pt idx="771">
                  <c:v>2462.39990234375</c:v>
                </c:pt>
                <c:pt idx="772">
                  <c:v>2466.69995117187</c:v>
                </c:pt>
                <c:pt idx="773">
                  <c:v>2439.39990234375</c:v>
                </c:pt>
                <c:pt idx="774">
                  <c:v>2453.10009765625</c:v>
                </c:pt>
                <c:pt idx="775">
                  <c:v>2498.60009765625</c:v>
                </c:pt>
                <c:pt idx="776">
                  <c:v>2453.10009765625</c:v>
                </c:pt>
                <c:pt idx="777">
                  <c:v>2498.60009765625</c:v>
                </c:pt>
                <c:pt idx="778">
                  <c:v>2501.80004882812</c:v>
                </c:pt>
                <c:pt idx="779">
                  <c:v>2511.30004882812</c:v>
                </c:pt>
                <c:pt idx="780">
                  <c:v>2508.39990234375</c:v>
                </c:pt>
                <c:pt idx="781">
                  <c:v>2478.89990234375</c:v>
                </c:pt>
                <c:pt idx="782">
                  <c:v>2508.39990234375</c:v>
                </c:pt>
                <c:pt idx="783">
                  <c:v>2478.89990234375</c:v>
                </c:pt>
                <c:pt idx="784">
                  <c:v>2508.39990234375</c:v>
                </c:pt>
                <c:pt idx="785">
                  <c:v>2517.69995117187</c:v>
                </c:pt>
                <c:pt idx="786">
                  <c:v>2516</c:v>
                </c:pt>
                <c:pt idx="787">
                  <c:v>2501</c:v>
                </c:pt>
                <c:pt idx="788">
                  <c:v>2525.69995117187</c:v>
                </c:pt>
                <c:pt idx="789">
                  <c:v>2493.80004882812</c:v>
                </c:pt>
                <c:pt idx="790">
                  <c:v>2525.69995117187</c:v>
                </c:pt>
                <c:pt idx="791">
                  <c:v>2493.80004882812</c:v>
                </c:pt>
                <c:pt idx="792">
                  <c:v>2525.69995117187</c:v>
                </c:pt>
                <c:pt idx="793">
                  <c:v>2489.89990234375</c:v>
                </c:pt>
                <c:pt idx="794">
                  <c:v>2493.39990234375</c:v>
                </c:pt>
                <c:pt idx="795">
                  <c:v>2511.39990234375</c:v>
                </c:pt>
                <c:pt idx="796">
                  <c:v>2493.5</c:v>
                </c:pt>
                <c:pt idx="797">
                  <c:v>2511.39990234375</c:v>
                </c:pt>
                <c:pt idx="798">
                  <c:v>2493.5</c:v>
                </c:pt>
                <c:pt idx="799">
                  <c:v>2501.80004882812</c:v>
                </c:pt>
                <c:pt idx="800">
                  <c:v>2512.30004882812</c:v>
                </c:pt>
                <c:pt idx="801">
                  <c:v>2512.10009765625</c:v>
                </c:pt>
                <c:pt idx="802">
                  <c:v>2551.19995117187</c:v>
                </c:pt>
                <c:pt idx="803">
                  <c:v>2581.30004882812</c:v>
                </c:pt>
                <c:pt idx="804">
                  <c:v>2551.19995117187</c:v>
                </c:pt>
                <c:pt idx="805">
                  <c:v>2581.30004882812</c:v>
                </c:pt>
                <c:pt idx="806">
                  <c:v>2580.39990234375</c:v>
                </c:pt>
                <c:pt idx="807">
                  <c:v>2564.30004882812</c:v>
                </c:pt>
                <c:pt idx="808">
                  <c:v>2570.69995117187</c:v>
                </c:pt>
                <c:pt idx="809">
                  <c:v>2588</c:v>
                </c:pt>
                <c:pt idx="810">
                  <c:v>2619.89990234375</c:v>
                </c:pt>
                <c:pt idx="811">
                  <c:v>2588</c:v>
                </c:pt>
                <c:pt idx="812">
                  <c:v>2619.89990234375</c:v>
                </c:pt>
                <c:pt idx="813">
                  <c:v>2626.5</c:v>
                </c:pt>
                <c:pt idx="814">
                  <c:v>2651.19995117187</c:v>
                </c:pt>
                <c:pt idx="815">
                  <c:v>2659.19995117187</c:v>
                </c:pt>
                <c:pt idx="816">
                  <c:v>2669.89990234375</c:v>
                </c:pt>
                <c:pt idx="817">
                  <c:v>2644.30004882812</c:v>
                </c:pt>
                <c:pt idx="818">
                  <c:v>2669.89990234375</c:v>
                </c:pt>
                <c:pt idx="819">
                  <c:v>2644.30004882812</c:v>
                </c:pt>
                <c:pt idx="820">
                  <c:v>2636.10009765625</c:v>
                </c:pt>
                <c:pt idx="821">
                  <c:v>2667.30004882812</c:v>
                </c:pt>
                <c:pt idx="822">
                  <c:v>2647.10009765625</c:v>
                </c:pt>
                <c:pt idx="823">
                  <c:v>2657.10009765625</c:v>
                </c:pt>
                <c:pt idx="824">
                  <c:v>2645.80004882812</c:v>
                </c:pt>
                <c:pt idx="825">
                  <c:v>2657.10009765625</c:v>
                </c:pt>
                <c:pt idx="826">
                  <c:v>2645.80004882812</c:v>
                </c:pt>
                <c:pt idx="827">
                  <c:v>2644.80004882812</c:v>
                </c:pt>
                <c:pt idx="828">
                  <c:v>2615</c:v>
                </c:pt>
                <c:pt idx="829">
                  <c:v>2606</c:v>
                </c:pt>
                <c:pt idx="830">
                  <c:v>2620.60009765625</c:v>
                </c:pt>
                <c:pt idx="831">
                  <c:v>2657.60009765625</c:v>
                </c:pt>
                <c:pt idx="832">
                  <c:v>2620.60009765625</c:v>
                </c:pt>
                <c:pt idx="833">
                  <c:v>2657.60009765625</c:v>
                </c:pt>
                <c:pt idx="834">
                  <c:v>2647.80004882812</c:v>
                </c:pt>
                <c:pt idx="835">
                  <c:v>2661.39990234375</c:v>
                </c:pt>
                <c:pt idx="836">
                  <c:v>2674</c:v>
                </c:pt>
                <c:pt idx="837">
                  <c:v>2691</c:v>
                </c:pt>
                <c:pt idx="838">
                  <c:v>2713.69995117187</c:v>
                </c:pt>
                <c:pt idx="839">
                  <c:v>2691</c:v>
                </c:pt>
                <c:pt idx="840">
                  <c:v>2713.69995117187</c:v>
                </c:pt>
                <c:pt idx="841">
                  <c:v>2723.10009765625</c:v>
                </c:pt>
                <c:pt idx="842">
                  <c:v>2744.19995117187</c:v>
                </c:pt>
                <c:pt idx="843">
                  <c:v>2714.39990234375</c:v>
                </c:pt>
                <c:pt idx="844">
                  <c:v>2734.89990234375</c:v>
                </c:pt>
                <c:pt idx="845">
                  <c:v>2740.89990234375</c:v>
                </c:pt>
                <c:pt idx="846">
                  <c:v>2734.89990234375</c:v>
                </c:pt>
                <c:pt idx="847">
                  <c:v>2740.89990234375</c:v>
                </c:pt>
                <c:pt idx="848">
                  <c:v>2742.89990234375</c:v>
                </c:pt>
                <c:pt idx="849">
                  <c:v>2768.39990234375</c:v>
                </c:pt>
                <c:pt idx="850">
                  <c:v>2788.5</c:v>
                </c:pt>
                <c:pt idx="851">
                  <c:v>2738.30004882812</c:v>
                </c:pt>
                <c:pt idx="852">
                  <c:v>2738.60009765625</c:v>
                </c:pt>
                <c:pt idx="853">
                  <c:v>2738.30004882812</c:v>
                </c:pt>
                <c:pt idx="854">
                  <c:v>2738.60009765625</c:v>
                </c:pt>
                <c:pt idx="855">
                  <c:v>2736.10009765625</c:v>
                </c:pt>
                <c:pt idx="856">
                  <c:v>2740.30004882812</c:v>
                </c:pt>
                <c:pt idx="857">
                  <c:v>2667.60009765625</c:v>
                </c:pt>
                <c:pt idx="858">
                  <c:v>2698.39990234375</c:v>
                </c:pt>
                <c:pt idx="859">
                  <c:v>2687.5</c:v>
                </c:pt>
                <c:pt idx="860">
                  <c:v>2698.39990234375</c:v>
                </c:pt>
                <c:pt idx="861">
                  <c:v>2687.5</c:v>
                </c:pt>
                <c:pt idx="862">
                  <c:v>2611.19995117187</c:v>
                </c:pt>
                <c:pt idx="863">
                  <c:v>2600</c:v>
                </c:pt>
                <c:pt idx="864">
                  <c:v>2580.80004882812</c:v>
                </c:pt>
                <c:pt idx="865">
                  <c:v>2568.19995117187</c:v>
                </c:pt>
                <c:pt idx="866">
                  <c:v>2565.69995117187</c:v>
                </c:pt>
                <c:pt idx="867">
                  <c:v>2568.19995117187</c:v>
                </c:pt>
                <c:pt idx="868">
                  <c:v>2565.69995117187</c:v>
                </c:pt>
                <c:pt idx="869">
                  <c:v>2610.60009765625</c:v>
                </c:pt>
                <c:pt idx="870">
                  <c:v>2627.10009765625</c:v>
                </c:pt>
                <c:pt idx="871">
                  <c:v>2648.19995117187</c:v>
                </c:pt>
                <c:pt idx="872">
                  <c:v>2672.10009765625</c:v>
                </c:pt>
                <c:pt idx="873">
                  <c:v>2709.89990234375</c:v>
                </c:pt>
                <c:pt idx="874">
                  <c:v>2672.10009765625</c:v>
                </c:pt>
                <c:pt idx="875">
                  <c:v>2709.89990234375</c:v>
                </c:pt>
                <c:pt idx="876">
                  <c:v>2616.80004882812</c:v>
                </c:pt>
                <c:pt idx="877">
                  <c:v>2620.30004882812</c:v>
                </c:pt>
                <c:pt idx="878">
                  <c:v>2639.89990234375</c:v>
                </c:pt>
                <c:pt idx="879">
                  <c:v>2620.30004882812</c:v>
                </c:pt>
                <c:pt idx="880">
                  <c:v>2657</c:v>
                </c:pt>
                <c:pt idx="881">
                  <c:v>2620.30004882812</c:v>
                </c:pt>
                <c:pt idx="882">
                  <c:v>2657</c:v>
                </c:pt>
                <c:pt idx="883">
                  <c:v>2634.89990234375</c:v>
                </c:pt>
                <c:pt idx="884">
                  <c:v>2644.69995117187</c:v>
                </c:pt>
                <c:pt idx="885">
                  <c:v>2653.80004882812</c:v>
                </c:pt>
                <c:pt idx="886">
                  <c:v>2626.60009765625</c:v>
                </c:pt>
                <c:pt idx="887">
                  <c:v>2638.60009765625</c:v>
                </c:pt>
                <c:pt idx="888">
                  <c:v>2626.60009765625</c:v>
                </c:pt>
                <c:pt idx="889">
                  <c:v>2638.60009765625</c:v>
                </c:pt>
                <c:pt idx="890">
                  <c:v>2664.89990234375</c:v>
                </c:pt>
                <c:pt idx="891">
                  <c:v>2697.60009765625</c:v>
                </c:pt>
                <c:pt idx="892">
                  <c:v>2733.80004882812</c:v>
                </c:pt>
                <c:pt idx="893">
                  <c:v>2687.5</c:v>
                </c:pt>
                <c:pt idx="894">
                  <c:v>2656</c:v>
                </c:pt>
                <c:pt idx="895">
                  <c:v>2687.5</c:v>
                </c:pt>
                <c:pt idx="896">
                  <c:v>2656</c:v>
                </c:pt>
                <c:pt idx="897">
                  <c:v>2651.39990234375</c:v>
                </c:pt>
                <c:pt idx="898">
                  <c:v>2644.39990234375</c:v>
                </c:pt>
                <c:pt idx="899">
                  <c:v>2636.5</c:v>
                </c:pt>
                <c:pt idx="900">
                  <c:v>2592.19995117187</c:v>
                </c:pt>
                <c:pt idx="901">
                  <c:v>2628.69995117187</c:v>
                </c:pt>
                <c:pt idx="902">
                  <c:v>2592.19995117187</c:v>
                </c:pt>
                <c:pt idx="903">
                  <c:v>2628.69995117187</c:v>
                </c:pt>
                <c:pt idx="904">
                  <c:v>2612.30004882812</c:v>
                </c:pt>
                <c:pt idx="905">
                  <c:v>2620</c:v>
                </c:pt>
                <c:pt idx="906">
                  <c:v>2612.30004882812</c:v>
                </c:pt>
                <c:pt idx="907">
                  <c:v>2638.80004882812</c:v>
                </c:pt>
                <c:pt idx="908">
                  <c:v>2617.19995117187</c:v>
                </c:pt>
                <c:pt idx="909">
                  <c:v>2638.80004882812</c:v>
                </c:pt>
                <c:pt idx="910">
                  <c:v>2617.19995117187</c:v>
                </c:pt>
                <c:pt idx="911">
                  <c:v>2606.10009765625</c:v>
                </c:pt>
                <c:pt idx="912">
                  <c:v>2629.19995117187</c:v>
                </c:pt>
                <c:pt idx="913">
                  <c:v>2606.10009765625</c:v>
                </c:pt>
                <c:pt idx="914">
                  <c:v>2658.89990234375</c:v>
                </c:pt>
                <c:pt idx="915">
                  <c:v>2645</c:v>
                </c:pt>
                <c:pt idx="916">
                  <c:v>2658.89990234375</c:v>
                </c:pt>
                <c:pt idx="917">
                  <c:v>2645</c:v>
                </c:pt>
                <c:pt idx="918">
                  <c:v>2638.39990234375</c:v>
                </c:pt>
                <c:pt idx="919">
                  <c:v>2656.69995117187</c:v>
                </c:pt>
                <c:pt idx="920">
                  <c:v>2664.5</c:v>
                </c:pt>
                <c:pt idx="921">
                  <c:v>2683.80004882812</c:v>
                </c:pt>
                <c:pt idx="922">
                  <c:v>2708.5</c:v>
                </c:pt>
                <c:pt idx="923">
                  <c:v>2683.80004882812</c:v>
                </c:pt>
                <c:pt idx="924">
                  <c:v>2708.5</c:v>
                </c:pt>
                <c:pt idx="925">
                  <c:v>2673.5</c:v>
                </c:pt>
                <c:pt idx="926">
                  <c:v>2677.5</c:v>
                </c:pt>
                <c:pt idx="927">
                  <c:v>2712.5</c:v>
                </c:pt>
                <c:pt idx="928">
                  <c:v>2746.39990234375</c:v>
                </c:pt>
                <c:pt idx="929">
                  <c:v>2744.30004882812</c:v>
                </c:pt>
                <c:pt idx="930">
                  <c:v>2746.39990234375</c:v>
                </c:pt>
                <c:pt idx="931">
                  <c:v>2744.30004882812</c:v>
                </c:pt>
                <c:pt idx="932">
                  <c:v>2746.39990234375</c:v>
                </c:pt>
                <c:pt idx="933">
                  <c:v>2755</c:v>
                </c:pt>
                <c:pt idx="934">
                  <c:v>2767.60009765625</c:v>
                </c:pt>
                <c:pt idx="935">
                  <c:v>2763.10009765625</c:v>
                </c:pt>
                <c:pt idx="936">
                  <c:v>2777.30004882812</c:v>
                </c:pt>
                <c:pt idx="937">
                  <c:v>2763.10009765625</c:v>
                </c:pt>
                <c:pt idx="938">
                  <c:v>2777.30004882812</c:v>
                </c:pt>
                <c:pt idx="939">
                  <c:v>2737.5</c:v>
                </c:pt>
                <c:pt idx="940">
                  <c:v>2766.80004882812</c:v>
                </c:pt>
                <c:pt idx="941">
                  <c:v>2769.10009765625</c:v>
                </c:pt>
                <c:pt idx="942">
                  <c:v>2823</c:v>
                </c:pt>
                <c:pt idx="943">
                  <c:v>2812.5</c:v>
                </c:pt>
                <c:pt idx="944">
                  <c:v>2823</c:v>
                </c:pt>
                <c:pt idx="945">
                  <c:v>2812.5</c:v>
                </c:pt>
                <c:pt idx="946">
                  <c:v>2833.89990234375</c:v>
                </c:pt>
                <c:pt idx="947">
                  <c:v>2853.30004882812</c:v>
                </c:pt>
                <c:pt idx="948">
                  <c:v>2871.60009765625</c:v>
                </c:pt>
                <c:pt idx="949">
                  <c:v>2856</c:v>
                </c:pt>
                <c:pt idx="950">
                  <c:v>2867.30004882812</c:v>
                </c:pt>
                <c:pt idx="951">
                  <c:v>2856</c:v>
                </c:pt>
                <c:pt idx="952">
                  <c:v>2867.30004882812</c:v>
                </c:pt>
                <c:pt idx="953">
                  <c:v>2914.30004882812</c:v>
                </c:pt>
                <c:pt idx="954">
                  <c:v>2912.5</c:v>
                </c:pt>
                <c:pt idx="955">
                  <c:v>2909</c:v>
                </c:pt>
                <c:pt idx="956">
                  <c:v>2925.89990234375</c:v>
                </c:pt>
                <c:pt idx="957">
                  <c:v>2883.60009765625</c:v>
                </c:pt>
                <c:pt idx="958">
                  <c:v>2925.89990234375</c:v>
                </c:pt>
                <c:pt idx="959">
                  <c:v>2883.60009765625</c:v>
                </c:pt>
                <c:pt idx="960">
                  <c:v>2925.89990234375</c:v>
                </c:pt>
                <c:pt idx="961">
                  <c:v>2931.60009765625</c:v>
                </c:pt>
                <c:pt idx="962">
                  <c:v>2919.39990234375</c:v>
                </c:pt>
                <c:pt idx="963">
                  <c:v>2940</c:v>
                </c:pt>
                <c:pt idx="964">
                  <c:v>2937.60009765625</c:v>
                </c:pt>
                <c:pt idx="965">
                  <c:v>2940</c:v>
                </c:pt>
                <c:pt idx="966">
                  <c:v>2937.60009765625</c:v>
                </c:pt>
                <c:pt idx="967">
                  <c:v>2947.89990234375</c:v>
                </c:pt>
                <c:pt idx="968">
                  <c:v>2904.5</c:v>
                </c:pt>
                <c:pt idx="969">
                  <c:v>2916.80004882812</c:v>
                </c:pt>
                <c:pt idx="970">
                  <c:v>2883.19995117187</c:v>
                </c:pt>
                <c:pt idx="971">
                  <c:v>2836.80004882812</c:v>
                </c:pt>
                <c:pt idx="972">
                  <c:v>2883.19995117187</c:v>
                </c:pt>
                <c:pt idx="973">
                  <c:v>2836.80004882812</c:v>
                </c:pt>
                <c:pt idx="974">
                  <c:v>2890.19995117187</c:v>
                </c:pt>
                <c:pt idx="975">
                  <c:v>2909.60009765625</c:v>
                </c:pt>
                <c:pt idx="976">
                  <c:v>2915.30004882812</c:v>
                </c:pt>
                <c:pt idx="977">
                  <c:v>2916.60009765625</c:v>
                </c:pt>
                <c:pt idx="978">
                  <c:v>2904.69995117187</c:v>
                </c:pt>
                <c:pt idx="979">
                  <c:v>2916.60009765625</c:v>
                </c:pt>
                <c:pt idx="980">
                  <c:v>2904.69995117187</c:v>
                </c:pt>
                <c:pt idx="981">
                  <c:v>2891</c:v>
                </c:pt>
                <c:pt idx="982">
                  <c:v>2912.89990234375</c:v>
                </c:pt>
                <c:pt idx="983">
                  <c:v>2939.10009765625</c:v>
                </c:pt>
                <c:pt idx="984">
                  <c:v>2984.30004882812</c:v>
                </c:pt>
                <c:pt idx="985">
                  <c:v>2994.5</c:v>
                </c:pt>
                <c:pt idx="986">
                  <c:v>2984.30004882812</c:v>
                </c:pt>
                <c:pt idx="987">
                  <c:v>2994.5</c:v>
                </c:pt>
                <c:pt idx="988">
                  <c:v>3000</c:v>
                </c:pt>
                <c:pt idx="989">
                  <c:v>3035.10009765625</c:v>
                </c:pt>
                <c:pt idx="990">
                  <c:v>3035.89990234375</c:v>
                </c:pt>
                <c:pt idx="991">
                  <c:v>3040</c:v>
                </c:pt>
                <c:pt idx="992">
                  <c:v>3018.19995117187</c:v>
                </c:pt>
                <c:pt idx="993">
                  <c:v>3040</c:v>
                </c:pt>
                <c:pt idx="994">
                  <c:v>3018.19995117187</c:v>
                </c:pt>
                <c:pt idx="995">
                  <c:v>3013.10009765625</c:v>
                </c:pt>
                <c:pt idx="996">
                  <c:v>3023.69995117187</c:v>
                </c:pt>
                <c:pt idx="997">
                  <c:v>3020.89990234375</c:v>
                </c:pt>
                <c:pt idx="998">
                  <c:v>3060.19995117187</c:v>
                </c:pt>
                <c:pt idx="999">
                  <c:v>3086.5</c:v>
                </c:pt>
                <c:pt idx="1000">
                  <c:v>3060.19995117187</c:v>
                </c:pt>
              </c:numCache>
            </c:numRef>
          </c:val>
          <c:smooth val="0"/>
          <c:extLst>
            <c:ext xmlns:c16="http://schemas.microsoft.com/office/drawing/2014/chart" uri="{C3380CC4-5D6E-409C-BE32-E72D297353CC}">
              <c16:uniqueId val="{00000003-F6B7-4188-AAFA-0D1DB85AED1A}"/>
            </c:ext>
          </c:extLst>
        </c:ser>
        <c:dLbls>
          <c:showLegendKey val="0"/>
          <c:showVal val="0"/>
          <c:showCatName val="0"/>
          <c:showSerName val="0"/>
          <c:showPercent val="0"/>
          <c:showBubbleSize val="0"/>
        </c:dLbls>
        <c:marker val="1"/>
        <c:smooth val="0"/>
        <c:axId val="365904416"/>
        <c:axId val="365901056"/>
      </c:lineChart>
      <c:catAx>
        <c:axId val="3994553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Fecha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99459200"/>
        <c:crosses val="autoZero"/>
        <c:auto val="1"/>
        <c:lblAlgn val="ctr"/>
        <c:lblOffset val="100"/>
        <c:noMultiLvlLbl val="0"/>
      </c:catAx>
      <c:valAx>
        <c:axId val="399459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BTC Precio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99455360"/>
        <c:crosses val="autoZero"/>
        <c:crossBetween val="between"/>
      </c:valAx>
      <c:valAx>
        <c:axId val="36590105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AR"/>
                  <a:t>Gold</a:t>
                </a:r>
                <a:r>
                  <a:rPr lang="es-AR" baseline="0"/>
                  <a:t> Precio</a:t>
                </a:r>
                <a:endParaRPr lang="es-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65904416"/>
        <c:crosses val="max"/>
        <c:crossBetween val="between"/>
      </c:valAx>
      <c:catAx>
        <c:axId val="365904416"/>
        <c:scaling>
          <c:orientation val="minMax"/>
        </c:scaling>
        <c:delete val="1"/>
        <c:axPos val="b"/>
        <c:numFmt formatCode="General" sourceLinked="1"/>
        <c:majorTickMark val="out"/>
        <c:minorTickMark val="none"/>
        <c:tickLblPos val="nextTo"/>
        <c:crossAx val="3659010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[FerreiraFabianBTCfinal.xlsm]BTC-index sentimiento!TablaDinámica10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a:t>BTC</a:t>
            </a:r>
            <a:r>
              <a:rPr lang="es-AR" baseline="0"/>
              <a:t> comparado con el Índex de sentimiento</a:t>
            </a:r>
            <a:endParaRPr lang="es-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5875" cap="rnd" cmpd="sng">
            <a:gradFill flip="none" rotWithShape="1">
              <a:gsLst>
                <a:gs pos="0">
                  <a:srgbClr val="FF0000">
                    <a:lumMod val="100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prstDash val="sysDot"/>
            <a:bevel/>
            <a:tailEnd w="sm" len="sm"/>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5875" cap="rnd" cmpd="sng">
            <a:gradFill flip="none" rotWithShape="1">
              <a:gsLst>
                <a:gs pos="0">
                  <a:srgbClr val="FF0000">
                    <a:lumMod val="100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prstDash val="sysDot"/>
            <a:bevel/>
            <a:tailEnd w="sm" len="sm"/>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ln w="47625" cap="rnd" cmpd="sng">
            <a:gradFill flip="none" rotWithShape="1">
              <a:gsLst>
                <a:gs pos="0">
                  <a:srgbClr val="FF0000">
                    <a:lumMod val="100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prstDash val="sysDot"/>
            <a:bevel/>
            <a:tailEnd w="sm" len="sm"/>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ln w="47625" cap="rnd" cmpd="sng">
            <a:gradFill flip="none" rotWithShape="1">
              <a:gsLst>
                <a:gs pos="0">
                  <a:srgbClr val="FF0000">
                    <a:lumMod val="100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prstDash val="sysDot"/>
            <a:bevel/>
            <a:tailEnd w="sm" len="sm"/>
          </a:ln>
          <a:effectLst/>
        </c:spPr>
        <c:marker>
          <c:symbol val="none"/>
        </c:marker>
      </c:pivotFmt>
    </c:pivotFmts>
    <c:plotArea>
      <c:layout>
        <c:manualLayout>
          <c:layoutTarget val="inner"/>
          <c:xMode val="edge"/>
          <c:yMode val="edge"/>
          <c:x val="7.8604374093215801E-2"/>
          <c:y val="0.15541188318357432"/>
          <c:w val="0.65398279030382245"/>
          <c:h val="0.59186932100317924"/>
        </c:manualLayout>
      </c:layout>
      <c:lineChart>
        <c:grouping val="standard"/>
        <c:varyColors val="0"/>
        <c:ser>
          <c:idx val="0"/>
          <c:order val="0"/>
          <c:tx>
            <c:strRef>
              <c:f>'BTC-index sentimiento'!$C$3</c:f>
              <c:strCache>
                <c:ptCount val="1"/>
                <c:pt idx="0">
                  <c:v>Promedio de cierre BTC</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'BTC-index sentimiento'!$B$4:$B$1005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'BTC-index sentimiento'!$C$4:$C$1005</c:f>
              <c:numCache>
                <c:formatCode>_("$"* #,##0.00_);_("$"* \(#,##0.00\);_("$"* "-"??_);_(@_)</c:formatCode>
                <c:ptCount val="1001"/>
                <c:pt idx="0">
                  <c:v>20231.259999999998</c:v>
                </c:pt>
                <c:pt idx="1">
                  <c:v>20190.12</c:v>
                </c:pt>
                <c:pt idx="2">
                  <c:v>20548.25</c:v>
                </c:pt>
                <c:pt idx="3">
                  <c:v>21637.59</c:v>
                </c:pt>
                <c:pt idx="4">
                  <c:v>21731.119999999999</c:v>
                </c:pt>
                <c:pt idx="5">
                  <c:v>21592.21</c:v>
                </c:pt>
                <c:pt idx="6">
                  <c:v>20860.45</c:v>
                </c:pt>
                <c:pt idx="7">
                  <c:v>19970.560000000001</c:v>
                </c:pt>
                <c:pt idx="8">
                  <c:v>19323.91</c:v>
                </c:pt>
                <c:pt idx="9">
                  <c:v>20212.07</c:v>
                </c:pt>
                <c:pt idx="10">
                  <c:v>20569.919999999998</c:v>
                </c:pt>
                <c:pt idx="11">
                  <c:v>20836.330000000002</c:v>
                </c:pt>
                <c:pt idx="12">
                  <c:v>21190.32</c:v>
                </c:pt>
                <c:pt idx="13">
                  <c:v>20779.34</c:v>
                </c:pt>
                <c:pt idx="14">
                  <c:v>22485.69</c:v>
                </c:pt>
                <c:pt idx="15">
                  <c:v>23389.43</c:v>
                </c:pt>
                <c:pt idx="16">
                  <c:v>23231.73</c:v>
                </c:pt>
                <c:pt idx="17">
                  <c:v>23164.63</c:v>
                </c:pt>
                <c:pt idx="18">
                  <c:v>22714.98</c:v>
                </c:pt>
                <c:pt idx="19">
                  <c:v>22465.48</c:v>
                </c:pt>
                <c:pt idx="20">
                  <c:v>22609.16</c:v>
                </c:pt>
                <c:pt idx="21">
                  <c:v>21361.7</c:v>
                </c:pt>
                <c:pt idx="22">
                  <c:v>21239.75</c:v>
                </c:pt>
                <c:pt idx="23">
                  <c:v>22930.55</c:v>
                </c:pt>
                <c:pt idx="24">
                  <c:v>23843.89</c:v>
                </c:pt>
                <c:pt idx="25">
                  <c:v>23804.63</c:v>
                </c:pt>
                <c:pt idx="26">
                  <c:v>23656.21</c:v>
                </c:pt>
                <c:pt idx="27">
                  <c:v>23336.9</c:v>
                </c:pt>
                <c:pt idx="28">
                  <c:v>23314.2</c:v>
                </c:pt>
                <c:pt idx="29">
                  <c:v>22978.12</c:v>
                </c:pt>
                <c:pt idx="30">
                  <c:v>22846.51</c:v>
                </c:pt>
                <c:pt idx="31">
                  <c:v>22630.959999999999</c:v>
                </c:pt>
                <c:pt idx="32">
                  <c:v>23289.31</c:v>
                </c:pt>
                <c:pt idx="33">
                  <c:v>22961.279999999999</c:v>
                </c:pt>
                <c:pt idx="34">
                  <c:v>23175.89</c:v>
                </c:pt>
                <c:pt idx="35">
                  <c:v>23809.49</c:v>
                </c:pt>
                <c:pt idx="36">
                  <c:v>23164.32</c:v>
                </c:pt>
                <c:pt idx="37">
                  <c:v>23947.64</c:v>
                </c:pt>
                <c:pt idx="38">
                  <c:v>23957.53</c:v>
                </c:pt>
                <c:pt idx="39">
                  <c:v>24402.82</c:v>
                </c:pt>
                <c:pt idx="40">
                  <c:v>24424.07</c:v>
                </c:pt>
                <c:pt idx="41">
                  <c:v>24319.33</c:v>
                </c:pt>
                <c:pt idx="42">
                  <c:v>24136.97</c:v>
                </c:pt>
                <c:pt idx="43">
                  <c:v>23883.29</c:v>
                </c:pt>
                <c:pt idx="44">
                  <c:v>23336</c:v>
                </c:pt>
                <c:pt idx="45">
                  <c:v>23212.74</c:v>
                </c:pt>
                <c:pt idx="46">
                  <c:v>20877.55</c:v>
                </c:pt>
                <c:pt idx="47">
                  <c:v>21166.06</c:v>
                </c:pt>
                <c:pt idx="48">
                  <c:v>21534.12</c:v>
                </c:pt>
                <c:pt idx="49">
                  <c:v>21398.91</c:v>
                </c:pt>
                <c:pt idx="50">
                  <c:v>21528.09</c:v>
                </c:pt>
                <c:pt idx="51">
                  <c:v>21395.02</c:v>
                </c:pt>
                <c:pt idx="52">
                  <c:v>21600.9</c:v>
                </c:pt>
                <c:pt idx="53">
                  <c:v>20260.02</c:v>
                </c:pt>
                <c:pt idx="54">
                  <c:v>20041.740000000002</c:v>
                </c:pt>
                <c:pt idx="55">
                  <c:v>19616.810000000001</c:v>
                </c:pt>
                <c:pt idx="56">
                  <c:v>20297.990000000002</c:v>
                </c:pt>
                <c:pt idx="57">
                  <c:v>19796.810000000001</c:v>
                </c:pt>
                <c:pt idx="58">
                  <c:v>20049.759999999998</c:v>
                </c:pt>
                <c:pt idx="59">
                  <c:v>20127.14</c:v>
                </c:pt>
                <c:pt idx="60">
                  <c:v>19969.77</c:v>
                </c:pt>
                <c:pt idx="61">
                  <c:v>19832.09</c:v>
                </c:pt>
                <c:pt idx="62">
                  <c:v>19986.71</c:v>
                </c:pt>
                <c:pt idx="63">
                  <c:v>19812.37</c:v>
                </c:pt>
                <c:pt idx="64">
                  <c:v>18837.669999999998</c:v>
                </c:pt>
                <c:pt idx="65">
                  <c:v>19290.32</c:v>
                </c:pt>
                <c:pt idx="66">
                  <c:v>19329.830000000002</c:v>
                </c:pt>
                <c:pt idx="67">
                  <c:v>21381.15</c:v>
                </c:pt>
                <c:pt idx="68">
                  <c:v>21680.54</c:v>
                </c:pt>
                <c:pt idx="69">
                  <c:v>21769.26</c:v>
                </c:pt>
                <c:pt idx="70">
                  <c:v>22370.45</c:v>
                </c:pt>
                <c:pt idx="71">
                  <c:v>20296.71</c:v>
                </c:pt>
                <c:pt idx="72">
                  <c:v>20241.09</c:v>
                </c:pt>
                <c:pt idx="73">
                  <c:v>19701.21</c:v>
                </c:pt>
                <c:pt idx="74">
                  <c:v>19772.580000000002</c:v>
                </c:pt>
                <c:pt idx="75">
                  <c:v>20127.580000000002</c:v>
                </c:pt>
                <c:pt idx="76">
                  <c:v>19419.509999999998</c:v>
                </c:pt>
                <c:pt idx="77">
                  <c:v>19544.13</c:v>
                </c:pt>
                <c:pt idx="78">
                  <c:v>18890.79</c:v>
                </c:pt>
                <c:pt idx="79">
                  <c:v>18547.400000000001</c:v>
                </c:pt>
                <c:pt idx="80">
                  <c:v>19413.55</c:v>
                </c:pt>
                <c:pt idx="81">
                  <c:v>19297.64</c:v>
                </c:pt>
                <c:pt idx="82">
                  <c:v>18937.009999999998</c:v>
                </c:pt>
                <c:pt idx="83">
                  <c:v>18802.099999999999</c:v>
                </c:pt>
                <c:pt idx="84">
                  <c:v>19222.669999999998</c:v>
                </c:pt>
                <c:pt idx="85">
                  <c:v>19110.55</c:v>
                </c:pt>
                <c:pt idx="86">
                  <c:v>19426.72</c:v>
                </c:pt>
                <c:pt idx="87">
                  <c:v>19573.05</c:v>
                </c:pt>
                <c:pt idx="88">
                  <c:v>19431.79</c:v>
                </c:pt>
                <c:pt idx="89">
                  <c:v>19312.099999999999</c:v>
                </c:pt>
                <c:pt idx="90">
                  <c:v>19044.11</c:v>
                </c:pt>
                <c:pt idx="91">
                  <c:v>19623.580000000002</c:v>
                </c:pt>
                <c:pt idx="92">
                  <c:v>20336.84</c:v>
                </c:pt>
                <c:pt idx="93">
                  <c:v>20160.72</c:v>
                </c:pt>
                <c:pt idx="94">
                  <c:v>19955.439999999999</c:v>
                </c:pt>
                <c:pt idx="95">
                  <c:v>19546.849999999999</c:v>
                </c:pt>
                <c:pt idx="96">
                  <c:v>19416.57</c:v>
                </c:pt>
                <c:pt idx="97">
                  <c:v>19446.43</c:v>
                </c:pt>
                <c:pt idx="98">
                  <c:v>19141.48</c:v>
                </c:pt>
                <c:pt idx="99">
                  <c:v>19051.419999999998</c:v>
                </c:pt>
                <c:pt idx="100">
                  <c:v>19157.45</c:v>
                </c:pt>
                <c:pt idx="101">
                  <c:v>19382.900000000001</c:v>
                </c:pt>
                <c:pt idx="102">
                  <c:v>19185.66</c:v>
                </c:pt>
                <c:pt idx="103">
                  <c:v>19067.63</c:v>
                </c:pt>
                <c:pt idx="104">
                  <c:v>19268.09</c:v>
                </c:pt>
                <c:pt idx="105">
                  <c:v>19550.759999999998</c:v>
                </c:pt>
                <c:pt idx="106">
                  <c:v>19334.419999999998</c:v>
                </c:pt>
                <c:pt idx="107">
                  <c:v>19139.54</c:v>
                </c:pt>
                <c:pt idx="108">
                  <c:v>19053.740000000002</c:v>
                </c:pt>
                <c:pt idx="109">
                  <c:v>19172.47</c:v>
                </c:pt>
                <c:pt idx="110">
                  <c:v>19208.189999999999</c:v>
                </c:pt>
                <c:pt idx="111">
                  <c:v>19567.009999999998</c:v>
                </c:pt>
                <c:pt idx="112">
                  <c:v>19345.57</c:v>
                </c:pt>
                <c:pt idx="113">
                  <c:v>20095.86</c:v>
                </c:pt>
                <c:pt idx="114">
                  <c:v>20770.439999999999</c:v>
                </c:pt>
                <c:pt idx="115">
                  <c:v>20285.84</c:v>
                </c:pt>
                <c:pt idx="116">
                  <c:v>20595.349999999999</c:v>
                </c:pt>
                <c:pt idx="117">
                  <c:v>20818.48</c:v>
                </c:pt>
                <c:pt idx="118">
                  <c:v>20635.599999999999</c:v>
                </c:pt>
                <c:pt idx="119">
                  <c:v>20495.77</c:v>
                </c:pt>
                <c:pt idx="120">
                  <c:v>20485.27</c:v>
                </c:pt>
                <c:pt idx="121">
                  <c:v>20159.5</c:v>
                </c:pt>
                <c:pt idx="122">
                  <c:v>20209.990000000002</c:v>
                </c:pt>
                <c:pt idx="123">
                  <c:v>21147.23</c:v>
                </c:pt>
                <c:pt idx="124">
                  <c:v>21282.69</c:v>
                </c:pt>
                <c:pt idx="125">
                  <c:v>20926.490000000002</c:v>
                </c:pt>
                <c:pt idx="126">
                  <c:v>20602.82</c:v>
                </c:pt>
                <c:pt idx="127">
                  <c:v>18541.27</c:v>
                </c:pt>
                <c:pt idx="128">
                  <c:v>15880.78</c:v>
                </c:pt>
                <c:pt idx="129">
                  <c:v>17586.77</c:v>
                </c:pt>
                <c:pt idx="130">
                  <c:v>17034.29</c:v>
                </c:pt>
                <c:pt idx="131">
                  <c:v>16799.189999999999</c:v>
                </c:pt>
                <c:pt idx="132">
                  <c:v>16353.37</c:v>
                </c:pt>
                <c:pt idx="133">
                  <c:v>16618.2</c:v>
                </c:pt>
                <c:pt idx="134">
                  <c:v>16884.61</c:v>
                </c:pt>
                <c:pt idx="135">
                  <c:v>16669.439999999999</c:v>
                </c:pt>
                <c:pt idx="136">
                  <c:v>16687.52</c:v>
                </c:pt>
                <c:pt idx="137">
                  <c:v>16697.78</c:v>
                </c:pt>
                <c:pt idx="138">
                  <c:v>16711.55</c:v>
                </c:pt>
                <c:pt idx="139">
                  <c:v>16291.83</c:v>
                </c:pt>
                <c:pt idx="140">
                  <c:v>15787.28</c:v>
                </c:pt>
                <c:pt idx="141">
                  <c:v>16189.77</c:v>
                </c:pt>
                <c:pt idx="142">
                  <c:v>16610.71</c:v>
                </c:pt>
                <c:pt idx="143">
                  <c:v>16604.46</c:v>
                </c:pt>
                <c:pt idx="144">
                  <c:v>16521.84</c:v>
                </c:pt>
                <c:pt idx="145">
                  <c:v>16464.28</c:v>
                </c:pt>
                <c:pt idx="146">
                  <c:v>16444.63</c:v>
                </c:pt>
                <c:pt idx="147">
                  <c:v>16217.32</c:v>
                </c:pt>
                <c:pt idx="148">
                  <c:v>16444.98</c:v>
                </c:pt>
                <c:pt idx="149">
                  <c:v>17168.57</c:v>
                </c:pt>
                <c:pt idx="150">
                  <c:v>16967.13</c:v>
                </c:pt>
                <c:pt idx="151">
                  <c:v>17088.66</c:v>
                </c:pt>
                <c:pt idx="152">
                  <c:v>16908.240000000002</c:v>
                </c:pt>
                <c:pt idx="153">
                  <c:v>17130.490000000002</c:v>
                </c:pt>
                <c:pt idx="154">
                  <c:v>16974.830000000002</c:v>
                </c:pt>
                <c:pt idx="155">
                  <c:v>17089.5</c:v>
                </c:pt>
                <c:pt idx="156">
                  <c:v>16848.13</c:v>
                </c:pt>
                <c:pt idx="157">
                  <c:v>17233.47</c:v>
                </c:pt>
                <c:pt idx="158">
                  <c:v>17133.150000000001</c:v>
                </c:pt>
                <c:pt idx="159">
                  <c:v>17128.72</c:v>
                </c:pt>
                <c:pt idx="160">
                  <c:v>17104.189999999999</c:v>
                </c:pt>
                <c:pt idx="161">
                  <c:v>17206.439999999999</c:v>
                </c:pt>
                <c:pt idx="162">
                  <c:v>17781.32</c:v>
                </c:pt>
                <c:pt idx="163">
                  <c:v>17815.650000000001</c:v>
                </c:pt>
                <c:pt idx="164">
                  <c:v>17364.87</c:v>
                </c:pt>
                <c:pt idx="165">
                  <c:v>16647.48</c:v>
                </c:pt>
                <c:pt idx="166">
                  <c:v>16795.09</c:v>
                </c:pt>
                <c:pt idx="167">
                  <c:v>16757.98</c:v>
                </c:pt>
                <c:pt idx="168">
                  <c:v>16439.68</c:v>
                </c:pt>
                <c:pt idx="169">
                  <c:v>16906.3</c:v>
                </c:pt>
                <c:pt idx="170">
                  <c:v>16817.54</c:v>
                </c:pt>
                <c:pt idx="171">
                  <c:v>16830.34</c:v>
                </c:pt>
                <c:pt idx="172">
                  <c:v>16796.95</c:v>
                </c:pt>
                <c:pt idx="173">
                  <c:v>16847.759999999998</c:v>
                </c:pt>
                <c:pt idx="174">
                  <c:v>16841.990000000002</c:v>
                </c:pt>
                <c:pt idx="175">
                  <c:v>16919.8</c:v>
                </c:pt>
                <c:pt idx="176">
                  <c:v>16717.169999999998</c:v>
                </c:pt>
                <c:pt idx="177">
                  <c:v>16552.57</c:v>
                </c:pt>
                <c:pt idx="178">
                  <c:v>16642.34</c:v>
                </c:pt>
                <c:pt idx="179">
                  <c:v>16602.59</c:v>
                </c:pt>
                <c:pt idx="180">
                  <c:v>16547.5</c:v>
                </c:pt>
                <c:pt idx="181">
                  <c:v>16625.080000000002</c:v>
                </c:pt>
                <c:pt idx="182">
                  <c:v>16688.47</c:v>
                </c:pt>
                <c:pt idx="183">
                  <c:v>16679.86</c:v>
                </c:pt>
                <c:pt idx="184">
                  <c:v>16863.240000000002</c:v>
                </c:pt>
                <c:pt idx="185">
                  <c:v>16836.740000000002</c:v>
                </c:pt>
                <c:pt idx="186">
                  <c:v>16951.97</c:v>
                </c:pt>
                <c:pt idx="187">
                  <c:v>16955.080000000002</c:v>
                </c:pt>
                <c:pt idx="188">
                  <c:v>17091.14</c:v>
                </c:pt>
                <c:pt idx="189">
                  <c:v>17196.55</c:v>
                </c:pt>
                <c:pt idx="190">
                  <c:v>17446.29</c:v>
                </c:pt>
                <c:pt idx="191">
                  <c:v>17934.900000000001</c:v>
                </c:pt>
                <c:pt idx="192">
                  <c:v>18869.59</c:v>
                </c:pt>
                <c:pt idx="193">
                  <c:v>19909.57</c:v>
                </c:pt>
                <c:pt idx="194">
                  <c:v>20976.3</c:v>
                </c:pt>
                <c:pt idx="195">
                  <c:v>20880.8</c:v>
                </c:pt>
                <c:pt idx="196">
                  <c:v>21169.63</c:v>
                </c:pt>
                <c:pt idx="197">
                  <c:v>21161.52</c:v>
                </c:pt>
                <c:pt idx="198">
                  <c:v>20688.78</c:v>
                </c:pt>
                <c:pt idx="199">
                  <c:v>21086.79</c:v>
                </c:pt>
                <c:pt idx="200">
                  <c:v>22676.55</c:v>
                </c:pt>
                <c:pt idx="201">
                  <c:v>22777.63</c:v>
                </c:pt>
                <c:pt idx="202">
                  <c:v>22720.42</c:v>
                </c:pt>
                <c:pt idx="203">
                  <c:v>22934.43</c:v>
                </c:pt>
                <c:pt idx="204">
                  <c:v>22636.47</c:v>
                </c:pt>
                <c:pt idx="205">
                  <c:v>23117.86</c:v>
                </c:pt>
                <c:pt idx="206">
                  <c:v>23032.78</c:v>
                </c:pt>
                <c:pt idx="207">
                  <c:v>23078.73</c:v>
                </c:pt>
                <c:pt idx="208">
                  <c:v>23031.09</c:v>
                </c:pt>
                <c:pt idx="209">
                  <c:v>23774.57</c:v>
                </c:pt>
                <c:pt idx="210">
                  <c:v>22840.14</c:v>
                </c:pt>
                <c:pt idx="211">
                  <c:v>23139.279999999999</c:v>
                </c:pt>
                <c:pt idx="212">
                  <c:v>23723.77</c:v>
                </c:pt>
                <c:pt idx="213">
                  <c:v>23471.87</c:v>
                </c:pt>
                <c:pt idx="214">
                  <c:v>23449.32</c:v>
                </c:pt>
                <c:pt idx="215">
                  <c:v>23331.85</c:v>
                </c:pt>
                <c:pt idx="216">
                  <c:v>22955.67</c:v>
                </c:pt>
                <c:pt idx="217">
                  <c:v>22760.11</c:v>
                </c:pt>
                <c:pt idx="218">
                  <c:v>23264.29</c:v>
                </c:pt>
                <c:pt idx="219">
                  <c:v>22939.4</c:v>
                </c:pt>
                <c:pt idx="220">
                  <c:v>21819.040000000001</c:v>
                </c:pt>
                <c:pt idx="221">
                  <c:v>21651.18</c:v>
                </c:pt>
                <c:pt idx="222">
                  <c:v>21870.880000000001</c:v>
                </c:pt>
                <c:pt idx="223">
                  <c:v>21788.2</c:v>
                </c:pt>
                <c:pt idx="224">
                  <c:v>21808.1</c:v>
                </c:pt>
                <c:pt idx="225">
                  <c:v>22220.799999999999</c:v>
                </c:pt>
                <c:pt idx="226">
                  <c:v>24307.84</c:v>
                </c:pt>
                <c:pt idx="227">
                  <c:v>23623.47</c:v>
                </c:pt>
                <c:pt idx="228">
                  <c:v>24565.599999999999</c:v>
                </c:pt>
                <c:pt idx="229">
                  <c:v>24641.279999999999</c:v>
                </c:pt>
                <c:pt idx="230">
                  <c:v>24327.64</c:v>
                </c:pt>
                <c:pt idx="231">
                  <c:v>24829.15</c:v>
                </c:pt>
                <c:pt idx="232">
                  <c:v>24436.35</c:v>
                </c:pt>
                <c:pt idx="233">
                  <c:v>24188.84</c:v>
                </c:pt>
                <c:pt idx="234">
                  <c:v>23947.49</c:v>
                </c:pt>
                <c:pt idx="235">
                  <c:v>23198.13</c:v>
                </c:pt>
                <c:pt idx="236">
                  <c:v>23175.38</c:v>
                </c:pt>
                <c:pt idx="237">
                  <c:v>23561.21</c:v>
                </c:pt>
                <c:pt idx="238">
                  <c:v>23522.87</c:v>
                </c:pt>
                <c:pt idx="239">
                  <c:v>23147.35</c:v>
                </c:pt>
                <c:pt idx="240">
                  <c:v>23646.55</c:v>
                </c:pt>
                <c:pt idx="241">
                  <c:v>23475.47</c:v>
                </c:pt>
                <c:pt idx="242">
                  <c:v>22362.68</c:v>
                </c:pt>
                <c:pt idx="243">
                  <c:v>22353.35</c:v>
                </c:pt>
                <c:pt idx="244">
                  <c:v>22435.51</c:v>
                </c:pt>
                <c:pt idx="245">
                  <c:v>22429.759999999998</c:v>
                </c:pt>
                <c:pt idx="246">
                  <c:v>22219.77</c:v>
                </c:pt>
                <c:pt idx="247">
                  <c:v>21718.080000000002</c:v>
                </c:pt>
                <c:pt idx="248">
                  <c:v>20363.02</c:v>
                </c:pt>
                <c:pt idx="249">
                  <c:v>20187.240000000002</c:v>
                </c:pt>
                <c:pt idx="250">
                  <c:v>20632.41</c:v>
                </c:pt>
                <c:pt idx="251">
                  <c:v>22163.95</c:v>
                </c:pt>
                <c:pt idx="252">
                  <c:v>24197.53</c:v>
                </c:pt>
                <c:pt idx="253">
                  <c:v>24746.07</c:v>
                </c:pt>
                <c:pt idx="254">
                  <c:v>24375.96</c:v>
                </c:pt>
                <c:pt idx="255">
                  <c:v>25052.79</c:v>
                </c:pt>
                <c:pt idx="256">
                  <c:v>27423.93</c:v>
                </c:pt>
                <c:pt idx="257">
                  <c:v>26965.88</c:v>
                </c:pt>
                <c:pt idx="258">
                  <c:v>28038.68</c:v>
                </c:pt>
                <c:pt idx="259">
                  <c:v>27767.24</c:v>
                </c:pt>
                <c:pt idx="260">
                  <c:v>28175.82</c:v>
                </c:pt>
                <c:pt idx="261">
                  <c:v>27307.439999999999</c:v>
                </c:pt>
                <c:pt idx="262">
                  <c:v>28333.97</c:v>
                </c:pt>
                <c:pt idx="263">
                  <c:v>27493.29</c:v>
                </c:pt>
                <c:pt idx="264">
                  <c:v>27494.71</c:v>
                </c:pt>
                <c:pt idx="265">
                  <c:v>27994.33</c:v>
                </c:pt>
                <c:pt idx="266">
                  <c:v>27139.89</c:v>
                </c:pt>
                <c:pt idx="267">
                  <c:v>27268.13</c:v>
                </c:pt>
                <c:pt idx="268">
                  <c:v>28348.44</c:v>
                </c:pt>
                <c:pt idx="269">
                  <c:v>28033.56</c:v>
                </c:pt>
                <c:pt idx="270">
                  <c:v>28478.48</c:v>
                </c:pt>
                <c:pt idx="271">
                  <c:v>28411.040000000001</c:v>
                </c:pt>
                <c:pt idx="272">
                  <c:v>28199.31</c:v>
                </c:pt>
                <c:pt idx="273">
                  <c:v>27790.22</c:v>
                </c:pt>
                <c:pt idx="274">
                  <c:v>28168.09</c:v>
                </c:pt>
                <c:pt idx="275">
                  <c:v>28177.98</c:v>
                </c:pt>
                <c:pt idx="276">
                  <c:v>28044.14</c:v>
                </c:pt>
                <c:pt idx="277">
                  <c:v>27925.86</c:v>
                </c:pt>
                <c:pt idx="278">
                  <c:v>27947.79</c:v>
                </c:pt>
                <c:pt idx="279">
                  <c:v>28333.05</c:v>
                </c:pt>
                <c:pt idx="280">
                  <c:v>29652.98</c:v>
                </c:pt>
                <c:pt idx="281">
                  <c:v>30235.06</c:v>
                </c:pt>
                <c:pt idx="282">
                  <c:v>30139.05</c:v>
                </c:pt>
                <c:pt idx="283">
                  <c:v>30399.07</c:v>
                </c:pt>
                <c:pt idx="284">
                  <c:v>30485.7</c:v>
                </c:pt>
                <c:pt idx="285">
                  <c:v>30318.5</c:v>
                </c:pt>
                <c:pt idx="286">
                  <c:v>30315.360000000001</c:v>
                </c:pt>
                <c:pt idx="287">
                  <c:v>29445.040000000001</c:v>
                </c:pt>
                <c:pt idx="288">
                  <c:v>30397.55</c:v>
                </c:pt>
                <c:pt idx="289">
                  <c:v>28822.68</c:v>
                </c:pt>
                <c:pt idx="290">
                  <c:v>28245.99</c:v>
                </c:pt>
                <c:pt idx="291">
                  <c:v>27276.91</c:v>
                </c:pt>
                <c:pt idx="292">
                  <c:v>27817.5</c:v>
                </c:pt>
                <c:pt idx="293">
                  <c:v>27591.38</c:v>
                </c:pt>
                <c:pt idx="294">
                  <c:v>27525.34</c:v>
                </c:pt>
                <c:pt idx="295">
                  <c:v>28307.599999999999</c:v>
                </c:pt>
                <c:pt idx="296">
                  <c:v>28422.7</c:v>
                </c:pt>
                <c:pt idx="297">
                  <c:v>29473.79</c:v>
                </c:pt>
                <c:pt idx="298">
                  <c:v>29340.26</c:v>
                </c:pt>
                <c:pt idx="299">
                  <c:v>29248.49</c:v>
                </c:pt>
                <c:pt idx="300">
                  <c:v>29268.81</c:v>
                </c:pt>
                <c:pt idx="301">
                  <c:v>28091.57</c:v>
                </c:pt>
                <c:pt idx="302">
                  <c:v>28680.54</c:v>
                </c:pt>
                <c:pt idx="303">
                  <c:v>29006.31</c:v>
                </c:pt>
                <c:pt idx="304">
                  <c:v>28847.71</c:v>
                </c:pt>
                <c:pt idx="305">
                  <c:v>29534.38</c:v>
                </c:pt>
                <c:pt idx="306">
                  <c:v>28904.62</c:v>
                </c:pt>
                <c:pt idx="307">
                  <c:v>28454.98</c:v>
                </c:pt>
                <c:pt idx="308">
                  <c:v>27694.27</c:v>
                </c:pt>
                <c:pt idx="309">
                  <c:v>27658.78</c:v>
                </c:pt>
                <c:pt idx="310">
                  <c:v>27621.759999999998</c:v>
                </c:pt>
                <c:pt idx="311">
                  <c:v>27000.79</c:v>
                </c:pt>
                <c:pt idx="312">
                  <c:v>26804.99</c:v>
                </c:pt>
                <c:pt idx="313">
                  <c:v>26784.080000000002</c:v>
                </c:pt>
                <c:pt idx="314">
                  <c:v>26930.639999999999</c:v>
                </c:pt>
                <c:pt idx="315">
                  <c:v>27192.69</c:v>
                </c:pt>
                <c:pt idx="316">
                  <c:v>27036.65</c:v>
                </c:pt>
                <c:pt idx="317">
                  <c:v>27398.799999999999</c:v>
                </c:pt>
                <c:pt idx="318">
                  <c:v>26832.21</c:v>
                </c:pt>
                <c:pt idx="319">
                  <c:v>26890.13</c:v>
                </c:pt>
                <c:pt idx="320">
                  <c:v>27129.59</c:v>
                </c:pt>
                <c:pt idx="321">
                  <c:v>26753.83</c:v>
                </c:pt>
                <c:pt idx="322">
                  <c:v>26851.279999999999</c:v>
                </c:pt>
                <c:pt idx="323">
                  <c:v>27225.73</c:v>
                </c:pt>
                <c:pt idx="324">
                  <c:v>26334.82</c:v>
                </c:pt>
                <c:pt idx="325">
                  <c:v>26476.21</c:v>
                </c:pt>
                <c:pt idx="326">
                  <c:v>26719.29</c:v>
                </c:pt>
                <c:pt idx="327">
                  <c:v>26868.35</c:v>
                </c:pt>
                <c:pt idx="328">
                  <c:v>28085.65</c:v>
                </c:pt>
                <c:pt idx="329">
                  <c:v>27745.88</c:v>
                </c:pt>
                <c:pt idx="330">
                  <c:v>27702.35</c:v>
                </c:pt>
                <c:pt idx="331">
                  <c:v>27219.66</c:v>
                </c:pt>
                <c:pt idx="332">
                  <c:v>26819.97</c:v>
                </c:pt>
                <c:pt idx="333">
                  <c:v>27249.59</c:v>
                </c:pt>
                <c:pt idx="334">
                  <c:v>27075.13</c:v>
                </c:pt>
                <c:pt idx="335">
                  <c:v>27119.07</c:v>
                </c:pt>
                <c:pt idx="336">
                  <c:v>25760.1</c:v>
                </c:pt>
                <c:pt idx="337">
                  <c:v>27238.78</c:v>
                </c:pt>
                <c:pt idx="338">
                  <c:v>26346</c:v>
                </c:pt>
                <c:pt idx="339">
                  <c:v>26508.22</c:v>
                </c:pt>
                <c:pt idx="340">
                  <c:v>26480.38</c:v>
                </c:pt>
                <c:pt idx="341">
                  <c:v>25851.24</c:v>
                </c:pt>
                <c:pt idx="342">
                  <c:v>25940.17</c:v>
                </c:pt>
                <c:pt idx="343">
                  <c:v>25902.5</c:v>
                </c:pt>
                <c:pt idx="344">
                  <c:v>25918.73</c:v>
                </c:pt>
                <c:pt idx="345">
                  <c:v>25124.68</c:v>
                </c:pt>
                <c:pt idx="346">
                  <c:v>25576.39</c:v>
                </c:pt>
                <c:pt idx="347">
                  <c:v>26327.46</c:v>
                </c:pt>
                <c:pt idx="348">
                  <c:v>26510.68</c:v>
                </c:pt>
                <c:pt idx="349">
                  <c:v>26336.21</c:v>
                </c:pt>
                <c:pt idx="350">
                  <c:v>26851.03</c:v>
                </c:pt>
                <c:pt idx="351">
                  <c:v>28327.49</c:v>
                </c:pt>
                <c:pt idx="352">
                  <c:v>30027.3</c:v>
                </c:pt>
                <c:pt idx="353">
                  <c:v>29912.28</c:v>
                </c:pt>
                <c:pt idx="354">
                  <c:v>30695.47</c:v>
                </c:pt>
                <c:pt idx="355">
                  <c:v>30548.7</c:v>
                </c:pt>
                <c:pt idx="356">
                  <c:v>30480.26</c:v>
                </c:pt>
                <c:pt idx="357">
                  <c:v>30271.13</c:v>
                </c:pt>
                <c:pt idx="358">
                  <c:v>30688.16</c:v>
                </c:pt>
                <c:pt idx="359">
                  <c:v>30086.25</c:v>
                </c:pt>
                <c:pt idx="360">
                  <c:v>30445.35</c:v>
                </c:pt>
                <c:pt idx="361">
                  <c:v>30477.25</c:v>
                </c:pt>
                <c:pt idx="362">
                  <c:v>30590.080000000002</c:v>
                </c:pt>
                <c:pt idx="363">
                  <c:v>30620.77</c:v>
                </c:pt>
                <c:pt idx="364">
                  <c:v>31156.44</c:v>
                </c:pt>
                <c:pt idx="365">
                  <c:v>30777.58</c:v>
                </c:pt>
                <c:pt idx="366">
                  <c:v>30514.17</c:v>
                </c:pt>
                <c:pt idx="367">
                  <c:v>29909.34</c:v>
                </c:pt>
                <c:pt idx="368">
                  <c:v>30342.27</c:v>
                </c:pt>
                <c:pt idx="369">
                  <c:v>30292.54</c:v>
                </c:pt>
                <c:pt idx="370">
                  <c:v>30171.23</c:v>
                </c:pt>
                <c:pt idx="371">
                  <c:v>30414.47</c:v>
                </c:pt>
                <c:pt idx="372">
                  <c:v>30620.95</c:v>
                </c:pt>
                <c:pt idx="373">
                  <c:v>30391.65</c:v>
                </c:pt>
                <c:pt idx="374">
                  <c:v>31476.05</c:v>
                </c:pt>
                <c:pt idx="375">
                  <c:v>30334.07</c:v>
                </c:pt>
                <c:pt idx="376">
                  <c:v>30295.81</c:v>
                </c:pt>
                <c:pt idx="377">
                  <c:v>30249.13</c:v>
                </c:pt>
                <c:pt idx="378">
                  <c:v>30145.89</c:v>
                </c:pt>
                <c:pt idx="379">
                  <c:v>29856.560000000001</c:v>
                </c:pt>
                <c:pt idx="380">
                  <c:v>29913.919999999998</c:v>
                </c:pt>
                <c:pt idx="381">
                  <c:v>29792.02</c:v>
                </c:pt>
                <c:pt idx="382">
                  <c:v>29908.74</c:v>
                </c:pt>
                <c:pt idx="383">
                  <c:v>29771.8</c:v>
                </c:pt>
                <c:pt idx="384">
                  <c:v>30084.54</c:v>
                </c:pt>
                <c:pt idx="385">
                  <c:v>29176.92</c:v>
                </c:pt>
                <c:pt idx="386">
                  <c:v>29227.39</c:v>
                </c:pt>
                <c:pt idx="387">
                  <c:v>29354.97</c:v>
                </c:pt>
                <c:pt idx="388">
                  <c:v>29210.69</c:v>
                </c:pt>
                <c:pt idx="389">
                  <c:v>29319.25</c:v>
                </c:pt>
                <c:pt idx="390">
                  <c:v>29356.92</c:v>
                </c:pt>
                <c:pt idx="391">
                  <c:v>29275.31</c:v>
                </c:pt>
                <c:pt idx="392">
                  <c:v>29230.11</c:v>
                </c:pt>
                <c:pt idx="393">
                  <c:v>29675.73</c:v>
                </c:pt>
                <c:pt idx="394">
                  <c:v>29151.96</c:v>
                </c:pt>
                <c:pt idx="395">
                  <c:v>29178.68</c:v>
                </c:pt>
                <c:pt idx="396">
                  <c:v>29074.09</c:v>
                </c:pt>
                <c:pt idx="397">
                  <c:v>29042.13</c:v>
                </c:pt>
                <c:pt idx="398">
                  <c:v>29041.86</c:v>
                </c:pt>
                <c:pt idx="399">
                  <c:v>29180.58</c:v>
                </c:pt>
                <c:pt idx="400">
                  <c:v>29765.49</c:v>
                </c:pt>
                <c:pt idx="401">
                  <c:v>29561.49</c:v>
                </c:pt>
                <c:pt idx="402">
                  <c:v>29429.59</c:v>
                </c:pt>
                <c:pt idx="403">
                  <c:v>29397.71</c:v>
                </c:pt>
                <c:pt idx="404">
                  <c:v>29415.96</c:v>
                </c:pt>
                <c:pt idx="405">
                  <c:v>29282.91</c:v>
                </c:pt>
                <c:pt idx="406">
                  <c:v>29408.44</c:v>
                </c:pt>
                <c:pt idx="407">
                  <c:v>29170.35</c:v>
                </c:pt>
                <c:pt idx="408">
                  <c:v>28701.78</c:v>
                </c:pt>
                <c:pt idx="409">
                  <c:v>26664.55</c:v>
                </c:pt>
                <c:pt idx="410">
                  <c:v>26049.56</c:v>
                </c:pt>
                <c:pt idx="411">
                  <c:v>26096.21</c:v>
                </c:pt>
                <c:pt idx="412">
                  <c:v>26189.58</c:v>
                </c:pt>
                <c:pt idx="413">
                  <c:v>26124.14</c:v>
                </c:pt>
                <c:pt idx="414">
                  <c:v>26031.66</c:v>
                </c:pt>
                <c:pt idx="415">
                  <c:v>26431.64</c:v>
                </c:pt>
                <c:pt idx="416">
                  <c:v>26162.37</c:v>
                </c:pt>
                <c:pt idx="417">
                  <c:v>26047.67</c:v>
                </c:pt>
                <c:pt idx="418">
                  <c:v>26008.46</c:v>
                </c:pt>
                <c:pt idx="419">
                  <c:v>26089.69</c:v>
                </c:pt>
                <c:pt idx="420">
                  <c:v>26106.15</c:v>
                </c:pt>
                <c:pt idx="421">
                  <c:v>27727.39</c:v>
                </c:pt>
                <c:pt idx="422">
                  <c:v>27297.27</c:v>
                </c:pt>
                <c:pt idx="423">
                  <c:v>25931.47</c:v>
                </c:pt>
                <c:pt idx="424">
                  <c:v>25800.720000000001</c:v>
                </c:pt>
                <c:pt idx="425">
                  <c:v>25868.799999999999</c:v>
                </c:pt>
                <c:pt idx="426">
                  <c:v>25969.57</c:v>
                </c:pt>
                <c:pt idx="427">
                  <c:v>25812.42</c:v>
                </c:pt>
                <c:pt idx="428">
                  <c:v>25779.98</c:v>
                </c:pt>
                <c:pt idx="429">
                  <c:v>25753.24</c:v>
                </c:pt>
                <c:pt idx="430">
                  <c:v>26240.2</c:v>
                </c:pt>
                <c:pt idx="431">
                  <c:v>25905.65</c:v>
                </c:pt>
                <c:pt idx="432">
                  <c:v>25895.68</c:v>
                </c:pt>
                <c:pt idx="433">
                  <c:v>25832.23</c:v>
                </c:pt>
                <c:pt idx="434">
                  <c:v>25162.65</c:v>
                </c:pt>
                <c:pt idx="435">
                  <c:v>25833.34</c:v>
                </c:pt>
                <c:pt idx="436">
                  <c:v>26228.32</c:v>
                </c:pt>
                <c:pt idx="437">
                  <c:v>26539.67</c:v>
                </c:pt>
                <c:pt idx="438">
                  <c:v>26608.69</c:v>
                </c:pt>
                <c:pt idx="439">
                  <c:v>26568.28</c:v>
                </c:pt>
                <c:pt idx="440">
                  <c:v>26534.19</c:v>
                </c:pt>
                <c:pt idx="441">
                  <c:v>26754.28</c:v>
                </c:pt>
                <c:pt idx="442">
                  <c:v>27211.119999999999</c:v>
                </c:pt>
                <c:pt idx="443">
                  <c:v>27132.01</c:v>
                </c:pt>
                <c:pt idx="444">
                  <c:v>26567.63</c:v>
                </c:pt>
                <c:pt idx="445">
                  <c:v>26579.57</c:v>
                </c:pt>
                <c:pt idx="446">
                  <c:v>26579.39</c:v>
                </c:pt>
                <c:pt idx="447">
                  <c:v>26256.83</c:v>
                </c:pt>
                <c:pt idx="448">
                  <c:v>26298.48</c:v>
                </c:pt>
                <c:pt idx="449">
                  <c:v>26217.25</c:v>
                </c:pt>
                <c:pt idx="450">
                  <c:v>26352.720000000001</c:v>
                </c:pt>
                <c:pt idx="451">
                  <c:v>27021.55</c:v>
                </c:pt>
                <c:pt idx="452">
                  <c:v>26911.72</c:v>
                </c:pt>
                <c:pt idx="453">
                  <c:v>26967.919999999998</c:v>
                </c:pt>
                <c:pt idx="454">
                  <c:v>27983.75</c:v>
                </c:pt>
                <c:pt idx="455">
                  <c:v>27530.79</c:v>
                </c:pt>
                <c:pt idx="456">
                  <c:v>27429.98</c:v>
                </c:pt>
                <c:pt idx="457">
                  <c:v>27799.39</c:v>
                </c:pt>
                <c:pt idx="458">
                  <c:v>27415.91</c:v>
                </c:pt>
                <c:pt idx="459">
                  <c:v>27946.6</c:v>
                </c:pt>
                <c:pt idx="460">
                  <c:v>27968.84</c:v>
                </c:pt>
                <c:pt idx="461">
                  <c:v>27935.09</c:v>
                </c:pt>
                <c:pt idx="462">
                  <c:v>27583.68</c:v>
                </c:pt>
                <c:pt idx="463">
                  <c:v>27391.02</c:v>
                </c:pt>
                <c:pt idx="464">
                  <c:v>26873.32</c:v>
                </c:pt>
                <c:pt idx="465">
                  <c:v>26756.799999999999</c:v>
                </c:pt>
                <c:pt idx="466">
                  <c:v>26862.38</c:v>
                </c:pt>
                <c:pt idx="467">
                  <c:v>26861.71</c:v>
                </c:pt>
                <c:pt idx="468">
                  <c:v>27159.65</c:v>
                </c:pt>
                <c:pt idx="469">
                  <c:v>28519.47</c:v>
                </c:pt>
                <c:pt idx="470">
                  <c:v>28415.75</c:v>
                </c:pt>
                <c:pt idx="471">
                  <c:v>28328.34</c:v>
                </c:pt>
                <c:pt idx="472">
                  <c:v>28719.81</c:v>
                </c:pt>
                <c:pt idx="473">
                  <c:v>29682.95</c:v>
                </c:pt>
                <c:pt idx="474">
                  <c:v>29918.41</c:v>
                </c:pt>
                <c:pt idx="475">
                  <c:v>29993.9</c:v>
                </c:pt>
                <c:pt idx="476">
                  <c:v>33086.230000000003</c:v>
                </c:pt>
                <c:pt idx="477">
                  <c:v>33901.53</c:v>
                </c:pt>
                <c:pt idx="478">
                  <c:v>34502.82</c:v>
                </c:pt>
                <c:pt idx="479">
                  <c:v>34156.65</c:v>
                </c:pt>
                <c:pt idx="480">
                  <c:v>33909.800000000003</c:v>
                </c:pt>
                <c:pt idx="481">
                  <c:v>34089.57</c:v>
                </c:pt>
                <c:pt idx="482">
                  <c:v>34538.480000000003</c:v>
                </c:pt>
                <c:pt idx="483">
                  <c:v>34502.36</c:v>
                </c:pt>
                <c:pt idx="484">
                  <c:v>34667.78</c:v>
                </c:pt>
                <c:pt idx="485">
                  <c:v>35437.25</c:v>
                </c:pt>
                <c:pt idx="486">
                  <c:v>34938.239999999998</c:v>
                </c:pt>
                <c:pt idx="487">
                  <c:v>34732.32</c:v>
                </c:pt>
                <c:pt idx="488">
                  <c:v>35082.199999999997</c:v>
                </c:pt>
                <c:pt idx="489">
                  <c:v>35049.360000000001</c:v>
                </c:pt>
                <c:pt idx="490">
                  <c:v>35037.370000000003</c:v>
                </c:pt>
                <c:pt idx="491">
                  <c:v>35443.56</c:v>
                </c:pt>
                <c:pt idx="492">
                  <c:v>35655.279999999999</c:v>
                </c:pt>
                <c:pt idx="493">
                  <c:v>36693.129999999997</c:v>
                </c:pt>
                <c:pt idx="494">
                  <c:v>37313.97</c:v>
                </c:pt>
                <c:pt idx="495">
                  <c:v>37138.050000000003</c:v>
                </c:pt>
                <c:pt idx="496">
                  <c:v>37054.519999999997</c:v>
                </c:pt>
                <c:pt idx="497">
                  <c:v>36502.36</c:v>
                </c:pt>
                <c:pt idx="498">
                  <c:v>35537.64</c:v>
                </c:pt>
                <c:pt idx="499">
                  <c:v>37880.58</c:v>
                </c:pt>
                <c:pt idx="500">
                  <c:v>36154.769999999997</c:v>
                </c:pt>
                <c:pt idx="501">
                  <c:v>36596.68</c:v>
                </c:pt>
                <c:pt idx="502">
                  <c:v>36585.699999999997</c:v>
                </c:pt>
                <c:pt idx="503">
                  <c:v>37386.550000000003</c:v>
                </c:pt>
                <c:pt idx="504">
                  <c:v>37476.959999999999</c:v>
                </c:pt>
                <c:pt idx="505">
                  <c:v>35813.81</c:v>
                </c:pt>
                <c:pt idx="506">
                  <c:v>37432.339999999997</c:v>
                </c:pt>
                <c:pt idx="507">
                  <c:v>37289.620000000003</c:v>
                </c:pt>
                <c:pt idx="508">
                  <c:v>37720.28</c:v>
                </c:pt>
                <c:pt idx="509">
                  <c:v>37796.79</c:v>
                </c:pt>
                <c:pt idx="510">
                  <c:v>37479.120000000003</c:v>
                </c:pt>
                <c:pt idx="511">
                  <c:v>37254.17</c:v>
                </c:pt>
                <c:pt idx="512">
                  <c:v>37831.089999999997</c:v>
                </c:pt>
                <c:pt idx="513">
                  <c:v>37858.49</c:v>
                </c:pt>
                <c:pt idx="514">
                  <c:v>37712.75</c:v>
                </c:pt>
                <c:pt idx="515">
                  <c:v>38688.75</c:v>
                </c:pt>
                <c:pt idx="516">
                  <c:v>39476.33</c:v>
                </c:pt>
                <c:pt idx="517">
                  <c:v>39978.39</c:v>
                </c:pt>
                <c:pt idx="518">
                  <c:v>41980.1</c:v>
                </c:pt>
                <c:pt idx="519">
                  <c:v>44080.65</c:v>
                </c:pt>
                <c:pt idx="520">
                  <c:v>43746.45</c:v>
                </c:pt>
                <c:pt idx="521">
                  <c:v>43292.66</c:v>
                </c:pt>
                <c:pt idx="522">
                  <c:v>44166.6</c:v>
                </c:pt>
                <c:pt idx="523">
                  <c:v>43725.98</c:v>
                </c:pt>
                <c:pt idx="524">
                  <c:v>43779.7</c:v>
                </c:pt>
                <c:pt idx="525">
                  <c:v>41243.83</c:v>
                </c:pt>
                <c:pt idx="526">
                  <c:v>41450.22</c:v>
                </c:pt>
                <c:pt idx="527">
                  <c:v>42890.74</c:v>
                </c:pt>
                <c:pt idx="528">
                  <c:v>43023.97</c:v>
                </c:pt>
                <c:pt idx="529">
                  <c:v>41929.760000000002</c:v>
                </c:pt>
                <c:pt idx="530">
                  <c:v>42240.12</c:v>
                </c:pt>
                <c:pt idx="531">
                  <c:v>41364.660000000003</c:v>
                </c:pt>
                <c:pt idx="532">
                  <c:v>42623.54</c:v>
                </c:pt>
                <c:pt idx="533">
                  <c:v>42270.53</c:v>
                </c:pt>
                <c:pt idx="534">
                  <c:v>43652.25</c:v>
                </c:pt>
                <c:pt idx="535">
                  <c:v>43869.15</c:v>
                </c:pt>
                <c:pt idx="536">
                  <c:v>43997.9</c:v>
                </c:pt>
                <c:pt idx="537">
                  <c:v>43739.54</c:v>
                </c:pt>
                <c:pt idx="538">
                  <c:v>43016.12</c:v>
                </c:pt>
                <c:pt idx="539">
                  <c:v>43613.14</c:v>
                </c:pt>
                <c:pt idx="540">
                  <c:v>42520.4</c:v>
                </c:pt>
                <c:pt idx="541">
                  <c:v>43442.86</c:v>
                </c:pt>
                <c:pt idx="542">
                  <c:v>42627.86</c:v>
                </c:pt>
                <c:pt idx="543">
                  <c:v>42099.4</c:v>
                </c:pt>
                <c:pt idx="544">
                  <c:v>42156.9</c:v>
                </c:pt>
                <c:pt idx="545">
                  <c:v>42265.19</c:v>
                </c:pt>
                <c:pt idx="546">
                  <c:v>44167.33</c:v>
                </c:pt>
                <c:pt idx="547">
                  <c:v>44957.97</c:v>
                </c:pt>
                <c:pt idx="548">
                  <c:v>42848.18</c:v>
                </c:pt>
                <c:pt idx="549">
                  <c:v>44179.92</c:v>
                </c:pt>
                <c:pt idx="550">
                  <c:v>44162.69</c:v>
                </c:pt>
                <c:pt idx="551">
                  <c:v>43989.2</c:v>
                </c:pt>
                <c:pt idx="552">
                  <c:v>43943.1</c:v>
                </c:pt>
                <c:pt idx="553">
                  <c:v>46970.5</c:v>
                </c:pt>
                <c:pt idx="554">
                  <c:v>46139.73</c:v>
                </c:pt>
                <c:pt idx="555">
                  <c:v>46627.78</c:v>
                </c:pt>
                <c:pt idx="556">
                  <c:v>46368.59</c:v>
                </c:pt>
                <c:pt idx="557">
                  <c:v>42853.17</c:v>
                </c:pt>
                <c:pt idx="558">
                  <c:v>42842.38</c:v>
                </c:pt>
                <c:pt idx="559">
                  <c:v>41796.269999999997</c:v>
                </c:pt>
                <c:pt idx="560">
                  <c:v>42511.97</c:v>
                </c:pt>
                <c:pt idx="561">
                  <c:v>43154.95</c:v>
                </c:pt>
                <c:pt idx="562">
                  <c:v>42742.65</c:v>
                </c:pt>
                <c:pt idx="563">
                  <c:v>41262.06</c:v>
                </c:pt>
                <c:pt idx="564">
                  <c:v>41618.410000000003</c:v>
                </c:pt>
                <c:pt idx="565">
                  <c:v>41665.589999999997</c:v>
                </c:pt>
                <c:pt idx="566">
                  <c:v>41545.79</c:v>
                </c:pt>
                <c:pt idx="567">
                  <c:v>39507.370000000003</c:v>
                </c:pt>
                <c:pt idx="568">
                  <c:v>39845.550000000003</c:v>
                </c:pt>
                <c:pt idx="569">
                  <c:v>40077.07</c:v>
                </c:pt>
                <c:pt idx="570">
                  <c:v>39933.81</c:v>
                </c:pt>
                <c:pt idx="571">
                  <c:v>41816.870000000003</c:v>
                </c:pt>
                <c:pt idx="572">
                  <c:v>42120.05</c:v>
                </c:pt>
                <c:pt idx="573">
                  <c:v>42035.59</c:v>
                </c:pt>
                <c:pt idx="574">
                  <c:v>43288.25</c:v>
                </c:pt>
                <c:pt idx="575">
                  <c:v>42952.61</c:v>
                </c:pt>
                <c:pt idx="576">
                  <c:v>42582.61</c:v>
                </c:pt>
                <c:pt idx="577">
                  <c:v>43075.77</c:v>
                </c:pt>
                <c:pt idx="578">
                  <c:v>43185.86</c:v>
                </c:pt>
                <c:pt idx="579">
                  <c:v>42992.25</c:v>
                </c:pt>
                <c:pt idx="580">
                  <c:v>42583.58</c:v>
                </c:pt>
                <c:pt idx="581">
                  <c:v>42658.67</c:v>
                </c:pt>
                <c:pt idx="582">
                  <c:v>43084.67</c:v>
                </c:pt>
                <c:pt idx="583">
                  <c:v>44318.22</c:v>
                </c:pt>
                <c:pt idx="584">
                  <c:v>45301.57</c:v>
                </c:pt>
                <c:pt idx="585">
                  <c:v>47147.199999999997</c:v>
                </c:pt>
                <c:pt idx="586">
                  <c:v>47771.28</c:v>
                </c:pt>
                <c:pt idx="587">
                  <c:v>48293.919999999998</c:v>
                </c:pt>
                <c:pt idx="588">
                  <c:v>49958.22</c:v>
                </c:pt>
                <c:pt idx="589">
                  <c:v>49742.44</c:v>
                </c:pt>
                <c:pt idx="590">
                  <c:v>51826.7</c:v>
                </c:pt>
                <c:pt idx="591">
                  <c:v>51938.55</c:v>
                </c:pt>
                <c:pt idx="592">
                  <c:v>52160.2</c:v>
                </c:pt>
                <c:pt idx="593">
                  <c:v>51663</c:v>
                </c:pt>
                <c:pt idx="594">
                  <c:v>52122.55</c:v>
                </c:pt>
                <c:pt idx="595">
                  <c:v>51779.14</c:v>
                </c:pt>
                <c:pt idx="596">
                  <c:v>52284.88</c:v>
                </c:pt>
                <c:pt idx="597">
                  <c:v>51839.18</c:v>
                </c:pt>
                <c:pt idx="598">
                  <c:v>51304.97</c:v>
                </c:pt>
                <c:pt idx="599">
                  <c:v>50731.95</c:v>
                </c:pt>
                <c:pt idx="600">
                  <c:v>51571.1</c:v>
                </c:pt>
                <c:pt idx="601">
                  <c:v>51733.24</c:v>
                </c:pt>
                <c:pt idx="602">
                  <c:v>54522.400000000001</c:v>
                </c:pt>
                <c:pt idx="603">
                  <c:v>57085.37</c:v>
                </c:pt>
                <c:pt idx="604">
                  <c:v>62504.79</c:v>
                </c:pt>
                <c:pt idx="605">
                  <c:v>61198.38</c:v>
                </c:pt>
                <c:pt idx="606">
                  <c:v>62440.63</c:v>
                </c:pt>
                <c:pt idx="607">
                  <c:v>62029.85</c:v>
                </c:pt>
                <c:pt idx="608">
                  <c:v>63167.37</c:v>
                </c:pt>
                <c:pt idx="609">
                  <c:v>68330.41</c:v>
                </c:pt>
                <c:pt idx="610">
                  <c:v>63801.2</c:v>
                </c:pt>
                <c:pt idx="611">
                  <c:v>66106.8</c:v>
                </c:pt>
                <c:pt idx="612">
                  <c:v>66925.48</c:v>
                </c:pt>
                <c:pt idx="613">
                  <c:v>68300.09</c:v>
                </c:pt>
                <c:pt idx="614">
                  <c:v>68498.880000000005</c:v>
                </c:pt>
                <c:pt idx="615">
                  <c:v>69019.789999999994</c:v>
                </c:pt>
                <c:pt idx="616">
                  <c:v>72123.91</c:v>
                </c:pt>
                <c:pt idx="617">
                  <c:v>71481.289999999994</c:v>
                </c:pt>
                <c:pt idx="618">
                  <c:v>73083.5</c:v>
                </c:pt>
                <c:pt idx="619">
                  <c:v>71396.59</c:v>
                </c:pt>
                <c:pt idx="620">
                  <c:v>69403.77</c:v>
                </c:pt>
                <c:pt idx="621">
                  <c:v>65315.12</c:v>
                </c:pt>
                <c:pt idx="622">
                  <c:v>68390.63</c:v>
                </c:pt>
                <c:pt idx="623">
                  <c:v>67548.59</c:v>
                </c:pt>
                <c:pt idx="624">
                  <c:v>61912.77</c:v>
                </c:pt>
                <c:pt idx="625">
                  <c:v>67913.67</c:v>
                </c:pt>
                <c:pt idx="626">
                  <c:v>65491.39</c:v>
                </c:pt>
                <c:pt idx="627">
                  <c:v>63778.76</c:v>
                </c:pt>
                <c:pt idx="628">
                  <c:v>64062.2</c:v>
                </c:pt>
                <c:pt idx="629">
                  <c:v>67234.17</c:v>
                </c:pt>
                <c:pt idx="630">
                  <c:v>69958.81</c:v>
                </c:pt>
                <c:pt idx="631">
                  <c:v>69987.839999999997</c:v>
                </c:pt>
                <c:pt idx="632">
                  <c:v>69455.34</c:v>
                </c:pt>
                <c:pt idx="633">
                  <c:v>70744.95</c:v>
                </c:pt>
                <c:pt idx="634">
                  <c:v>69892.83</c:v>
                </c:pt>
                <c:pt idx="635">
                  <c:v>69645.3</c:v>
                </c:pt>
                <c:pt idx="636">
                  <c:v>71333.649999999994</c:v>
                </c:pt>
                <c:pt idx="637">
                  <c:v>69702.149999999994</c:v>
                </c:pt>
                <c:pt idx="638">
                  <c:v>65446.97</c:v>
                </c:pt>
                <c:pt idx="639">
                  <c:v>65980.81</c:v>
                </c:pt>
                <c:pt idx="640">
                  <c:v>68508.84</c:v>
                </c:pt>
                <c:pt idx="641">
                  <c:v>67837.64</c:v>
                </c:pt>
                <c:pt idx="642">
                  <c:v>68896.11</c:v>
                </c:pt>
                <c:pt idx="643">
                  <c:v>69362.55</c:v>
                </c:pt>
                <c:pt idx="644">
                  <c:v>71631.360000000001</c:v>
                </c:pt>
                <c:pt idx="645">
                  <c:v>69139.02</c:v>
                </c:pt>
                <c:pt idx="646">
                  <c:v>70587.88</c:v>
                </c:pt>
                <c:pt idx="647">
                  <c:v>70060.61</c:v>
                </c:pt>
                <c:pt idx="648">
                  <c:v>67195.87</c:v>
                </c:pt>
                <c:pt idx="649">
                  <c:v>63821.47</c:v>
                </c:pt>
                <c:pt idx="650">
                  <c:v>65738.73</c:v>
                </c:pt>
                <c:pt idx="651">
                  <c:v>63426.21</c:v>
                </c:pt>
                <c:pt idx="652">
                  <c:v>63811.86</c:v>
                </c:pt>
                <c:pt idx="653">
                  <c:v>61276.69</c:v>
                </c:pt>
                <c:pt idx="654">
                  <c:v>63512.75</c:v>
                </c:pt>
                <c:pt idx="655">
                  <c:v>63843.57</c:v>
                </c:pt>
                <c:pt idx="656">
                  <c:v>64994.44</c:v>
                </c:pt>
                <c:pt idx="657">
                  <c:v>64926.64</c:v>
                </c:pt>
                <c:pt idx="658">
                  <c:v>66837.679999999993</c:v>
                </c:pt>
                <c:pt idx="659">
                  <c:v>66407.27</c:v>
                </c:pt>
                <c:pt idx="660">
                  <c:v>64276.9</c:v>
                </c:pt>
                <c:pt idx="661">
                  <c:v>64481.71</c:v>
                </c:pt>
                <c:pt idx="662">
                  <c:v>63755.32</c:v>
                </c:pt>
                <c:pt idx="663">
                  <c:v>63419.14</c:v>
                </c:pt>
                <c:pt idx="664">
                  <c:v>63113.23</c:v>
                </c:pt>
                <c:pt idx="665">
                  <c:v>63841.120000000003</c:v>
                </c:pt>
                <c:pt idx="666">
                  <c:v>60636.86</c:v>
                </c:pt>
                <c:pt idx="667">
                  <c:v>58254.01</c:v>
                </c:pt>
                <c:pt idx="668">
                  <c:v>59123.43</c:v>
                </c:pt>
                <c:pt idx="669">
                  <c:v>62889.84</c:v>
                </c:pt>
                <c:pt idx="670">
                  <c:v>63891.47</c:v>
                </c:pt>
                <c:pt idx="671">
                  <c:v>64031.13</c:v>
                </c:pt>
                <c:pt idx="672">
                  <c:v>63161.95</c:v>
                </c:pt>
                <c:pt idx="673">
                  <c:v>62334.82</c:v>
                </c:pt>
                <c:pt idx="674">
                  <c:v>61187.94</c:v>
                </c:pt>
                <c:pt idx="675">
                  <c:v>63049.96</c:v>
                </c:pt>
                <c:pt idx="676">
                  <c:v>60792.78</c:v>
                </c:pt>
                <c:pt idx="677">
                  <c:v>60793.71</c:v>
                </c:pt>
                <c:pt idx="678">
                  <c:v>61448.39</c:v>
                </c:pt>
                <c:pt idx="679">
                  <c:v>62901.45</c:v>
                </c:pt>
                <c:pt idx="680">
                  <c:v>61552.79</c:v>
                </c:pt>
                <c:pt idx="681">
                  <c:v>66267.490000000005</c:v>
                </c:pt>
                <c:pt idx="682">
                  <c:v>65231.58</c:v>
                </c:pt>
                <c:pt idx="683">
                  <c:v>67051.88</c:v>
                </c:pt>
                <c:pt idx="684">
                  <c:v>66940.800000000003</c:v>
                </c:pt>
                <c:pt idx="685">
                  <c:v>66278.37</c:v>
                </c:pt>
                <c:pt idx="686">
                  <c:v>71448.2</c:v>
                </c:pt>
                <c:pt idx="687">
                  <c:v>70136.53</c:v>
                </c:pt>
                <c:pt idx="688">
                  <c:v>69122.34</c:v>
                </c:pt>
                <c:pt idx="689">
                  <c:v>67929.56</c:v>
                </c:pt>
                <c:pt idx="690">
                  <c:v>68526.100000000006</c:v>
                </c:pt>
                <c:pt idx="691">
                  <c:v>69265.95</c:v>
                </c:pt>
                <c:pt idx="692">
                  <c:v>68518.09</c:v>
                </c:pt>
                <c:pt idx="693">
                  <c:v>69394.55</c:v>
                </c:pt>
                <c:pt idx="694">
                  <c:v>68296.22</c:v>
                </c:pt>
                <c:pt idx="695">
                  <c:v>67578.09</c:v>
                </c:pt>
                <c:pt idx="696">
                  <c:v>68364.990000000005</c:v>
                </c:pt>
                <c:pt idx="697">
                  <c:v>67491.41</c:v>
                </c:pt>
                <c:pt idx="698">
                  <c:v>67706.94</c:v>
                </c:pt>
                <c:pt idx="699">
                  <c:v>67751.600000000006</c:v>
                </c:pt>
                <c:pt idx="700">
                  <c:v>68804.78</c:v>
                </c:pt>
                <c:pt idx="701">
                  <c:v>70567.77</c:v>
                </c:pt>
                <c:pt idx="702">
                  <c:v>71082.820000000007</c:v>
                </c:pt>
                <c:pt idx="703">
                  <c:v>70757.16</c:v>
                </c:pt>
                <c:pt idx="704">
                  <c:v>69342.59</c:v>
                </c:pt>
                <c:pt idx="705">
                  <c:v>69305.77</c:v>
                </c:pt>
                <c:pt idx="706">
                  <c:v>69647.990000000005</c:v>
                </c:pt>
                <c:pt idx="707">
                  <c:v>69512.28</c:v>
                </c:pt>
                <c:pt idx="708">
                  <c:v>67332.03</c:v>
                </c:pt>
                <c:pt idx="709">
                  <c:v>68241.19</c:v>
                </c:pt>
                <c:pt idx="710">
                  <c:v>66756.399999999994</c:v>
                </c:pt>
                <c:pt idx="711">
                  <c:v>66011.09</c:v>
                </c:pt>
                <c:pt idx="712">
                  <c:v>66191</c:v>
                </c:pt>
                <c:pt idx="713">
                  <c:v>66639.05</c:v>
                </c:pt>
                <c:pt idx="714">
                  <c:v>66490.3</c:v>
                </c:pt>
                <c:pt idx="715">
                  <c:v>65140.75</c:v>
                </c:pt>
                <c:pt idx="716">
                  <c:v>64960.3</c:v>
                </c:pt>
                <c:pt idx="717">
                  <c:v>64828.66</c:v>
                </c:pt>
                <c:pt idx="718">
                  <c:v>64096.2</c:v>
                </c:pt>
                <c:pt idx="719">
                  <c:v>64252.58</c:v>
                </c:pt>
                <c:pt idx="720">
                  <c:v>63180.800000000003</c:v>
                </c:pt>
                <c:pt idx="721">
                  <c:v>60277.41</c:v>
                </c:pt>
                <c:pt idx="722">
                  <c:v>61804.639999999999</c:v>
                </c:pt>
                <c:pt idx="723">
                  <c:v>60811.28</c:v>
                </c:pt>
                <c:pt idx="724">
                  <c:v>61604.800000000003</c:v>
                </c:pt>
                <c:pt idx="725">
                  <c:v>60320.14</c:v>
                </c:pt>
                <c:pt idx="726">
                  <c:v>60887.38</c:v>
                </c:pt>
                <c:pt idx="727">
                  <c:v>62678.29</c:v>
                </c:pt>
                <c:pt idx="728">
                  <c:v>62851.98</c:v>
                </c:pt>
                <c:pt idx="729">
                  <c:v>62029.02</c:v>
                </c:pt>
                <c:pt idx="730">
                  <c:v>60173.919999999998</c:v>
                </c:pt>
                <c:pt idx="731">
                  <c:v>56977.7</c:v>
                </c:pt>
                <c:pt idx="732">
                  <c:v>56662.38</c:v>
                </c:pt>
                <c:pt idx="733">
                  <c:v>58303.54</c:v>
                </c:pt>
                <c:pt idx="734">
                  <c:v>55849.11</c:v>
                </c:pt>
                <c:pt idx="735">
                  <c:v>56705.1</c:v>
                </c:pt>
                <c:pt idx="736">
                  <c:v>58009.23</c:v>
                </c:pt>
                <c:pt idx="737">
                  <c:v>57742.5</c:v>
                </c:pt>
                <c:pt idx="738">
                  <c:v>57344.91</c:v>
                </c:pt>
                <c:pt idx="739">
                  <c:v>57899.46</c:v>
                </c:pt>
                <c:pt idx="740">
                  <c:v>59231.95</c:v>
                </c:pt>
                <c:pt idx="741">
                  <c:v>60787.79</c:v>
                </c:pt>
                <c:pt idx="742">
                  <c:v>64870.15</c:v>
                </c:pt>
                <c:pt idx="743">
                  <c:v>65097.15</c:v>
                </c:pt>
                <c:pt idx="744">
                  <c:v>64118.79</c:v>
                </c:pt>
                <c:pt idx="745">
                  <c:v>63974.07</c:v>
                </c:pt>
                <c:pt idx="746">
                  <c:v>66710.16</c:v>
                </c:pt>
                <c:pt idx="747">
                  <c:v>67163.649999999994</c:v>
                </c:pt>
                <c:pt idx="748">
                  <c:v>68154.52</c:v>
                </c:pt>
                <c:pt idx="749">
                  <c:v>67585.25</c:v>
                </c:pt>
                <c:pt idx="750">
                  <c:v>65927.67</c:v>
                </c:pt>
                <c:pt idx="751">
                  <c:v>65372.13</c:v>
                </c:pt>
                <c:pt idx="752">
                  <c:v>65777.23</c:v>
                </c:pt>
                <c:pt idx="753">
                  <c:v>67912.06</c:v>
                </c:pt>
                <c:pt idx="754">
                  <c:v>67813.34</c:v>
                </c:pt>
                <c:pt idx="755">
                  <c:v>68255.87</c:v>
                </c:pt>
                <c:pt idx="756">
                  <c:v>66819.91</c:v>
                </c:pt>
                <c:pt idx="757">
                  <c:v>66201.02</c:v>
                </c:pt>
                <c:pt idx="758">
                  <c:v>64619.25</c:v>
                </c:pt>
                <c:pt idx="759">
                  <c:v>65357.5</c:v>
                </c:pt>
                <c:pt idx="760">
                  <c:v>61415.07</c:v>
                </c:pt>
                <c:pt idx="761">
                  <c:v>60680.09</c:v>
                </c:pt>
                <c:pt idx="762">
                  <c:v>58116.98</c:v>
                </c:pt>
                <c:pt idx="763">
                  <c:v>53991.46</c:v>
                </c:pt>
                <c:pt idx="764">
                  <c:v>56034.32</c:v>
                </c:pt>
                <c:pt idx="765">
                  <c:v>55027.46</c:v>
                </c:pt>
                <c:pt idx="766">
                  <c:v>61710.14</c:v>
                </c:pt>
                <c:pt idx="767">
                  <c:v>60880.11</c:v>
                </c:pt>
                <c:pt idx="768">
                  <c:v>60945.81</c:v>
                </c:pt>
                <c:pt idx="769">
                  <c:v>58719.48</c:v>
                </c:pt>
                <c:pt idx="770">
                  <c:v>59354.52</c:v>
                </c:pt>
                <c:pt idx="771">
                  <c:v>60609.57</c:v>
                </c:pt>
                <c:pt idx="772">
                  <c:v>58737.27</c:v>
                </c:pt>
                <c:pt idx="773">
                  <c:v>57560.1</c:v>
                </c:pt>
                <c:pt idx="774">
                  <c:v>58894.11</c:v>
                </c:pt>
                <c:pt idx="775">
                  <c:v>59478.97</c:v>
                </c:pt>
                <c:pt idx="776">
                  <c:v>58483.96</c:v>
                </c:pt>
                <c:pt idx="777">
                  <c:v>59493.45</c:v>
                </c:pt>
                <c:pt idx="778">
                  <c:v>59012.79</c:v>
                </c:pt>
                <c:pt idx="779">
                  <c:v>61175.19</c:v>
                </c:pt>
                <c:pt idx="780">
                  <c:v>60381.91</c:v>
                </c:pt>
                <c:pt idx="781">
                  <c:v>64094.36</c:v>
                </c:pt>
                <c:pt idx="782">
                  <c:v>64178.99</c:v>
                </c:pt>
                <c:pt idx="783">
                  <c:v>64333.54</c:v>
                </c:pt>
                <c:pt idx="784">
                  <c:v>62880.66</c:v>
                </c:pt>
                <c:pt idx="785">
                  <c:v>59504.13</c:v>
                </c:pt>
                <c:pt idx="786">
                  <c:v>59027.63</c:v>
                </c:pt>
                <c:pt idx="787">
                  <c:v>59388.18</c:v>
                </c:pt>
                <c:pt idx="788">
                  <c:v>59119.48</c:v>
                </c:pt>
                <c:pt idx="789">
                  <c:v>58969.9</c:v>
                </c:pt>
                <c:pt idx="790">
                  <c:v>57325.49</c:v>
                </c:pt>
                <c:pt idx="791">
                  <c:v>59112.480000000003</c:v>
                </c:pt>
                <c:pt idx="792">
                  <c:v>57431.02</c:v>
                </c:pt>
                <c:pt idx="793">
                  <c:v>57971.54</c:v>
                </c:pt>
                <c:pt idx="794">
                  <c:v>56160.49</c:v>
                </c:pt>
                <c:pt idx="795">
                  <c:v>53948.75</c:v>
                </c:pt>
                <c:pt idx="796">
                  <c:v>54139.69</c:v>
                </c:pt>
                <c:pt idx="797">
                  <c:v>54841.57</c:v>
                </c:pt>
                <c:pt idx="798">
                  <c:v>57019.54</c:v>
                </c:pt>
                <c:pt idx="799">
                  <c:v>57648.71</c:v>
                </c:pt>
                <c:pt idx="800">
                  <c:v>57343.17</c:v>
                </c:pt>
                <c:pt idx="801">
                  <c:v>58127.01</c:v>
                </c:pt>
                <c:pt idx="802">
                  <c:v>60571.3</c:v>
                </c:pt>
                <c:pt idx="803">
                  <c:v>60005.120000000003</c:v>
                </c:pt>
                <c:pt idx="804">
                  <c:v>59182.84</c:v>
                </c:pt>
                <c:pt idx="805">
                  <c:v>58192.51</c:v>
                </c:pt>
                <c:pt idx="806">
                  <c:v>60308.54</c:v>
                </c:pt>
                <c:pt idx="807">
                  <c:v>61649.68</c:v>
                </c:pt>
                <c:pt idx="808">
                  <c:v>62940.46</c:v>
                </c:pt>
                <c:pt idx="809">
                  <c:v>63192.98</c:v>
                </c:pt>
                <c:pt idx="810">
                  <c:v>63394.84</c:v>
                </c:pt>
                <c:pt idx="811">
                  <c:v>63648.71</c:v>
                </c:pt>
                <c:pt idx="812">
                  <c:v>63329.8</c:v>
                </c:pt>
                <c:pt idx="813">
                  <c:v>64301.97</c:v>
                </c:pt>
                <c:pt idx="814">
                  <c:v>63143.14</c:v>
                </c:pt>
                <c:pt idx="815">
                  <c:v>65181.02</c:v>
                </c:pt>
                <c:pt idx="816">
                  <c:v>65790.66</c:v>
                </c:pt>
                <c:pt idx="817">
                  <c:v>65887.649999999994</c:v>
                </c:pt>
                <c:pt idx="818">
                  <c:v>65635.3</c:v>
                </c:pt>
                <c:pt idx="819">
                  <c:v>63329.5</c:v>
                </c:pt>
                <c:pt idx="820">
                  <c:v>60837.01</c:v>
                </c:pt>
                <c:pt idx="821">
                  <c:v>60632.79</c:v>
                </c:pt>
                <c:pt idx="822">
                  <c:v>60759.4</c:v>
                </c:pt>
                <c:pt idx="823">
                  <c:v>62067.48</c:v>
                </c:pt>
                <c:pt idx="824">
                  <c:v>62089.95</c:v>
                </c:pt>
                <c:pt idx="825">
                  <c:v>62818.95</c:v>
                </c:pt>
                <c:pt idx="826">
                  <c:v>62236.66</c:v>
                </c:pt>
                <c:pt idx="827">
                  <c:v>62131.97</c:v>
                </c:pt>
                <c:pt idx="828">
                  <c:v>60582.1</c:v>
                </c:pt>
                <c:pt idx="829">
                  <c:v>60274.5</c:v>
                </c:pt>
                <c:pt idx="830">
                  <c:v>62445.09</c:v>
                </c:pt>
                <c:pt idx="831">
                  <c:v>63193.02</c:v>
                </c:pt>
                <c:pt idx="832">
                  <c:v>62851.38</c:v>
                </c:pt>
                <c:pt idx="833">
                  <c:v>66046.13</c:v>
                </c:pt>
                <c:pt idx="834">
                  <c:v>67041.11</c:v>
                </c:pt>
                <c:pt idx="835">
                  <c:v>67612.72</c:v>
                </c:pt>
                <c:pt idx="836">
                  <c:v>67399.839999999997</c:v>
                </c:pt>
                <c:pt idx="837">
                  <c:v>68418.789999999994</c:v>
                </c:pt>
                <c:pt idx="838">
                  <c:v>68362.73</c:v>
                </c:pt>
                <c:pt idx="839">
                  <c:v>69001.7</c:v>
                </c:pt>
                <c:pt idx="840">
                  <c:v>67367.850000000006</c:v>
                </c:pt>
                <c:pt idx="841">
                  <c:v>67361.41</c:v>
                </c:pt>
                <c:pt idx="842">
                  <c:v>66432.2</c:v>
                </c:pt>
                <c:pt idx="843">
                  <c:v>68161.05</c:v>
                </c:pt>
                <c:pt idx="844">
                  <c:v>66642.41</c:v>
                </c:pt>
                <c:pt idx="845">
                  <c:v>67014.7</c:v>
                </c:pt>
                <c:pt idx="846">
                  <c:v>67929.3</c:v>
                </c:pt>
                <c:pt idx="847">
                  <c:v>69907.759999999995</c:v>
                </c:pt>
                <c:pt idx="848">
                  <c:v>72720.490000000005</c:v>
                </c:pt>
                <c:pt idx="849">
                  <c:v>72339.539999999994</c:v>
                </c:pt>
                <c:pt idx="850">
                  <c:v>70215.19</c:v>
                </c:pt>
                <c:pt idx="851">
                  <c:v>69482.47</c:v>
                </c:pt>
                <c:pt idx="852">
                  <c:v>69289.27</c:v>
                </c:pt>
                <c:pt idx="853">
                  <c:v>68741.119999999995</c:v>
                </c:pt>
                <c:pt idx="854">
                  <c:v>67811.509999999995</c:v>
                </c:pt>
                <c:pt idx="855">
                  <c:v>69359.56</c:v>
                </c:pt>
                <c:pt idx="856">
                  <c:v>75639.08</c:v>
                </c:pt>
                <c:pt idx="857">
                  <c:v>75904.86</c:v>
                </c:pt>
                <c:pt idx="858">
                  <c:v>76545.48</c:v>
                </c:pt>
                <c:pt idx="859">
                  <c:v>76778.87</c:v>
                </c:pt>
                <c:pt idx="860">
                  <c:v>80474.19</c:v>
                </c:pt>
                <c:pt idx="861">
                  <c:v>88701.48</c:v>
                </c:pt>
                <c:pt idx="862">
                  <c:v>87955.81</c:v>
                </c:pt>
                <c:pt idx="863">
                  <c:v>90584.16</c:v>
                </c:pt>
                <c:pt idx="864">
                  <c:v>87250.43</c:v>
                </c:pt>
                <c:pt idx="865">
                  <c:v>91066.01</c:v>
                </c:pt>
                <c:pt idx="866">
                  <c:v>90558.48</c:v>
                </c:pt>
                <c:pt idx="867">
                  <c:v>89845.85</c:v>
                </c:pt>
                <c:pt idx="868">
                  <c:v>90542.64</c:v>
                </c:pt>
                <c:pt idx="869">
                  <c:v>92343.79</c:v>
                </c:pt>
                <c:pt idx="870">
                  <c:v>94339.49</c:v>
                </c:pt>
                <c:pt idx="871">
                  <c:v>98504.73</c:v>
                </c:pt>
                <c:pt idx="872">
                  <c:v>98997.66</c:v>
                </c:pt>
                <c:pt idx="873">
                  <c:v>97777.279999999999</c:v>
                </c:pt>
                <c:pt idx="874">
                  <c:v>98013.82</c:v>
                </c:pt>
                <c:pt idx="875">
                  <c:v>93102.3</c:v>
                </c:pt>
                <c:pt idx="876">
                  <c:v>91985.32</c:v>
                </c:pt>
                <c:pt idx="877">
                  <c:v>95962.53</c:v>
                </c:pt>
                <c:pt idx="878">
                  <c:v>95652.47</c:v>
                </c:pt>
                <c:pt idx="879">
                  <c:v>97461.52</c:v>
                </c:pt>
                <c:pt idx="880">
                  <c:v>96449.05</c:v>
                </c:pt>
                <c:pt idx="881">
                  <c:v>97279.79</c:v>
                </c:pt>
                <c:pt idx="882">
                  <c:v>95865.3</c:v>
                </c:pt>
                <c:pt idx="883">
                  <c:v>96002.16</c:v>
                </c:pt>
                <c:pt idx="884">
                  <c:v>98768.53</c:v>
                </c:pt>
                <c:pt idx="885">
                  <c:v>96593.57</c:v>
                </c:pt>
                <c:pt idx="886">
                  <c:v>99920.71</c:v>
                </c:pt>
                <c:pt idx="887">
                  <c:v>99923.34</c:v>
                </c:pt>
                <c:pt idx="888">
                  <c:v>101236.02</c:v>
                </c:pt>
                <c:pt idx="889">
                  <c:v>97432.72</c:v>
                </c:pt>
                <c:pt idx="890">
                  <c:v>96675.43</c:v>
                </c:pt>
                <c:pt idx="891">
                  <c:v>101173.03</c:v>
                </c:pt>
                <c:pt idx="892">
                  <c:v>100043</c:v>
                </c:pt>
                <c:pt idx="893">
                  <c:v>101459.26</c:v>
                </c:pt>
                <c:pt idx="894">
                  <c:v>101372.97</c:v>
                </c:pt>
                <c:pt idx="895">
                  <c:v>104298.7</c:v>
                </c:pt>
                <c:pt idx="896">
                  <c:v>106029.72</c:v>
                </c:pt>
                <c:pt idx="897">
                  <c:v>106140.6</c:v>
                </c:pt>
                <c:pt idx="898">
                  <c:v>100041.54</c:v>
                </c:pt>
                <c:pt idx="899">
                  <c:v>97490.95</c:v>
                </c:pt>
                <c:pt idx="900">
                  <c:v>97755.93</c:v>
                </c:pt>
                <c:pt idx="901">
                  <c:v>97224.73</c:v>
                </c:pt>
                <c:pt idx="902">
                  <c:v>95104.94</c:v>
                </c:pt>
                <c:pt idx="903">
                  <c:v>94686.24</c:v>
                </c:pt>
                <c:pt idx="904">
                  <c:v>98676.09</c:v>
                </c:pt>
                <c:pt idx="905">
                  <c:v>99299.199999999997</c:v>
                </c:pt>
                <c:pt idx="906">
                  <c:v>95795.520000000004</c:v>
                </c:pt>
                <c:pt idx="907">
                  <c:v>94164.86</c:v>
                </c:pt>
                <c:pt idx="908">
                  <c:v>95163.93</c:v>
                </c:pt>
                <c:pt idx="909">
                  <c:v>93530.23</c:v>
                </c:pt>
                <c:pt idx="910">
                  <c:v>92643.21</c:v>
                </c:pt>
                <c:pt idx="911">
                  <c:v>93429.2</c:v>
                </c:pt>
                <c:pt idx="912">
                  <c:v>94419.76</c:v>
                </c:pt>
                <c:pt idx="913">
                  <c:v>96886.88</c:v>
                </c:pt>
                <c:pt idx="914">
                  <c:v>98107.43</c:v>
                </c:pt>
                <c:pt idx="915">
                  <c:v>98236.23</c:v>
                </c:pt>
                <c:pt idx="916">
                  <c:v>98314.96</c:v>
                </c:pt>
                <c:pt idx="917">
                  <c:v>102078.09</c:v>
                </c:pt>
                <c:pt idx="918">
                  <c:v>96922.7</c:v>
                </c:pt>
                <c:pt idx="919">
                  <c:v>95043.520000000004</c:v>
                </c:pt>
                <c:pt idx="920">
                  <c:v>92484.04</c:v>
                </c:pt>
                <c:pt idx="921">
                  <c:v>94701.45</c:v>
                </c:pt>
                <c:pt idx="922">
                  <c:v>94566.59</c:v>
                </c:pt>
                <c:pt idx="923">
                  <c:v>94488.44</c:v>
                </c:pt>
                <c:pt idx="924">
                  <c:v>94516.52</c:v>
                </c:pt>
                <c:pt idx="925">
                  <c:v>96534.05</c:v>
                </c:pt>
                <c:pt idx="926">
                  <c:v>100504.49</c:v>
                </c:pt>
                <c:pt idx="927">
                  <c:v>99756.91</c:v>
                </c:pt>
                <c:pt idx="928">
                  <c:v>104462.04</c:v>
                </c:pt>
                <c:pt idx="929">
                  <c:v>104408.07</c:v>
                </c:pt>
                <c:pt idx="930">
                  <c:v>101089.61</c:v>
                </c:pt>
                <c:pt idx="931">
                  <c:v>102016.66</c:v>
                </c:pt>
                <c:pt idx="932">
                  <c:v>106146.27</c:v>
                </c:pt>
                <c:pt idx="933">
                  <c:v>103653.07</c:v>
                </c:pt>
                <c:pt idx="934">
                  <c:v>103960.17</c:v>
                </c:pt>
                <c:pt idx="935">
                  <c:v>104819.48</c:v>
                </c:pt>
                <c:pt idx="936">
                  <c:v>104714.65</c:v>
                </c:pt>
                <c:pt idx="937">
                  <c:v>102682.5</c:v>
                </c:pt>
                <c:pt idx="938">
                  <c:v>102087.69</c:v>
                </c:pt>
                <c:pt idx="939">
                  <c:v>101332.48</c:v>
                </c:pt>
                <c:pt idx="940">
                  <c:v>103703.21</c:v>
                </c:pt>
                <c:pt idx="941">
                  <c:v>104735.3</c:v>
                </c:pt>
                <c:pt idx="942">
                  <c:v>102405.02</c:v>
                </c:pt>
                <c:pt idx="943">
                  <c:v>100655.91</c:v>
                </c:pt>
                <c:pt idx="944">
                  <c:v>97688.98</c:v>
                </c:pt>
                <c:pt idx="945">
                  <c:v>101405.42</c:v>
                </c:pt>
                <c:pt idx="946">
                  <c:v>97871.82</c:v>
                </c:pt>
                <c:pt idx="947">
                  <c:v>96615.45</c:v>
                </c:pt>
                <c:pt idx="948">
                  <c:v>96593.3</c:v>
                </c:pt>
                <c:pt idx="949">
                  <c:v>96529.09</c:v>
                </c:pt>
                <c:pt idx="950">
                  <c:v>96482.45</c:v>
                </c:pt>
                <c:pt idx="951">
                  <c:v>96500.09</c:v>
                </c:pt>
                <c:pt idx="952">
                  <c:v>97437.55</c:v>
                </c:pt>
                <c:pt idx="953">
                  <c:v>95747.43</c:v>
                </c:pt>
                <c:pt idx="954">
                  <c:v>97885.86</c:v>
                </c:pt>
                <c:pt idx="955">
                  <c:v>96623.87</c:v>
                </c:pt>
                <c:pt idx="956">
                  <c:v>97508.97</c:v>
                </c:pt>
                <c:pt idx="957">
                  <c:v>97580.35</c:v>
                </c:pt>
                <c:pt idx="958">
                  <c:v>96175.03</c:v>
                </c:pt>
                <c:pt idx="959">
                  <c:v>95773.38</c:v>
                </c:pt>
                <c:pt idx="960">
                  <c:v>95539.55</c:v>
                </c:pt>
                <c:pt idx="961">
                  <c:v>96635.61</c:v>
                </c:pt>
                <c:pt idx="962">
                  <c:v>98333.94</c:v>
                </c:pt>
                <c:pt idx="963">
                  <c:v>96125.55</c:v>
                </c:pt>
                <c:pt idx="964">
                  <c:v>96577.76</c:v>
                </c:pt>
                <c:pt idx="965">
                  <c:v>96273.919999999998</c:v>
                </c:pt>
                <c:pt idx="966">
                  <c:v>91418.17</c:v>
                </c:pt>
                <c:pt idx="967">
                  <c:v>88736.17</c:v>
                </c:pt>
                <c:pt idx="968">
                  <c:v>84347.02</c:v>
                </c:pt>
                <c:pt idx="969">
                  <c:v>84704.23</c:v>
                </c:pt>
                <c:pt idx="970">
                  <c:v>84373.01</c:v>
                </c:pt>
                <c:pt idx="971">
                  <c:v>86031.91</c:v>
                </c:pt>
                <c:pt idx="972">
                  <c:v>94248.35</c:v>
                </c:pt>
                <c:pt idx="973">
                  <c:v>86065.67</c:v>
                </c:pt>
                <c:pt idx="974">
                  <c:v>87222.2</c:v>
                </c:pt>
                <c:pt idx="975">
                  <c:v>90623.56</c:v>
                </c:pt>
                <c:pt idx="976">
                  <c:v>89961.73</c:v>
                </c:pt>
                <c:pt idx="977">
                  <c:v>86742.67</c:v>
                </c:pt>
                <c:pt idx="978">
                  <c:v>86154.59</c:v>
                </c:pt>
                <c:pt idx="979">
                  <c:v>80601.039999999994</c:v>
                </c:pt>
                <c:pt idx="980">
                  <c:v>78532</c:v>
                </c:pt>
                <c:pt idx="981">
                  <c:v>82862.210000000006</c:v>
                </c:pt>
                <c:pt idx="982">
                  <c:v>83722.36</c:v>
                </c:pt>
                <c:pt idx="983">
                  <c:v>81066.7</c:v>
                </c:pt>
                <c:pt idx="984">
                  <c:v>83969.1</c:v>
                </c:pt>
                <c:pt idx="985">
                  <c:v>84343.11</c:v>
                </c:pt>
                <c:pt idx="986">
                  <c:v>82579.69</c:v>
                </c:pt>
                <c:pt idx="987">
                  <c:v>84075.69</c:v>
                </c:pt>
                <c:pt idx="988">
                  <c:v>82718.5</c:v>
                </c:pt>
                <c:pt idx="989">
                  <c:v>86854.23</c:v>
                </c:pt>
                <c:pt idx="990">
                  <c:v>84167.2</c:v>
                </c:pt>
                <c:pt idx="991">
                  <c:v>84043.24</c:v>
                </c:pt>
                <c:pt idx="992">
                  <c:v>83832.479999999996</c:v>
                </c:pt>
                <c:pt idx="993">
                  <c:v>86054.38</c:v>
                </c:pt>
                <c:pt idx="994">
                  <c:v>87498.91</c:v>
                </c:pt>
                <c:pt idx="995">
                  <c:v>87471.7</c:v>
                </c:pt>
                <c:pt idx="996">
                  <c:v>86900.88</c:v>
                </c:pt>
                <c:pt idx="997">
                  <c:v>87177.1</c:v>
                </c:pt>
                <c:pt idx="998">
                  <c:v>84353.15</c:v>
                </c:pt>
                <c:pt idx="999">
                  <c:v>82597.59</c:v>
                </c:pt>
                <c:pt idx="1000">
                  <c:v>81817.41</c:v>
                </c:pt>
              </c:numCache>
            </c:numRef>
          </c:val>
          <c:smooth val="0"/>
          <c:extLst>
            <c:ext xmlns:c16="http://schemas.microsoft.com/office/drawing/2014/chart" uri="{C3380CC4-5D6E-409C-BE32-E72D297353CC}">
              <c16:uniqueId val="{00000001-9334-4494-B783-668443FF2A3D}"/>
            </c:ext>
          </c:extLst>
        </c:ser>
        <c:dLbls>
          <c:showLegendKey val="0"/>
          <c:showVal val="0"/>
          <c:showCatName val="0"/>
          <c:showSerName val="0"/>
          <c:showPercent val="0"/>
          <c:showBubbleSize val="0"/>
        </c:dLbls>
        <c:marker val="1"/>
        <c:smooth val="0"/>
        <c:axId val="365900096"/>
        <c:axId val="365906336"/>
      </c:lineChart>
      <c:lineChart>
        <c:grouping val="standard"/>
        <c:varyColors val="0"/>
        <c:ser>
          <c:idx val="1"/>
          <c:order val="1"/>
          <c:tx>
            <c:strRef>
              <c:f>'BTC-index sentimiento'!$D$3</c:f>
              <c:strCache>
                <c:ptCount val="1"/>
                <c:pt idx="0">
                  <c:v>Promedio de index</c:v>
                </c:pt>
              </c:strCache>
            </c:strRef>
          </c:tx>
          <c:spPr>
            <a:ln w="47625" cap="rnd" cmpd="sng">
              <a:gradFill flip="none" rotWithShape="1">
                <a:gsLst>
                  <a:gs pos="0">
                    <a:srgbClr val="FF0000">
                      <a:lumMod val="100000"/>
                    </a:srgb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prstDash val="sysDot"/>
              <a:bevel/>
              <a:tailEnd w="sm" len="sm"/>
            </a:ln>
            <a:effectLst/>
          </c:spPr>
          <c:marker>
            <c:symbol val="none"/>
          </c:marker>
          <c:trendline>
            <c:spPr>
              <a:ln w="19050" cap="rnd">
                <a:solidFill>
                  <a:schemeClr val="accent2"/>
                </a:solidFill>
                <a:prstDash val="sysDot"/>
              </a:ln>
              <a:effectLst/>
            </c:spPr>
            <c:trendlineType val="linear"/>
            <c:dispRSqr val="0"/>
            <c:dispEq val="0"/>
          </c:trendline>
          <c:cat>
            <c:strRef>
              <c:f>'BTC-index sentimiento'!$B$4:$B$1005</c:f>
              <c:strCache>
                <c:ptCount val="1001"/>
                <c:pt idx="0">
                  <c:v>4/7/2022</c:v>
                </c:pt>
                <c:pt idx="1">
                  <c:v>5/7/2022</c:v>
                </c:pt>
                <c:pt idx="2">
                  <c:v>6/7/2022</c:v>
                </c:pt>
                <c:pt idx="3">
                  <c:v>7/7/2022</c:v>
                </c:pt>
                <c:pt idx="4">
                  <c:v>8/7/2022</c:v>
                </c:pt>
                <c:pt idx="5">
                  <c:v>9/7/2022</c:v>
                </c:pt>
                <c:pt idx="6">
                  <c:v>10/7/2022</c:v>
                </c:pt>
                <c:pt idx="7">
                  <c:v>11/7/2022</c:v>
                </c:pt>
                <c:pt idx="8">
                  <c:v>12/7/2022</c:v>
                </c:pt>
                <c:pt idx="9">
                  <c:v>13/7/2022</c:v>
                </c:pt>
                <c:pt idx="10">
                  <c:v>14/7/2022</c:v>
                </c:pt>
                <c:pt idx="11">
                  <c:v>15/7/2022</c:v>
                </c:pt>
                <c:pt idx="12">
                  <c:v>16/7/2022</c:v>
                </c:pt>
                <c:pt idx="13">
                  <c:v>17/7/2022</c:v>
                </c:pt>
                <c:pt idx="14">
                  <c:v>18/7/2022</c:v>
                </c:pt>
                <c:pt idx="15">
                  <c:v>19/7/2022</c:v>
                </c:pt>
                <c:pt idx="16">
                  <c:v>20/7/2022</c:v>
                </c:pt>
                <c:pt idx="17">
                  <c:v>21/7/2022</c:v>
                </c:pt>
                <c:pt idx="18">
                  <c:v>22/7/2022</c:v>
                </c:pt>
                <c:pt idx="19">
                  <c:v>23/7/2022</c:v>
                </c:pt>
                <c:pt idx="20">
                  <c:v>24/7/2022</c:v>
                </c:pt>
                <c:pt idx="21">
                  <c:v>25/7/2022</c:v>
                </c:pt>
                <c:pt idx="22">
                  <c:v>26/7/2022</c:v>
                </c:pt>
                <c:pt idx="23">
                  <c:v>27/7/2022</c:v>
                </c:pt>
                <c:pt idx="24">
                  <c:v>28/7/2022</c:v>
                </c:pt>
                <c:pt idx="25">
                  <c:v>29/7/2022</c:v>
                </c:pt>
                <c:pt idx="26">
                  <c:v>30/7/2022</c:v>
                </c:pt>
                <c:pt idx="27">
                  <c:v>31/7/2022</c:v>
                </c:pt>
                <c:pt idx="28">
                  <c:v>1/8/2022</c:v>
                </c:pt>
                <c:pt idx="29">
                  <c:v>2/8/2022</c:v>
                </c:pt>
                <c:pt idx="30">
                  <c:v>3/8/2022</c:v>
                </c:pt>
                <c:pt idx="31">
                  <c:v>4/8/2022</c:v>
                </c:pt>
                <c:pt idx="32">
                  <c:v>5/8/2022</c:v>
                </c:pt>
                <c:pt idx="33">
                  <c:v>6/8/2022</c:v>
                </c:pt>
                <c:pt idx="34">
                  <c:v>7/8/2022</c:v>
                </c:pt>
                <c:pt idx="35">
                  <c:v>8/8/2022</c:v>
                </c:pt>
                <c:pt idx="36">
                  <c:v>9/8/2022</c:v>
                </c:pt>
                <c:pt idx="37">
                  <c:v>10/8/2022</c:v>
                </c:pt>
                <c:pt idx="38">
                  <c:v>11/8/2022</c:v>
                </c:pt>
                <c:pt idx="39">
                  <c:v>12/8/2022</c:v>
                </c:pt>
                <c:pt idx="40">
                  <c:v>13/8/2022</c:v>
                </c:pt>
                <c:pt idx="41">
                  <c:v>14/8/2022</c:v>
                </c:pt>
                <c:pt idx="42">
                  <c:v>15/8/2022</c:v>
                </c:pt>
                <c:pt idx="43">
                  <c:v>16/8/2022</c:v>
                </c:pt>
                <c:pt idx="44">
                  <c:v>17/8/2022</c:v>
                </c:pt>
                <c:pt idx="45">
                  <c:v>18/8/2022</c:v>
                </c:pt>
                <c:pt idx="46">
                  <c:v>19/8/2022</c:v>
                </c:pt>
                <c:pt idx="47">
                  <c:v>20/8/2022</c:v>
                </c:pt>
                <c:pt idx="48">
                  <c:v>21/8/2022</c:v>
                </c:pt>
                <c:pt idx="49">
                  <c:v>22/8/2022</c:v>
                </c:pt>
                <c:pt idx="50">
                  <c:v>23/8/2022</c:v>
                </c:pt>
                <c:pt idx="51">
                  <c:v>24/8/2022</c:v>
                </c:pt>
                <c:pt idx="52">
                  <c:v>25/8/2022</c:v>
                </c:pt>
                <c:pt idx="53">
                  <c:v>26/8/2022</c:v>
                </c:pt>
                <c:pt idx="54">
                  <c:v>27/8/2022</c:v>
                </c:pt>
                <c:pt idx="55">
                  <c:v>28/8/2022</c:v>
                </c:pt>
                <c:pt idx="56">
                  <c:v>29/8/2022</c:v>
                </c:pt>
                <c:pt idx="57">
                  <c:v>30/8/2022</c:v>
                </c:pt>
                <c:pt idx="58">
                  <c:v>31/8/2022</c:v>
                </c:pt>
                <c:pt idx="59">
                  <c:v>1/9/2022</c:v>
                </c:pt>
                <c:pt idx="60">
                  <c:v>2/9/2022</c:v>
                </c:pt>
                <c:pt idx="61">
                  <c:v>3/9/2022</c:v>
                </c:pt>
                <c:pt idx="62">
                  <c:v>4/9/2022</c:v>
                </c:pt>
                <c:pt idx="63">
                  <c:v>5/9/2022</c:v>
                </c:pt>
                <c:pt idx="64">
                  <c:v>6/9/2022</c:v>
                </c:pt>
                <c:pt idx="65">
                  <c:v>7/9/2022</c:v>
                </c:pt>
                <c:pt idx="66">
                  <c:v>8/9/2022</c:v>
                </c:pt>
                <c:pt idx="67">
                  <c:v>9/9/2022</c:v>
                </c:pt>
                <c:pt idx="68">
                  <c:v>10/9/2022</c:v>
                </c:pt>
                <c:pt idx="69">
                  <c:v>11/9/2022</c:v>
                </c:pt>
                <c:pt idx="70">
                  <c:v>12/9/2022</c:v>
                </c:pt>
                <c:pt idx="71">
                  <c:v>13/9/2022</c:v>
                </c:pt>
                <c:pt idx="72">
                  <c:v>14/9/2022</c:v>
                </c:pt>
                <c:pt idx="73">
                  <c:v>15/9/2022</c:v>
                </c:pt>
                <c:pt idx="74">
                  <c:v>16/9/2022</c:v>
                </c:pt>
                <c:pt idx="75">
                  <c:v>17/9/2022</c:v>
                </c:pt>
                <c:pt idx="76">
                  <c:v>18/9/2022</c:v>
                </c:pt>
                <c:pt idx="77">
                  <c:v>19/9/2022</c:v>
                </c:pt>
                <c:pt idx="78">
                  <c:v>20/9/2022</c:v>
                </c:pt>
                <c:pt idx="79">
                  <c:v>21/9/2022</c:v>
                </c:pt>
                <c:pt idx="80">
                  <c:v>22/9/2022</c:v>
                </c:pt>
                <c:pt idx="81">
                  <c:v>23/9/2022</c:v>
                </c:pt>
                <c:pt idx="82">
                  <c:v>24/9/2022</c:v>
                </c:pt>
                <c:pt idx="83">
                  <c:v>25/9/2022</c:v>
                </c:pt>
                <c:pt idx="84">
                  <c:v>26/9/2022</c:v>
                </c:pt>
                <c:pt idx="85">
                  <c:v>27/9/2022</c:v>
                </c:pt>
                <c:pt idx="86">
                  <c:v>28/9/2022</c:v>
                </c:pt>
                <c:pt idx="87">
                  <c:v>29/9/2022</c:v>
                </c:pt>
                <c:pt idx="88">
                  <c:v>30/9/2022</c:v>
                </c:pt>
                <c:pt idx="89">
                  <c:v>1/10/2022</c:v>
                </c:pt>
                <c:pt idx="90">
                  <c:v>2/10/2022</c:v>
                </c:pt>
                <c:pt idx="91">
                  <c:v>3/10/2022</c:v>
                </c:pt>
                <c:pt idx="92">
                  <c:v>4/10/2022</c:v>
                </c:pt>
                <c:pt idx="93">
                  <c:v>5/10/2022</c:v>
                </c:pt>
                <c:pt idx="94">
                  <c:v>6/10/2022</c:v>
                </c:pt>
                <c:pt idx="95">
                  <c:v>7/10/2022</c:v>
                </c:pt>
                <c:pt idx="96">
                  <c:v>8/10/2022</c:v>
                </c:pt>
                <c:pt idx="97">
                  <c:v>9/10/2022</c:v>
                </c:pt>
                <c:pt idx="98">
                  <c:v>10/10/2022</c:v>
                </c:pt>
                <c:pt idx="99">
                  <c:v>11/10/2022</c:v>
                </c:pt>
                <c:pt idx="100">
                  <c:v>12/10/2022</c:v>
                </c:pt>
                <c:pt idx="101">
                  <c:v>13/10/2022</c:v>
                </c:pt>
                <c:pt idx="102">
                  <c:v>14/10/2022</c:v>
                </c:pt>
                <c:pt idx="103">
                  <c:v>15/10/2022</c:v>
                </c:pt>
                <c:pt idx="104">
                  <c:v>16/10/2022</c:v>
                </c:pt>
                <c:pt idx="105">
                  <c:v>17/10/2022</c:v>
                </c:pt>
                <c:pt idx="106">
                  <c:v>18/10/2022</c:v>
                </c:pt>
                <c:pt idx="107">
                  <c:v>19/10/2022</c:v>
                </c:pt>
                <c:pt idx="108">
                  <c:v>20/10/2022</c:v>
                </c:pt>
                <c:pt idx="109">
                  <c:v>21/10/2022</c:v>
                </c:pt>
                <c:pt idx="110">
                  <c:v>22/10/2022</c:v>
                </c:pt>
                <c:pt idx="111">
                  <c:v>23/10/2022</c:v>
                </c:pt>
                <c:pt idx="112">
                  <c:v>24/10/2022</c:v>
                </c:pt>
                <c:pt idx="113">
                  <c:v>25/10/2022</c:v>
                </c:pt>
                <c:pt idx="114">
                  <c:v>26/10/2022</c:v>
                </c:pt>
                <c:pt idx="115">
                  <c:v>27/10/2022</c:v>
                </c:pt>
                <c:pt idx="116">
                  <c:v>28/10/2022</c:v>
                </c:pt>
                <c:pt idx="117">
                  <c:v>29/10/2022</c:v>
                </c:pt>
                <c:pt idx="118">
                  <c:v>30/10/2022</c:v>
                </c:pt>
                <c:pt idx="119">
                  <c:v>31/10/2022</c:v>
                </c:pt>
                <c:pt idx="120">
                  <c:v>1/11/2022</c:v>
                </c:pt>
                <c:pt idx="121">
                  <c:v>2/11/2022</c:v>
                </c:pt>
                <c:pt idx="122">
                  <c:v>3/11/2022</c:v>
                </c:pt>
                <c:pt idx="123">
                  <c:v>4/11/2022</c:v>
                </c:pt>
                <c:pt idx="124">
                  <c:v>5/11/2022</c:v>
                </c:pt>
                <c:pt idx="125">
                  <c:v>6/11/2022</c:v>
                </c:pt>
                <c:pt idx="126">
                  <c:v>7/11/2022</c:v>
                </c:pt>
                <c:pt idx="127">
                  <c:v>8/11/2022</c:v>
                </c:pt>
                <c:pt idx="128">
                  <c:v>9/11/2022</c:v>
                </c:pt>
                <c:pt idx="129">
                  <c:v>10/11/2022</c:v>
                </c:pt>
                <c:pt idx="130">
                  <c:v>11/11/2022</c:v>
                </c:pt>
                <c:pt idx="131">
                  <c:v>12/11/2022</c:v>
                </c:pt>
                <c:pt idx="132">
                  <c:v>13/11/2022</c:v>
                </c:pt>
                <c:pt idx="133">
                  <c:v>14/11/2022</c:v>
                </c:pt>
                <c:pt idx="134">
                  <c:v>15/11/2022</c:v>
                </c:pt>
                <c:pt idx="135">
                  <c:v>16/11/2022</c:v>
                </c:pt>
                <c:pt idx="136">
                  <c:v>17/11/2022</c:v>
                </c:pt>
                <c:pt idx="137">
                  <c:v>18/11/2022</c:v>
                </c:pt>
                <c:pt idx="138">
                  <c:v>19/11/2022</c:v>
                </c:pt>
                <c:pt idx="139">
                  <c:v>20/11/2022</c:v>
                </c:pt>
                <c:pt idx="140">
                  <c:v>21/11/2022</c:v>
                </c:pt>
                <c:pt idx="141">
                  <c:v>22/11/2022</c:v>
                </c:pt>
                <c:pt idx="142">
                  <c:v>23/11/2022</c:v>
                </c:pt>
                <c:pt idx="143">
                  <c:v>24/11/2022</c:v>
                </c:pt>
                <c:pt idx="144">
                  <c:v>25/11/2022</c:v>
                </c:pt>
                <c:pt idx="145">
                  <c:v>26/11/2022</c:v>
                </c:pt>
                <c:pt idx="146">
                  <c:v>27/11/2022</c:v>
                </c:pt>
                <c:pt idx="147">
                  <c:v>28/11/2022</c:v>
                </c:pt>
                <c:pt idx="148">
                  <c:v>29/11/2022</c:v>
                </c:pt>
                <c:pt idx="149">
                  <c:v>30/11/2022</c:v>
                </c:pt>
                <c:pt idx="150">
                  <c:v>1/12/2022</c:v>
                </c:pt>
                <c:pt idx="151">
                  <c:v>2/12/2022</c:v>
                </c:pt>
                <c:pt idx="152">
                  <c:v>3/12/2022</c:v>
                </c:pt>
                <c:pt idx="153">
                  <c:v>4/12/2022</c:v>
                </c:pt>
                <c:pt idx="154">
                  <c:v>5/12/2022</c:v>
                </c:pt>
                <c:pt idx="155">
                  <c:v>6/12/2022</c:v>
                </c:pt>
                <c:pt idx="156">
                  <c:v>7/12/2022</c:v>
                </c:pt>
                <c:pt idx="157">
                  <c:v>8/12/2022</c:v>
                </c:pt>
                <c:pt idx="158">
                  <c:v>9/12/2022</c:v>
                </c:pt>
                <c:pt idx="159">
                  <c:v>10/12/2022</c:v>
                </c:pt>
                <c:pt idx="160">
                  <c:v>11/12/2022</c:v>
                </c:pt>
                <c:pt idx="161">
                  <c:v>12/12/2022</c:v>
                </c:pt>
                <c:pt idx="162">
                  <c:v>13/12/2022</c:v>
                </c:pt>
                <c:pt idx="163">
                  <c:v>14/12/2022</c:v>
                </c:pt>
                <c:pt idx="164">
                  <c:v>15/12/2022</c:v>
                </c:pt>
                <c:pt idx="165">
                  <c:v>16/12/2022</c:v>
                </c:pt>
                <c:pt idx="166">
                  <c:v>17/12/2022</c:v>
                </c:pt>
                <c:pt idx="167">
                  <c:v>18/12/2022</c:v>
                </c:pt>
                <c:pt idx="168">
                  <c:v>19/12/2022</c:v>
                </c:pt>
                <c:pt idx="169">
                  <c:v>20/12/2022</c:v>
                </c:pt>
                <c:pt idx="170">
                  <c:v>21/12/2022</c:v>
                </c:pt>
                <c:pt idx="171">
                  <c:v>22/12/2022</c:v>
                </c:pt>
                <c:pt idx="172">
                  <c:v>23/12/2022</c:v>
                </c:pt>
                <c:pt idx="173">
                  <c:v>24/12/2022</c:v>
                </c:pt>
                <c:pt idx="174">
                  <c:v>25/12/2022</c:v>
                </c:pt>
                <c:pt idx="175">
                  <c:v>26/12/2022</c:v>
                </c:pt>
                <c:pt idx="176">
                  <c:v>27/12/2022</c:v>
                </c:pt>
                <c:pt idx="177">
                  <c:v>28/12/2022</c:v>
                </c:pt>
                <c:pt idx="178">
                  <c:v>29/12/2022</c:v>
                </c:pt>
                <c:pt idx="179">
                  <c:v>30/12/2022</c:v>
                </c:pt>
                <c:pt idx="180">
                  <c:v>31/12/2022</c:v>
                </c:pt>
                <c:pt idx="181">
                  <c:v>1/1/2023</c:v>
                </c:pt>
                <c:pt idx="182">
                  <c:v>2/1/2023</c:v>
                </c:pt>
                <c:pt idx="183">
                  <c:v>3/1/2023</c:v>
                </c:pt>
                <c:pt idx="184">
                  <c:v>4/1/2023</c:v>
                </c:pt>
                <c:pt idx="185">
                  <c:v>5/1/2023</c:v>
                </c:pt>
                <c:pt idx="186">
                  <c:v>6/1/2023</c:v>
                </c:pt>
                <c:pt idx="187">
                  <c:v>7/1/2023</c:v>
                </c:pt>
                <c:pt idx="188">
                  <c:v>8/1/2023</c:v>
                </c:pt>
                <c:pt idx="189">
                  <c:v>9/1/2023</c:v>
                </c:pt>
                <c:pt idx="190">
                  <c:v>10/1/2023</c:v>
                </c:pt>
                <c:pt idx="191">
                  <c:v>11/1/2023</c:v>
                </c:pt>
                <c:pt idx="192">
                  <c:v>12/1/2023</c:v>
                </c:pt>
                <c:pt idx="193">
                  <c:v>13/1/2023</c:v>
                </c:pt>
                <c:pt idx="194">
                  <c:v>14/1/2023</c:v>
                </c:pt>
                <c:pt idx="195">
                  <c:v>15/1/2023</c:v>
                </c:pt>
                <c:pt idx="196">
                  <c:v>16/1/2023</c:v>
                </c:pt>
                <c:pt idx="197">
                  <c:v>17/1/2023</c:v>
                </c:pt>
                <c:pt idx="198">
                  <c:v>18/1/2023</c:v>
                </c:pt>
                <c:pt idx="199">
                  <c:v>19/1/2023</c:v>
                </c:pt>
                <c:pt idx="200">
                  <c:v>20/1/2023</c:v>
                </c:pt>
                <c:pt idx="201">
                  <c:v>21/1/2023</c:v>
                </c:pt>
                <c:pt idx="202">
                  <c:v>22/1/2023</c:v>
                </c:pt>
                <c:pt idx="203">
                  <c:v>23/1/2023</c:v>
                </c:pt>
                <c:pt idx="204">
                  <c:v>24/1/2023</c:v>
                </c:pt>
                <c:pt idx="205">
                  <c:v>25/1/2023</c:v>
                </c:pt>
                <c:pt idx="206">
                  <c:v>26/1/2023</c:v>
                </c:pt>
                <c:pt idx="207">
                  <c:v>27/1/2023</c:v>
                </c:pt>
                <c:pt idx="208">
                  <c:v>28/1/2023</c:v>
                </c:pt>
                <c:pt idx="209">
                  <c:v>29/1/2023</c:v>
                </c:pt>
                <c:pt idx="210">
                  <c:v>30/1/2023</c:v>
                </c:pt>
                <c:pt idx="211">
                  <c:v>31/1/2023</c:v>
                </c:pt>
                <c:pt idx="212">
                  <c:v>1/2/2023</c:v>
                </c:pt>
                <c:pt idx="213">
                  <c:v>2/2/2023</c:v>
                </c:pt>
                <c:pt idx="214">
                  <c:v>3/2/2023</c:v>
                </c:pt>
                <c:pt idx="215">
                  <c:v>4/2/2023</c:v>
                </c:pt>
                <c:pt idx="216">
                  <c:v>5/2/2023</c:v>
                </c:pt>
                <c:pt idx="217">
                  <c:v>6/2/2023</c:v>
                </c:pt>
                <c:pt idx="218">
                  <c:v>7/2/2023</c:v>
                </c:pt>
                <c:pt idx="219">
                  <c:v>8/2/2023</c:v>
                </c:pt>
                <c:pt idx="220">
                  <c:v>9/2/2023</c:v>
                </c:pt>
                <c:pt idx="221">
                  <c:v>10/2/2023</c:v>
                </c:pt>
                <c:pt idx="222">
                  <c:v>11/2/2023</c:v>
                </c:pt>
                <c:pt idx="223">
                  <c:v>12/2/2023</c:v>
                </c:pt>
                <c:pt idx="224">
                  <c:v>13/2/2023</c:v>
                </c:pt>
                <c:pt idx="225">
                  <c:v>14/2/2023</c:v>
                </c:pt>
                <c:pt idx="226">
                  <c:v>15/2/2023</c:v>
                </c:pt>
                <c:pt idx="227">
                  <c:v>16/2/2023</c:v>
                </c:pt>
                <c:pt idx="228">
                  <c:v>17/2/2023</c:v>
                </c:pt>
                <c:pt idx="229">
                  <c:v>18/2/2023</c:v>
                </c:pt>
                <c:pt idx="230">
                  <c:v>19/2/2023</c:v>
                </c:pt>
                <c:pt idx="231">
                  <c:v>20/2/2023</c:v>
                </c:pt>
                <c:pt idx="232">
                  <c:v>21/2/2023</c:v>
                </c:pt>
                <c:pt idx="233">
                  <c:v>22/2/2023</c:v>
                </c:pt>
                <c:pt idx="234">
                  <c:v>23/2/2023</c:v>
                </c:pt>
                <c:pt idx="235">
                  <c:v>24/2/2023</c:v>
                </c:pt>
                <c:pt idx="236">
                  <c:v>25/2/2023</c:v>
                </c:pt>
                <c:pt idx="237">
                  <c:v>26/2/2023</c:v>
                </c:pt>
                <c:pt idx="238">
                  <c:v>27/2/2023</c:v>
                </c:pt>
                <c:pt idx="239">
                  <c:v>28/2/2023</c:v>
                </c:pt>
                <c:pt idx="240">
                  <c:v>1/3/2023</c:v>
                </c:pt>
                <c:pt idx="241">
                  <c:v>2/3/2023</c:v>
                </c:pt>
                <c:pt idx="242">
                  <c:v>3/3/2023</c:v>
                </c:pt>
                <c:pt idx="243">
                  <c:v>4/3/2023</c:v>
                </c:pt>
                <c:pt idx="244">
                  <c:v>5/3/2023</c:v>
                </c:pt>
                <c:pt idx="245">
                  <c:v>6/3/2023</c:v>
                </c:pt>
                <c:pt idx="246">
                  <c:v>7/3/2023</c:v>
                </c:pt>
                <c:pt idx="247">
                  <c:v>8/3/2023</c:v>
                </c:pt>
                <c:pt idx="248">
                  <c:v>9/3/2023</c:v>
                </c:pt>
                <c:pt idx="249">
                  <c:v>10/3/2023</c:v>
                </c:pt>
                <c:pt idx="250">
                  <c:v>11/3/2023</c:v>
                </c:pt>
                <c:pt idx="251">
                  <c:v>12/3/2023</c:v>
                </c:pt>
                <c:pt idx="252">
                  <c:v>13/3/2023</c:v>
                </c:pt>
                <c:pt idx="253">
                  <c:v>14/3/2023</c:v>
                </c:pt>
                <c:pt idx="254">
                  <c:v>15/3/2023</c:v>
                </c:pt>
                <c:pt idx="255">
                  <c:v>16/3/2023</c:v>
                </c:pt>
                <c:pt idx="256">
                  <c:v>17/3/2023</c:v>
                </c:pt>
                <c:pt idx="257">
                  <c:v>18/3/2023</c:v>
                </c:pt>
                <c:pt idx="258">
                  <c:v>19/3/2023</c:v>
                </c:pt>
                <c:pt idx="259">
                  <c:v>20/3/2023</c:v>
                </c:pt>
                <c:pt idx="260">
                  <c:v>21/3/2023</c:v>
                </c:pt>
                <c:pt idx="261">
                  <c:v>22/3/2023</c:v>
                </c:pt>
                <c:pt idx="262">
                  <c:v>23/3/2023</c:v>
                </c:pt>
                <c:pt idx="263">
                  <c:v>24/3/2023</c:v>
                </c:pt>
                <c:pt idx="264">
                  <c:v>25/3/2023</c:v>
                </c:pt>
                <c:pt idx="265">
                  <c:v>26/3/2023</c:v>
                </c:pt>
                <c:pt idx="266">
                  <c:v>27/3/2023</c:v>
                </c:pt>
                <c:pt idx="267">
                  <c:v>28/3/2023</c:v>
                </c:pt>
                <c:pt idx="268">
                  <c:v>29/3/2023</c:v>
                </c:pt>
                <c:pt idx="269">
                  <c:v>30/3/2023</c:v>
                </c:pt>
                <c:pt idx="270">
                  <c:v>31/3/2023</c:v>
                </c:pt>
                <c:pt idx="271">
                  <c:v>1/4/2023</c:v>
                </c:pt>
                <c:pt idx="272">
                  <c:v>2/4/2023</c:v>
                </c:pt>
                <c:pt idx="273">
                  <c:v>3/4/2023</c:v>
                </c:pt>
                <c:pt idx="274">
                  <c:v>4/4/2023</c:v>
                </c:pt>
                <c:pt idx="275">
                  <c:v>5/4/2023</c:v>
                </c:pt>
                <c:pt idx="276">
                  <c:v>6/4/2023</c:v>
                </c:pt>
                <c:pt idx="277">
                  <c:v>7/4/2023</c:v>
                </c:pt>
                <c:pt idx="278">
                  <c:v>8/4/2023</c:v>
                </c:pt>
                <c:pt idx="279">
                  <c:v>9/4/2023</c:v>
                </c:pt>
                <c:pt idx="280">
                  <c:v>10/4/2023</c:v>
                </c:pt>
                <c:pt idx="281">
                  <c:v>11/4/2023</c:v>
                </c:pt>
                <c:pt idx="282">
                  <c:v>12/4/2023</c:v>
                </c:pt>
                <c:pt idx="283">
                  <c:v>13/4/2023</c:v>
                </c:pt>
                <c:pt idx="284">
                  <c:v>14/4/2023</c:v>
                </c:pt>
                <c:pt idx="285">
                  <c:v>15/4/2023</c:v>
                </c:pt>
                <c:pt idx="286">
                  <c:v>16/4/2023</c:v>
                </c:pt>
                <c:pt idx="287">
                  <c:v>17/4/2023</c:v>
                </c:pt>
                <c:pt idx="288">
                  <c:v>18/4/2023</c:v>
                </c:pt>
                <c:pt idx="289">
                  <c:v>19/4/2023</c:v>
                </c:pt>
                <c:pt idx="290">
                  <c:v>20/4/2023</c:v>
                </c:pt>
                <c:pt idx="291">
                  <c:v>21/4/2023</c:v>
                </c:pt>
                <c:pt idx="292">
                  <c:v>22/4/2023</c:v>
                </c:pt>
                <c:pt idx="293">
                  <c:v>23/4/2023</c:v>
                </c:pt>
                <c:pt idx="294">
                  <c:v>24/4/2023</c:v>
                </c:pt>
                <c:pt idx="295">
                  <c:v>25/4/2023</c:v>
                </c:pt>
                <c:pt idx="296">
                  <c:v>26/4/2023</c:v>
                </c:pt>
                <c:pt idx="297">
                  <c:v>27/4/2023</c:v>
                </c:pt>
                <c:pt idx="298">
                  <c:v>28/4/2023</c:v>
                </c:pt>
                <c:pt idx="299">
                  <c:v>29/4/2023</c:v>
                </c:pt>
                <c:pt idx="300">
                  <c:v>30/4/2023</c:v>
                </c:pt>
                <c:pt idx="301">
                  <c:v>1/5/2023</c:v>
                </c:pt>
                <c:pt idx="302">
                  <c:v>2/5/2023</c:v>
                </c:pt>
                <c:pt idx="303">
                  <c:v>3/5/2023</c:v>
                </c:pt>
                <c:pt idx="304">
                  <c:v>4/5/2023</c:v>
                </c:pt>
                <c:pt idx="305">
                  <c:v>5/5/2023</c:v>
                </c:pt>
                <c:pt idx="306">
                  <c:v>6/5/2023</c:v>
                </c:pt>
                <c:pt idx="307">
                  <c:v>7/5/2023</c:v>
                </c:pt>
                <c:pt idx="308">
                  <c:v>8/5/2023</c:v>
                </c:pt>
                <c:pt idx="309">
                  <c:v>9/5/2023</c:v>
                </c:pt>
                <c:pt idx="310">
                  <c:v>10/5/2023</c:v>
                </c:pt>
                <c:pt idx="311">
                  <c:v>11/5/2023</c:v>
                </c:pt>
                <c:pt idx="312">
                  <c:v>12/5/2023</c:v>
                </c:pt>
                <c:pt idx="313">
                  <c:v>13/5/2023</c:v>
                </c:pt>
                <c:pt idx="314">
                  <c:v>14/5/2023</c:v>
                </c:pt>
                <c:pt idx="315">
                  <c:v>15/5/2023</c:v>
                </c:pt>
                <c:pt idx="316">
                  <c:v>16/5/2023</c:v>
                </c:pt>
                <c:pt idx="317">
                  <c:v>17/5/2023</c:v>
                </c:pt>
                <c:pt idx="318">
                  <c:v>18/5/2023</c:v>
                </c:pt>
                <c:pt idx="319">
                  <c:v>19/5/2023</c:v>
                </c:pt>
                <c:pt idx="320">
                  <c:v>20/5/2023</c:v>
                </c:pt>
                <c:pt idx="321">
                  <c:v>21/5/2023</c:v>
                </c:pt>
                <c:pt idx="322">
                  <c:v>22/5/2023</c:v>
                </c:pt>
                <c:pt idx="323">
                  <c:v>23/5/2023</c:v>
                </c:pt>
                <c:pt idx="324">
                  <c:v>24/5/2023</c:v>
                </c:pt>
                <c:pt idx="325">
                  <c:v>25/5/2023</c:v>
                </c:pt>
                <c:pt idx="326">
                  <c:v>26/5/2023</c:v>
                </c:pt>
                <c:pt idx="327">
                  <c:v>27/5/2023</c:v>
                </c:pt>
                <c:pt idx="328">
                  <c:v>28/5/2023</c:v>
                </c:pt>
                <c:pt idx="329">
                  <c:v>29/5/2023</c:v>
                </c:pt>
                <c:pt idx="330">
                  <c:v>30/5/2023</c:v>
                </c:pt>
                <c:pt idx="331">
                  <c:v>31/5/2023</c:v>
                </c:pt>
                <c:pt idx="332">
                  <c:v>1/6/2023</c:v>
                </c:pt>
                <c:pt idx="333">
                  <c:v>2/6/2023</c:v>
                </c:pt>
                <c:pt idx="334">
                  <c:v>3/6/2023</c:v>
                </c:pt>
                <c:pt idx="335">
                  <c:v>4/6/2023</c:v>
                </c:pt>
                <c:pt idx="336">
                  <c:v>5/6/2023</c:v>
                </c:pt>
                <c:pt idx="337">
                  <c:v>6/6/2023</c:v>
                </c:pt>
                <c:pt idx="338">
                  <c:v>7/6/2023</c:v>
                </c:pt>
                <c:pt idx="339">
                  <c:v>8/6/2023</c:v>
                </c:pt>
                <c:pt idx="340">
                  <c:v>9/6/2023</c:v>
                </c:pt>
                <c:pt idx="341">
                  <c:v>10/6/2023</c:v>
                </c:pt>
                <c:pt idx="342">
                  <c:v>11/6/2023</c:v>
                </c:pt>
                <c:pt idx="343">
                  <c:v>12/6/2023</c:v>
                </c:pt>
                <c:pt idx="344">
                  <c:v>13/6/2023</c:v>
                </c:pt>
                <c:pt idx="345">
                  <c:v>14/6/2023</c:v>
                </c:pt>
                <c:pt idx="346">
                  <c:v>15/6/2023</c:v>
                </c:pt>
                <c:pt idx="347">
                  <c:v>16/6/2023</c:v>
                </c:pt>
                <c:pt idx="348">
                  <c:v>17/6/2023</c:v>
                </c:pt>
                <c:pt idx="349">
                  <c:v>18/6/2023</c:v>
                </c:pt>
                <c:pt idx="350">
                  <c:v>19/6/2023</c:v>
                </c:pt>
                <c:pt idx="351">
                  <c:v>20/6/2023</c:v>
                </c:pt>
                <c:pt idx="352">
                  <c:v>21/6/2023</c:v>
                </c:pt>
                <c:pt idx="353">
                  <c:v>22/6/2023</c:v>
                </c:pt>
                <c:pt idx="354">
                  <c:v>23/6/2023</c:v>
                </c:pt>
                <c:pt idx="355">
                  <c:v>24/6/2023</c:v>
                </c:pt>
                <c:pt idx="356">
                  <c:v>25/6/2023</c:v>
                </c:pt>
                <c:pt idx="357">
                  <c:v>26/6/2023</c:v>
                </c:pt>
                <c:pt idx="358">
                  <c:v>27/6/2023</c:v>
                </c:pt>
                <c:pt idx="359">
                  <c:v>28/6/2023</c:v>
                </c:pt>
                <c:pt idx="360">
                  <c:v>29/6/2023</c:v>
                </c:pt>
                <c:pt idx="361">
                  <c:v>30/6/2023</c:v>
                </c:pt>
                <c:pt idx="362">
                  <c:v>1/7/2023</c:v>
                </c:pt>
                <c:pt idx="363">
                  <c:v>2/7/2023</c:v>
                </c:pt>
                <c:pt idx="364">
                  <c:v>3/7/2023</c:v>
                </c:pt>
                <c:pt idx="365">
                  <c:v>4/7/2023</c:v>
                </c:pt>
                <c:pt idx="366">
                  <c:v>5/7/2023</c:v>
                </c:pt>
                <c:pt idx="367">
                  <c:v>6/7/2023</c:v>
                </c:pt>
                <c:pt idx="368">
                  <c:v>7/7/2023</c:v>
                </c:pt>
                <c:pt idx="369">
                  <c:v>8/7/2023</c:v>
                </c:pt>
                <c:pt idx="370">
                  <c:v>9/7/2023</c:v>
                </c:pt>
                <c:pt idx="371">
                  <c:v>10/7/2023</c:v>
                </c:pt>
                <c:pt idx="372">
                  <c:v>11/7/2023</c:v>
                </c:pt>
                <c:pt idx="373">
                  <c:v>12/7/2023</c:v>
                </c:pt>
                <c:pt idx="374">
                  <c:v>13/7/2023</c:v>
                </c:pt>
                <c:pt idx="375">
                  <c:v>14/7/2023</c:v>
                </c:pt>
                <c:pt idx="376">
                  <c:v>15/7/2023</c:v>
                </c:pt>
                <c:pt idx="377">
                  <c:v>16/7/2023</c:v>
                </c:pt>
                <c:pt idx="378">
                  <c:v>17/7/2023</c:v>
                </c:pt>
                <c:pt idx="379">
                  <c:v>18/7/2023</c:v>
                </c:pt>
                <c:pt idx="380">
                  <c:v>19/7/2023</c:v>
                </c:pt>
                <c:pt idx="381">
                  <c:v>20/7/2023</c:v>
                </c:pt>
                <c:pt idx="382">
                  <c:v>21/7/2023</c:v>
                </c:pt>
                <c:pt idx="383">
                  <c:v>22/7/2023</c:v>
                </c:pt>
                <c:pt idx="384">
                  <c:v>23/7/2023</c:v>
                </c:pt>
                <c:pt idx="385">
                  <c:v>24/7/2023</c:v>
                </c:pt>
                <c:pt idx="386">
                  <c:v>25/7/2023</c:v>
                </c:pt>
                <c:pt idx="387">
                  <c:v>26/7/2023</c:v>
                </c:pt>
                <c:pt idx="388">
                  <c:v>27/7/2023</c:v>
                </c:pt>
                <c:pt idx="389">
                  <c:v>28/7/2023</c:v>
                </c:pt>
                <c:pt idx="390">
                  <c:v>29/7/2023</c:v>
                </c:pt>
                <c:pt idx="391">
                  <c:v>30/7/2023</c:v>
                </c:pt>
                <c:pt idx="392">
                  <c:v>31/7/2023</c:v>
                </c:pt>
                <c:pt idx="393">
                  <c:v>1/8/2023</c:v>
                </c:pt>
                <c:pt idx="394">
                  <c:v>2/8/2023</c:v>
                </c:pt>
                <c:pt idx="395">
                  <c:v>3/8/2023</c:v>
                </c:pt>
                <c:pt idx="396">
                  <c:v>4/8/2023</c:v>
                </c:pt>
                <c:pt idx="397">
                  <c:v>5/8/2023</c:v>
                </c:pt>
                <c:pt idx="398">
                  <c:v>6/8/2023</c:v>
                </c:pt>
                <c:pt idx="399">
                  <c:v>7/8/2023</c:v>
                </c:pt>
                <c:pt idx="400">
                  <c:v>8/8/2023</c:v>
                </c:pt>
                <c:pt idx="401">
                  <c:v>9/8/2023</c:v>
                </c:pt>
                <c:pt idx="402">
                  <c:v>10/8/2023</c:v>
                </c:pt>
                <c:pt idx="403">
                  <c:v>11/8/2023</c:v>
                </c:pt>
                <c:pt idx="404">
                  <c:v>12/8/2023</c:v>
                </c:pt>
                <c:pt idx="405">
                  <c:v>13/8/2023</c:v>
                </c:pt>
                <c:pt idx="406">
                  <c:v>14/8/2023</c:v>
                </c:pt>
                <c:pt idx="407">
                  <c:v>15/8/2023</c:v>
                </c:pt>
                <c:pt idx="408">
                  <c:v>16/8/2023</c:v>
                </c:pt>
                <c:pt idx="409">
                  <c:v>17/8/2023</c:v>
                </c:pt>
                <c:pt idx="410">
                  <c:v>18/8/2023</c:v>
                </c:pt>
                <c:pt idx="411">
                  <c:v>19/8/2023</c:v>
                </c:pt>
                <c:pt idx="412">
                  <c:v>20/8/2023</c:v>
                </c:pt>
                <c:pt idx="413">
                  <c:v>21/8/2023</c:v>
                </c:pt>
                <c:pt idx="414">
                  <c:v>22/8/2023</c:v>
                </c:pt>
                <c:pt idx="415">
                  <c:v>23/8/2023</c:v>
                </c:pt>
                <c:pt idx="416">
                  <c:v>24/8/2023</c:v>
                </c:pt>
                <c:pt idx="417">
                  <c:v>25/8/2023</c:v>
                </c:pt>
                <c:pt idx="418">
                  <c:v>26/8/2023</c:v>
                </c:pt>
                <c:pt idx="419">
                  <c:v>27/8/2023</c:v>
                </c:pt>
                <c:pt idx="420">
                  <c:v>28/8/2023</c:v>
                </c:pt>
                <c:pt idx="421">
                  <c:v>29/8/2023</c:v>
                </c:pt>
                <c:pt idx="422">
                  <c:v>30/8/2023</c:v>
                </c:pt>
                <c:pt idx="423">
                  <c:v>31/8/2023</c:v>
                </c:pt>
                <c:pt idx="424">
                  <c:v>1/9/2023</c:v>
                </c:pt>
                <c:pt idx="425">
                  <c:v>2/9/2023</c:v>
                </c:pt>
                <c:pt idx="426">
                  <c:v>3/9/2023</c:v>
                </c:pt>
                <c:pt idx="427">
                  <c:v>4/9/2023</c:v>
                </c:pt>
                <c:pt idx="428">
                  <c:v>5/9/2023</c:v>
                </c:pt>
                <c:pt idx="429">
                  <c:v>6/9/2023</c:v>
                </c:pt>
                <c:pt idx="430">
                  <c:v>7/9/2023</c:v>
                </c:pt>
                <c:pt idx="431">
                  <c:v>8/9/2023</c:v>
                </c:pt>
                <c:pt idx="432">
                  <c:v>9/9/2023</c:v>
                </c:pt>
                <c:pt idx="433">
                  <c:v>10/9/2023</c:v>
                </c:pt>
                <c:pt idx="434">
                  <c:v>11/9/2023</c:v>
                </c:pt>
                <c:pt idx="435">
                  <c:v>12/9/2023</c:v>
                </c:pt>
                <c:pt idx="436">
                  <c:v>13/9/2023</c:v>
                </c:pt>
                <c:pt idx="437">
                  <c:v>14/9/2023</c:v>
                </c:pt>
                <c:pt idx="438">
                  <c:v>15/9/2023</c:v>
                </c:pt>
                <c:pt idx="439">
                  <c:v>16/9/2023</c:v>
                </c:pt>
                <c:pt idx="440">
                  <c:v>17/9/2023</c:v>
                </c:pt>
                <c:pt idx="441">
                  <c:v>18/9/2023</c:v>
                </c:pt>
                <c:pt idx="442">
                  <c:v>19/9/2023</c:v>
                </c:pt>
                <c:pt idx="443">
                  <c:v>20/9/2023</c:v>
                </c:pt>
                <c:pt idx="444">
                  <c:v>21/9/2023</c:v>
                </c:pt>
                <c:pt idx="445">
                  <c:v>22/9/2023</c:v>
                </c:pt>
                <c:pt idx="446">
                  <c:v>23/9/2023</c:v>
                </c:pt>
                <c:pt idx="447">
                  <c:v>24/9/2023</c:v>
                </c:pt>
                <c:pt idx="448">
                  <c:v>25/9/2023</c:v>
                </c:pt>
                <c:pt idx="449">
                  <c:v>26/9/2023</c:v>
                </c:pt>
                <c:pt idx="450">
                  <c:v>27/9/2023</c:v>
                </c:pt>
                <c:pt idx="451">
                  <c:v>28/9/2023</c:v>
                </c:pt>
                <c:pt idx="452">
                  <c:v>29/9/2023</c:v>
                </c:pt>
                <c:pt idx="453">
                  <c:v>30/9/2023</c:v>
                </c:pt>
                <c:pt idx="454">
                  <c:v>1/10/2023</c:v>
                </c:pt>
                <c:pt idx="455">
                  <c:v>2/10/2023</c:v>
                </c:pt>
                <c:pt idx="456">
                  <c:v>3/10/2023</c:v>
                </c:pt>
                <c:pt idx="457">
                  <c:v>4/10/2023</c:v>
                </c:pt>
                <c:pt idx="458">
                  <c:v>5/10/2023</c:v>
                </c:pt>
                <c:pt idx="459">
                  <c:v>6/10/2023</c:v>
                </c:pt>
                <c:pt idx="460">
                  <c:v>7/10/2023</c:v>
                </c:pt>
                <c:pt idx="461">
                  <c:v>8/10/2023</c:v>
                </c:pt>
                <c:pt idx="462">
                  <c:v>9/10/2023</c:v>
                </c:pt>
                <c:pt idx="463">
                  <c:v>10/10/2023</c:v>
                </c:pt>
                <c:pt idx="464">
                  <c:v>11/10/2023</c:v>
                </c:pt>
                <c:pt idx="465">
                  <c:v>12/10/2023</c:v>
                </c:pt>
                <c:pt idx="466">
                  <c:v>13/10/2023</c:v>
                </c:pt>
                <c:pt idx="467">
                  <c:v>14/10/2023</c:v>
                </c:pt>
                <c:pt idx="468">
                  <c:v>15/10/2023</c:v>
                </c:pt>
                <c:pt idx="469">
                  <c:v>16/10/2023</c:v>
                </c:pt>
                <c:pt idx="470">
                  <c:v>17/10/2023</c:v>
                </c:pt>
                <c:pt idx="471">
                  <c:v>18/10/2023</c:v>
                </c:pt>
                <c:pt idx="472">
                  <c:v>19/10/2023</c:v>
                </c:pt>
                <c:pt idx="473">
                  <c:v>20/10/2023</c:v>
                </c:pt>
                <c:pt idx="474">
                  <c:v>21/10/2023</c:v>
                </c:pt>
                <c:pt idx="475">
                  <c:v>22/10/2023</c:v>
                </c:pt>
                <c:pt idx="476">
                  <c:v>23/10/2023</c:v>
                </c:pt>
                <c:pt idx="477">
                  <c:v>24/10/2023</c:v>
                </c:pt>
                <c:pt idx="478">
                  <c:v>25/10/2023</c:v>
                </c:pt>
                <c:pt idx="479">
                  <c:v>26/10/2023</c:v>
                </c:pt>
                <c:pt idx="480">
                  <c:v>27/10/2023</c:v>
                </c:pt>
                <c:pt idx="481">
                  <c:v>28/10/2023</c:v>
                </c:pt>
                <c:pt idx="482">
                  <c:v>29/10/2023</c:v>
                </c:pt>
                <c:pt idx="483">
                  <c:v>30/10/2023</c:v>
                </c:pt>
                <c:pt idx="484">
                  <c:v>31/10/2023</c:v>
                </c:pt>
                <c:pt idx="485">
                  <c:v>1/11/2023</c:v>
                </c:pt>
                <c:pt idx="486">
                  <c:v>2/11/2023</c:v>
                </c:pt>
                <c:pt idx="487">
                  <c:v>3/11/2023</c:v>
                </c:pt>
                <c:pt idx="488">
                  <c:v>4/11/2023</c:v>
                </c:pt>
                <c:pt idx="489">
                  <c:v>5/11/2023</c:v>
                </c:pt>
                <c:pt idx="490">
                  <c:v>6/11/2023</c:v>
                </c:pt>
                <c:pt idx="491">
                  <c:v>7/11/2023</c:v>
                </c:pt>
                <c:pt idx="492">
                  <c:v>8/11/2023</c:v>
                </c:pt>
                <c:pt idx="493">
                  <c:v>9/11/2023</c:v>
                </c:pt>
                <c:pt idx="494">
                  <c:v>10/11/2023</c:v>
                </c:pt>
                <c:pt idx="495">
                  <c:v>11/11/2023</c:v>
                </c:pt>
                <c:pt idx="496">
                  <c:v>12/11/2023</c:v>
                </c:pt>
                <c:pt idx="497">
                  <c:v>13/11/2023</c:v>
                </c:pt>
                <c:pt idx="498">
                  <c:v>14/11/2023</c:v>
                </c:pt>
                <c:pt idx="499">
                  <c:v>15/11/2023</c:v>
                </c:pt>
                <c:pt idx="500">
                  <c:v>16/11/2023</c:v>
                </c:pt>
                <c:pt idx="501">
                  <c:v>17/11/2023</c:v>
                </c:pt>
                <c:pt idx="502">
                  <c:v>18/11/2023</c:v>
                </c:pt>
                <c:pt idx="503">
                  <c:v>19/11/2023</c:v>
                </c:pt>
                <c:pt idx="504">
                  <c:v>20/11/2023</c:v>
                </c:pt>
                <c:pt idx="505">
                  <c:v>21/11/2023</c:v>
                </c:pt>
                <c:pt idx="506">
                  <c:v>22/11/2023</c:v>
                </c:pt>
                <c:pt idx="507">
                  <c:v>23/11/2023</c:v>
                </c:pt>
                <c:pt idx="508">
                  <c:v>24/11/2023</c:v>
                </c:pt>
                <c:pt idx="509">
                  <c:v>25/11/2023</c:v>
                </c:pt>
                <c:pt idx="510">
                  <c:v>26/11/2023</c:v>
                </c:pt>
                <c:pt idx="511">
                  <c:v>27/11/2023</c:v>
                </c:pt>
                <c:pt idx="512">
                  <c:v>28/11/2023</c:v>
                </c:pt>
                <c:pt idx="513">
                  <c:v>29/11/2023</c:v>
                </c:pt>
                <c:pt idx="514">
                  <c:v>30/11/2023</c:v>
                </c:pt>
                <c:pt idx="515">
                  <c:v>1/12/2023</c:v>
                </c:pt>
                <c:pt idx="516">
                  <c:v>2/12/2023</c:v>
                </c:pt>
                <c:pt idx="517">
                  <c:v>3/12/2023</c:v>
                </c:pt>
                <c:pt idx="518">
                  <c:v>4/12/2023</c:v>
                </c:pt>
                <c:pt idx="519">
                  <c:v>5/12/2023</c:v>
                </c:pt>
                <c:pt idx="520">
                  <c:v>6/12/2023</c:v>
                </c:pt>
                <c:pt idx="521">
                  <c:v>7/12/2023</c:v>
                </c:pt>
                <c:pt idx="522">
                  <c:v>8/12/2023</c:v>
                </c:pt>
                <c:pt idx="523">
                  <c:v>9/12/2023</c:v>
                </c:pt>
                <c:pt idx="524">
                  <c:v>10/12/2023</c:v>
                </c:pt>
                <c:pt idx="525">
                  <c:v>11/12/2023</c:v>
                </c:pt>
                <c:pt idx="526">
                  <c:v>12/12/2023</c:v>
                </c:pt>
                <c:pt idx="527">
                  <c:v>13/12/2023</c:v>
                </c:pt>
                <c:pt idx="528">
                  <c:v>14/12/2023</c:v>
                </c:pt>
                <c:pt idx="529">
                  <c:v>15/12/2023</c:v>
                </c:pt>
                <c:pt idx="530">
                  <c:v>16/12/2023</c:v>
                </c:pt>
                <c:pt idx="531">
                  <c:v>17/12/2023</c:v>
                </c:pt>
                <c:pt idx="532">
                  <c:v>18/12/2023</c:v>
                </c:pt>
                <c:pt idx="533">
                  <c:v>19/12/2023</c:v>
                </c:pt>
                <c:pt idx="534">
                  <c:v>20/12/2023</c:v>
                </c:pt>
                <c:pt idx="535">
                  <c:v>21/12/2023</c:v>
                </c:pt>
                <c:pt idx="536">
                  <c:v>22/12/2023</c:v>
                </c:pt>
                <c:pt idx="537">
                  <c:v>23/12/2023</c:v>
                </c:pt>
                <c:pt idx="538">
                  <c:v>24/12/2023</c:v>
                </c:pt>
                <c:pt idx="539">
                  <c:v>25/12/2023</c:v>
                </c:pt>
                <c:pt idx="540">
                  <c:v>26/12/2023</c:v>
                </c:pt>
                <c:pt idx="541">
                  <c:v>27/12/2023</c:v>
                </c:pt>
                <c:pt idx="542">
                  <c:v>28/12/2023</c:v>
                </c:pt>
                <c:pt idx="543">
                  <c:v>29/12/2023</c:v>
                </c:pt>
                <c:pt idx="544">
                  <c:v>30/12/2023</c:v>
                </c:pt>
                <c:pt idx="545">
                  <c:v>31/12/2023</c:v>
                </c:pt>
                <c:pt idx="546">
                  <c:v>1/1/2024</c:v>
                </c:pt>
                <c:pt idx="547">
                  <c:v>2/1/2024</c:v>
                </c:pt>
                <c:pt idx="548">
                  <c:v>3/1/2024</c:v>
                </c:pt>
                <c:pt idx="549">
                  <c:v>4/1/2024</c:v>
                </c:pt>
                <c:pt idx="550">
                  <c:v>5/1/2024</c:v>
                </c:pt>
                <c:pt idx="551">
                  <c:v>6/1/2024</c:v>
                </c:pt>
                <c:pt idx="552">
                  <c:v>7/1/2024</c:v>
                </c:pt>
                <c:pt idx="553">
                  <c:v>8/1/2024</c:v>
                </c:pt>
                <c:pt idx="554">
                  <c:v>9/1/2024</c:v>
                </c:pt>
                <c:pt idx="555">
                  <c:v>10/1/2024</c:v>
                </c:pt>
                <c:pt idx="556">
                  <c:v>11/1/2024</c:v>
                </c:pt>
                <c:pt idx="557">
                  <c:v>12/1/2024</c:v>
                </c:pt>
                <c:pt idx="558">
                  <c:v>13/1/2024</c:v>
                </c:pt>
                <c:pt idx="559">
                  <c:v>14/1/2024</c:v>
                </c:pt>
                <c:pt idx="560">
                  <c:v>15/1/2024</c:v>
                </c:pt>
                <c:pt idx="561">
                  <c:v>16/1/2024</c:v>
                </c:pt>
                <c:pt idx="562">
                  <c:v>17/1/2024</c:v>
                </c:pt>
                <c:pt idx="563">
                  <c:v>18/1/2024</c:v>
                </c:pt>
                <c:pt idx="564">
                  <c:v>19/1/2024</c:v>
                </c:pt>
                <c:pt idx="565">
                  <c:v>20/1/2024</c:v>
                </c:pt>
                <c:pt idx="566">
                  <c:v>21/1/2024</c:v>
                </c:pt>
                <c:pt idx="567">
                  <c:v>22/1/2024</c:v>
                </c:pt>
                <c:pt idx="568">
                  <c:v>23/1/2024</c:v>
                </c:pt>
                <c:pt idx="569">
                  <c:v>24/1/2024</c:v>
                </c:pt>
                <c:pt idx="570">
                  <c:v>25/1/2024</c:v>
                </c:pt>
                <c:pt idx="571">
                  <c:v>26/1/2024</c:v>
                </c:pt>
                <c:pt idx="572">
                  <c:v>27/1/2024</c:v>
                </c:pt>
                <c:pt idx="573">
                  <c:v>28/1/2024</c:v>
                </c:pt>
                <c:pt idx="574">
                  <c:v>29/1/2024</c:v>
                </c:pt>
                <c:pt idx="575">
                  <c:v>30/1/2024</c:v>
                </c:pt>
                <c:pt idx="576">
                  <c:v>31/1/2024</c:v>
                </c:pt>
                <c:pt idx="577">
                  <c:v>1/2/2024</c:v>
                </c:pt>
                <c:pt idx="578">
                  <c:v>2/2/2024</c:v>
                </c:pt>
                <c:pt idx="579">
                  <c:v>3/2/2024</c:v>
                </c:pt>
                <c:pt idx="580">
                  <c:v>4/2/2024</c:v>
                </c:pt>
                <c:pt idx="581">
                  <c:v>5/2/2024</c:v>
                </c:pt>
                <c:pt idx="582">
                  <c:v>6/2/2024</c:v>
                </c:pt>
                <c:pt idx="583">
                  <c:v>7/2/2024</c:v>
                </c:pt>
                <c:pt idx="584">
                  <c:v>8/2/2024</c:v>
                </c:pt>
                <c:pt idx="585">
                  <c:v>9/2/2024</c:v>
                </c:pt>
                <c:pt idx="586">
                  <c:v>10/2/2024</c:v>
                </c:pt>
                <c:pt idx="587">
                  <c:v>11/2/2024</c:v>
                </c:pt>
                <c:pt idx="588">
                  <c:v>12/2/2024</c:v>
                </c:pt>
                <c:pt idx="589">
                  <c:v>13/2/2024</c:v>
                </c:pt>
                <c:pt idx="590">
                  <c:v>14/2/2024</c:v>
                </c:pt>
                <c:pt idx="591">
                  <c:v>15/2/2024</c:v>
                </c:pt>
                <c:pt idx="592">
                  <c:v>16/2/2024</c:v>
                </c:pt>
                <c:pt idx="593">
                  <c:v>17/2/2024</c:v>
                </c:pt>
                <c:pt idx="594">
                  <c:v>18/2/2024</c:v>
                </c:pt>
                <c:pt idx="595">
                  <c:v>19/2/2024</c:v>
                </c:pt>
                <c:pt idx="596">
                  <c:v>20/2/2024</c:v>
                </c:pt>
                <c:pt idx="597">
                  <c:v>21/2/2024</c:v>
                </c:pt>
                <c:pt idx="598">
                  <c:v>22/2/2024</c:v>
                </c:pt>
                <c:pt idx="599">
                  <c:v>23/2/2024</c:v>
                </c:pt>
                <c:pt idx="600">
                  <c:v>24/2/2024</c:v>
                </c:pt>
                <c:pt idx="601">
                  <c:v>25/2/2024</c:v>
                </c:pt>
                <c:pt idx="602">
                  <c:v>26/2/2024</c:v>
                </c:pt>
                <c:pt idx="603">
                  <c:v>27/2/2024</c:v>
                </c:pt>
                <c:pt idx="604">
                  <c:v>28/2/2024</c:v>
                </c:pt>
                <c:pt idx="605">
                  <c:v>29/2/2024</c:v>
                </c:pt>
                <c:pt idx="606">
                  <c:v>1/3/2024</c:v>
                </c:pt>
                <c:pt idx="607">
                  <c:v>2/3/2024</c:v>
                </c:pt>
                <c:pt idx="608">
                  <c:v>3/3/2024</c:v>
                </c:pt>
                <c:pt idx="609">
                  <c:v>4/3/2024</c:v>
                </c:pt>
                <c:pt idx="610">
                  <c:v>5/3/2024</c:v>
                </c:pt>
                <c:pt idx="611">
                  <c:v>6/3/2024</c:v>
                </c:pt>
                <c:pt idx="612">
                  <c:v>7/3/2024</c:v>
                </c:pt>
                <c:pt idx="613">
                  <c:v>8/3/2024</c:v>
                </c:pt>
                <c:pt idx="614">
                  <c:v>9/3/2024</c:v>
                </c:pt>
                <c:pt idx="615">
                  <c:v>10/3/2024</c:v>
                </c:pt>
                <c:pt idx="616">
                  <c:v>11/3/2024</c:v>
                </c:pt>
                <c:pt idx="617">
                  <c:v>12/3/2024</c:v>
                </c:pt>
                <c:pt idx="618">
                  <c:v>13/3/2024</c:v>
                </c:pt>
                <c:pt idx="619">
                  <c:v>14/3/2024</c:v>
                </c:pt>
                <c:pt idx="620">
                  <c:v>15/3/2024</c:v>
                </c:pt>
                <c:pt idx="621">
                  <c:v>16/3/2024</c:v>
                </c:pt>
                <c:pt idx="622">
                  <c:v>17/3/2024</c:v>
                </c:pt>
                <c:pt idx="623">
                  <c:v>18/3/2024</c:v>
                </c:pt>
                <c:pt idx="624">
                  <c:v>19/3/2024</c:v>
                </c:pt>
                <c:pt idx="625">
                  <c:v>20/3/2024</c:v>
                </c:pt>
                <c:pt idx="626">
                  <c:v>21/3/2024</c:v>
                </c:pt>
                <c:pt idx="627">
                  <c:v>22/3/2024</c:v>
                </c:pt>
                <c:pt idx="628">
                  <c:v>23/3/2024</c:v>
                </c:pt>
                <c:pt idx="629">
                  <c:v>24/3/2024</c:v>
                </c:pt>
                <c:pt idx="630">
                  <c:v>25/3/2024</c:v>
                </c:pt>
                <c:pt idx="631">
                  <c:v>26/3/2024</c:v>
                </c:pt>
                <c:pt idx="632">
                  <c:v>27/3/2024</c:v>
                </c:pt>
                <c:pt idx="633">
                  <c:v>28/3/2024</c:v>
                </c:pt>
                <c:pt idx="634">
                  <c:v>29/3/2024</c:v>
                </c:pt>
                <c:pt idx="635">
                  <c:v>30/3/2024</c:v>
                </c:pt>
                <c:pt idx="636">
                  <c:v>31/3/2024</c:v>
                </c:pt>
                <c:pt idx="637">
                  <c:v>1/4/2024</c:v>
                </c:pt>
                <c:pt idx="638">
                  <c:v>2/4/2024</c:v>
                </c:pt>
                <c:pt idx="639">
                  <c:v>3/4/2024</c:v>
                </c:pt>
                <c:pt idx="640">
                  <c:v>4/4/2024</c:v>
                </c:pt>
                <c:pt idx="641">
                  <c:v>5/4/2024</c:v>
                </c:pt>
                <c:pt idx="642">
                  <c:v>6/4/2024</c:v>
                </c:pt>
                <c:pt idx="643">
                  <c:v>7/4/2024</c:v>
                </c:pt>
                <c:pt idx="644">
                  <c:v>8/4/2024</c:v>
                </c:pt>
                <c:pt idx="645">
                  <c:v>9/4/2024</c:v>
                </c:pt>
                <c:pt idx="646">
                  <c:v>10/4/2024</c:v>
                </c:pt>
                <c:pt idx="647">
                  <c:v>11/4/2024</c:v>
                </c:pt>
                <c:pt idx="648">
                  <c:v>12/4/2024</c:v>
                </c:pt>
                <c:pt idx="649">
                  <c:v>13/4/2024</c:v>
                </c:pt>
                <c:pt idx="650">
                  <c:v>14/4/2024</c:v>
                </c:pt>
                <c:pt idx="651">
                  <c:v>15/4/2024</c:v>
                </c:pt>
                <c:pt idx="652">
                  <c:v>16/4/2024</c:v>
                </c:pt>
                <c:pt idx="653">
                  <c:v>17/4/2024</c:v>
                </c:pt>
                <c:pt idx="654">
                  <c:v>18/4/2024</c:v>
                </c:pt>
                <c:pt idx="655">
                  <c:v>19/4/2024</c:v>
                </c:pt>
                <c:pt idx="656">
                  <c:v>20/4/2024</c:v>
                </c:pt>
                <c:pt idx="657">
                  <c:v>21/4/2024</c:v>
                </c:pt>
                <c:pt idx="658">
                  <c:v>22/4/2024</c:v>
                </c:pt>
                <c:pt idx="659">
                  <c:v>23/4/2024</c:v>
                </c:pt>
                <c:pt idx="660">
                  <c:v>24/4/2024</c:v>
                </c:pt>
                <c:pt idx="661">
                  <c:v>25/4/2024</c:v>
                </c:pt>
                <c:pt idx="662">
                  <c:v>26/4/2024</c:v>
                </c:pt>
                <c:pt idx="663">
                  <c:v>27/4/2024</c:v>
                </c:pt>
                <c:pt idx="664">
                  <c:v>28/4/2024</c:v>
                </c:pt>
                <c:pt idx="665">
                  <c:v>29/4/2024</c:v>
                </c:pt>
                <c:pt idx="666">
                  <c:v>30/4/2024</c:v>
                </c:pt>
                <c:pt idx="667">
                  <c:v>1/5/2024</c:v>
                </c:pt>
                <c:pt idx="668">
                  <c:v>2/5/2024</c:v>
                </c:pt>
                <c:pt idx="669">
                  <c:v>3/5/2024</c:v>
                </c:pt>
                <c:pt idx="670">
                  <c:v>4/5/2024</c:v>
                </c:pt>
                <c:pt idx="671">
                  <c:v>5/5/2024</c:v>
                </c:pt>
                <c:pt idx="672">
                  <c:v>6/5/2024</c:v>
                </c:pt>
                <c:pt idx="673">
                  <c:v>7/5/2024</c:v>
                </c:pt>
                <c:pt idx="674">
                  <c:v>8/5/2024</c:v>
                </c:pt>
                <c:pt idx="675">
                  <c:v>9/5/2024</c:v>
                </c:pt>
                <c:pt idx="676">
                  <c:v>10/5/2024</c:v>
                </c:pt>
                <c:pt idx="677">
                  <c:v>11/5/2024</c:v>
                </c:pt>
                <c:pt idx="678">
                  <c:v>12/5/2024</c:v>
                </c:pt>
                <c:pt idx="679">
                  <c:v>13/5/2024</c:v>
                </c:pt>
                <c:pt idx="680">
                  <c:v>14/5/2024</c:v>
                </c:pt>
                <c:pt idx="681">
                  <c:v>15/5/2024</c:v>
                </c:pt>
                <c:pt idx="682">
                  <c:v>16/5/2024</c:v>
                </c:pt>
                <c:pt idx="683">
                  <c:v>17/5/2024</c:v>
                </c:pt>
                <c:pt idx="684">
                  <c:v>18/5/2024</c:v>
                </c:pt>
                <c:pt idx="685">
                  <c:v>19/5/2024</c:v>
                </c:pt>
                <c:pt idx="686">
                  <c:v>20/5/2024</c:v>
                </c:pt>
                <c:pt idx="687">
                  <c:v>21/5/2024</c:v>
                </c:pt>
                <c:pt idx="688">
                  <c:v>22/5/2024</c:v>
                </c:pt>
                <c:pt idx="689">
                  <c:v>23/5/2024</c:v>
                </c:pt>
                <c:pt idx="690">
                  <c:v>24/5/2024</c:v>
                </c:pt>
                <c:pt idx="691">
                  <c:v>25/5/2024</c:v>
                </c:pt>
                <c:pt idx="692">
                  <c:v>26/5/2024</c:v>
                </c:pt>
                <c:pt idx="693">
                  <c:v>27/5/2024</c:v>
                </c:pt>
                <c:pt idx="694">
                  <c:v>28/5/2024</c:v>
                </c:pt>
                <c:pt idx="695">
                  <c:v>29/5/2024</c:v>
                </c:pt>
                <c:pt idx="696">
                  <c:v>30/5/2024</c:v>
                </c:pt>
                <c:pt idx="697">
                  <c:v>31/5/2024</c:v>
                </c:pt>
                <c:pt idx="698">
                  <c:v>1/6/2024</c:v>
                </c:pt>
                <c:pt idx="699">
                  <c:v>2/6/2024</c:v>
                </c:pt>
                <c:pt idx="700">
                  <c:v>3/6/2024</c:v>
                </c:pt>
                <c:pt idx="701">
                  <c:v>4/6/2024</c:v>
                </c:pt>
                <c:pt idx="702">
                  <c:v>5/6/2024</c:v>
                </c:pt>
                <c:pt idx="703">
                  <c:v>6/6/2024</c:v>
                </c:pt>
                <c:pt idx="704">
                  <c:v>7/6/2024</c:v>
                </c:pt>
                <c:pt idx="705">
                  <c:v>8/6/2024</c:v>
                </c:pt>
                <c:pt idx="706">
                  <c:v>9/6/2024</c:v>
                </c:pt>
                <c:pt idx="707">
                  <c:v>10/6/2024</c:v>
                </c:pt>
                <c:pt idx="708">
                  <c:v>11/6/2024</c:v>
                </c:pt>
                <c:pt idx="709">
                  <c:v>12/6/2024</c:v>
                </c:pt>
                <c:pt idx="710">
                  <c:v>13/6/2024</c:v>
                </c:pt>
                <c:pt idx="711">
                  <c:v>14/6/2024</c:v>
                </c:pt>
                <c:pt idx="712">
                  <c:v>15/6/2024</c:v>
                </c:pt>
                <c:pt idx="713">
                  <c:v>16/6/2024</c:v>
                </c:pt>
                <c:pt idx="714">
                  <c:v>17/6/2024</c:v>
                </c:pt>
                <c:pt idx="715">
                  <c:v>18/6/2024</c:v>
                </c:pt>
                <c:pt idx="716">
                  <c:v>19/6/2024</c:v>
                </c:pt>
                <c:pt idx="717">
                  <c:v>20/6/2024</c:v>
                </c:pt>
                <c:pt idx="718">
                  <c:v>21/6/2024</c:v>
                </c:pt>
                <c:pt idx="719">
                  <c:v>22/6/2024</c:v>
                </c:pt>
                <c:pt idx="720">
                  <c:v>23/6/2024</c:v>
                </c:pt>
                <c:pt idx="721">
                  <c:v>24/6/2024</c:v>
                </c:pt>
                <c:pt idx="722">
                  <c:v>25/6/2024</c:v>
                </c:pt>
                <c:pt idx="723">
                  <c:v>26/6/2024</c:v>
                </c:pt>
                <c:pt idx="724">
                  <c:v>27/6/2024</c:v>
                </c:pt>
                <c:pt idx="725">
                  <c:v>28/6/2024</c:v>
                </c:pt>
                <c:pt idx="726">
                  <c:v>29/6/2024</c:v>
                </c:pt>
                <c:pt idx="727">
                  <c:v>30/6/2024</c:v>
                </c:pt>
                <c:pt idx="728">
                  <c:v>1/7/2024</c:v>
                </c:pt>
                <c:pt idx="729">
                  <c:v>2/7/2024</c:v>
                </c:pt>
                <c:pt idx="730">
                  <c:v>3/7/2024</c:v>
                </c:pt>
                <c:pt idx="731">
                  <c:v>4/7/2024</c:v>
                </c:pt>
                <c:pt idx="732">
                  <c:v>5/7/2024</c:v>
                </c:pt>
                <c:pt idx="733">
                  <c:v>6/7/2024</c:v>
                </c:pt>
                <c:pt idx="734">
                  <c:v>7/7/2024</c:v>
                </c:pt>
                <c:pt idx="735">
                  <c:v>8/7/2024</c:v>
                </c:pt>
                <c:pt idx="736">
                  <c:v>9/7/2024</c:v>
                </c:pt>
                <c:pt idx="737">
                  <c:v>10/7/2024</c:v>
                </c:pt>
                <c:pt idx="738">
                  <c:v>11/7/2024</c:v>
                </c:pt>
                <c:pt idx="739">
                  <c:v>12/7/2024</c:v>
                </c:pt>
                <c:pt idx="740">
                  <c:v>13/7/2024</c:v>
                </c:pt>
                <c:pt idx="741">
                  <c:v>14/7/2024</c:v>
                </c:pt>
                <c:pt idx="742">
                  <c:v>15/7/2024</c:v>
                </c:pt>
                <c:pt idx="743">
                  <c:v>16/7/2024</c:v>
                </c:pt>
                <c:pt idx="744">
                  <c:v>17/7/2024</c:v>
                </c:pt>
                <c:pt idx="745">
                  <c:v>18/7/2024</c:v>
                </c:pt>
                <c:pt idx="746">
                  <c:v>19/7/2024</c:v>
                </c:pt>
                <c:pt idx="747">
                  <c:v>20/7/2024</c:v>
                </c:pt>
                <c:pt idx="748">
                  <c:v>21/7/2024</c:v>
                </c:pt>
                <c:pt idx="749">
                  <c:v>22/7/2024</c:v>
                </c:pt>
                <c:pt idx="750">
                  <c:v>23/7/2024</c:v>
                </c:pt>
                <c:pt idx="751">
                  <c:v>24/7/2024</c:v>
                </c:pt>
                <c:pt idx="752">
                  <c:v>25/7/2024</c:v>
                </c:pt>
                <c:pt idx="753">
                  <c:v>26/7/2024</c:v>
                </c:pt>
                <c:pt idx="754">
                  <c:v>27/7/2024</c:v>
                </c:pt>
                <c:pt idx="755">
                  <c:v>28/7/2024</c:v>
                </c:pt>
                <c:pt idx="756">
                  <c:v>29/7/2024</c:v>
                </c:pt>
                <c:pt idx="757">
                  <c:v>30/7/2024</c:v>
                </c:pt>
                <c:pt idx="758">
                  <c:v>31/7/2024</c:v>
                </c:pt>
                <c:pt idx="759">
                  <c:v>1/8/2024</c:v>
                </c:pt>
                <c:pt idx="760">
                  <c:v>2/8/2024</c:v>
                </c:pt>
                <c:pt idx="761">
                  <c:v>3/8/2024</c:v>
                </c:pt>
                <c:pt idx="762">
                  <c:v>4/8/2024</c:v>
                </c:pt>
                <c:pt idx="763">
                  <c:v>5/8/2024</c:v>
                </c:pt>
                <c:pt idx="764">
                  <c:v>6/8/2024</c:v>
                </c:pt>
                <c:pt idx="765">
                  <c:v>7/8/2024</c:v>
                </c:pt>
                <c:pt idx="766">
                  <c:v>8/8/2024</c:v>
                </c:pt>
                <c:pt idx="767">
                  <c:v>9/8/2024</c:v>
                </c:pt>
                <c:pt idx="768">
                  <c:v>10/8/2024</c:v>
                </c:pt>
                <c:pt idx="769">
                  <c:v>11/8/2024</c:v>
                </c:pt>
                <c:pt idx="770">
                  <c:v>12/8/2024</c:v>
                </c:pt>
                <c:pt idx="771">
                  <c:v>13/8/2024</c:v>
                </c:pt>
                <c:pt idx="772">
                  <c:v>14/8/2024</c:v>
                </c:pt>
                <c:pt idx="773">
                  <c:v>15/8/2024</c:v>
                </c:pt>
                <c:pt idx="774">
                  <c:v>16/8/2024</c:v>
                </c:pt>
                <c:pt idx="775">
                  <c:v>17/8/2024</c:v>
                </c:pt>
                <c:pt idx="776">
                  <c:v>18/8/2024</c:v>
                </c:pt>
                <c:pt idx="777">
                  <c:v>19/8/2024</c:v>
                </c:pt>
                <c:pt idx="778">
                  <c:v>20/8/2024</c:v>
                </c:pt>
                <c:pt idx="779">
                  <c:v>21/8/2024</c:v>
                </c:pt>
                <c:pt idx="780">
                  <c:v>22/8/2024</c:v>
                </c:pt>
                <c:pt idx="781">
                  <c:v>23/8/2024</c:v>
                </c:pt>
                <c:pt idx="782">
                  <c:v>24/8/2024</c:v>
                </c:pt>
                <c:pt idx="783">
                  <c:v>25/8/2024</c:v>
                </c:pt>
                <c:pt idx="784">
                  <c:v>26/8/2024</c:v>
                </c:pt>
                <c:pt idx="785">
                  <c:v>27/8/2024</c:v>
                </c:pt>
                <c:pt idx="786">
                  <c:v>28/8/2024</c:v>
                </c:pt>
                <c:pt idx="787">
                  <c:v>29/8/2024</c:v>
                </c:pt>
                <c:pt idx="788">
                  <c:v>30/8/2024</c:v>
                </c:pt>
                <c:pt idx="789">
                  <c:v>31/8/2024</c:v>
                </c:pt>
                <c:pt idx="790">
                  <c:v>1/9/2024</c:v>
                </c:pt>
                <c:pt idx="791">
                  <c:v>2/9/2024</c:v>
                </c:pt>
                <c:pt idx="792">
                  <c:v>3/9/2024</c:v>
                </c:pt>
                <c:pt idx="793">
                  <c:v>4/9/2024</c:v>
                </c:pt>
                <c:pt idx="794">
                  <c:v>5/9/2024</c:v>
                </c:pt>
                <c:pt idx="795">
                  <c:v>6/9/2024</c:v>
                </c:pt>
                <c:pt idx="796">
                  <c:v>7/9/2024</c:v>
                </c:pt>
                <c:pt idx="797">
                  <c:v>8/9/2024</c:v>
                </c:pt>
                <c:pt idx="798">
                  <c:v>9/9/2024</c:v>
                </c:pt>
                <c:pt idx="799">
                  <c:v>10/9/2024</c:v>
                </c:pt>
                <c:pt idx="800">
                  <c:v>11/9/2024</c:v>
                </c:pt>
                <c:pt idx="801">
                  <c:v>12/9/2024</c:v>
                </c:pt>
                <c:pt idx="802">
                  <c:v>13/9/2024</c:v>
                </c:pt>
                <c:pt idx="803">
                  <c:v>14/9/2024</c:v>
                </c:pt>
                <c:pt idx="804">
                  <c:v>15/9/2024</c:v>
                </c:pt>
                <c:pt idx="805">
                  <c:v>16/9/2024</c:v>
                </c:pt>
                <c:pt idx="806">
                  <c:v>17/9/2024</c:v>
                </c:pt>
                <c:pt idx="807">
                  <c:v>18/9/2024</c:v>
                </c:pt>
                <c:pt idx="808">
                  <c:v>19/9/2024</c:v>
                </c:pt>
                <c:pt idx="809">
                  <c:v>20/9/2024</c:v>
                </c:pt>
                <c:pt idx="810">
                  <c:v>21/9/2024</c:v>
                </c:pt>
                <c:pt idx="811">
                  <c:v>22/9/2024</c:v>
                </c:pt>
                <c:pt idx="812">
                  <c:v>23/9/2024</c:v>
                </c:pt>
                <c:pt idx="813">
                  <c:v>24/9/2024</c:v>
                </c:pt>
                <c:pt idx="814">
                  <c:v>25/9/2024</c:v>
                </c:pt>
                <c:pt idx="815">
                  <c:v>26/9/2024</c:v>
                </c:pt>
                <c:pt idx="816">
                  <c:v>27/9/2024</c:v>
                </c:pt>
                <c:pt idx="817">
                  <c:v>28/9/2024</c:v>
                </c:pt>
                <c:pt idx="818">
                  <c:v>29/9/2024</c:v>
                </c:pt>
                <c:pt idx="819">
                  <c:v>30/9/2024</c:v>
                </c:pt>
                <c:pt idx="820">
                  <c:v>1/10/2024</c:v>
                </c:pt>
                <c:pt idx="821">
                  <c:v>2/10/2024</c:v>
                </c:pt>
                <c:pt idx="822">
                  <c:v>3/10/2024</c:v>
                </c:pt>
                <c:pt idx="823">
                  <c:v>4/10/2024</c:v>
                </c:pt>
                <c:pt idx="824">
                  <c:v>5/10/2024</c:v>
                </c:pt>
                <c:pt idx="825">
                  <c:v>6/10/2024</c:v>
                </c:pt>
                <c:pt idx="826">
                  <c:v>7/10/2024</c:v>
                </c:pt>
                <c:pt idx="827">
                  <c:v>8/10/2024</c:v>
                </c:pt>
                <c:pt idx="828">
                  <c:v>9/10/2024</c:v>
                </c:pt>
                <c:pt idx="829">
                  <c:v>10/10/2024</c:v>
                </c:pt>
                <c:pt idx="830">
                  <c:v>11/10/2024</c:v>
                </c:pt>
                <c:pt idx="831">
                  <c:v>12/10/2024</c:v>
                </c:pt>
                <c:pt idx="832">
                  <c:v>13/10/2024</c:v>
                </c:pt>
                <c:pt idx="833">
                  <c:v>14/10/2024</c:v>
                </c:pt>
                <c:pt idx="834">
                  <c:v>15/10/2024</c:v>
                </c:pt>
                <c:pt idx="835">
                  <c:v>16/10/2024</c:v>
                </c:pt>
                <c:pt idx="836">
                  <c:v>17/10/2024</c:v>
                </c:pt>
                <c:pt idx="837">
                  <c:v>18/10/2024</c:v>
                </c:pt>
                <c:pt idx="838">
                  <c:v>19/10/2024</c:v>
                </c:pt>
                <c:pt idx="839">
                  <c:v>20/10/2024</c:v>
                </c:pt>
                <c:pt idx="840">
                  <c:v>21/10/2024</c:v>
                </c:pt>
                <c:pt idx="841">
                  <c:v>22/10/2024</c:v>
                </c:pt>
                <c:pt idx="842">
                  <c:v>23/10/2024</c:v>
                </c:pt>
                <c:pt idx="843">
                  <c:v>24/10/2024</c:v>
                </c:pt>
                <c:pt idx="844">
                  <c:v>25/10/2024</c:v>
                </c:pt>
                <c:pt idx="845">
                  <c:v>26/10/2024</c:v>
                </c:pt>
                <c:pt idx="846">
                  <c:v>27/10/2024</c:v>
                </c:pt>
                <c:pt idx="847">
                  <c:v>28/10/2024</c:v>
                </c:pt>
                <c:pt idx="848">
                  <c:v>29/10/2024</c:v>
                </c:pt>
                <c:pt idx="849">
                  <c:v>30/10/2024</c:v>
                </c:pt>
                <c:pt idx="850">
                  <c:v>31/10/2024</c:v>
                </c:pt>
                <c:pt idx="851">
                  <c:v>1/11/2024</c:v>
                </c:pt>
                <c:pt idx="852">
                  <c:v>2/11/2024</c:v>
                </c:pt>
                <c:pt idx="853">
                  <c:v>3/11/2024</c:v>
                </c:pt>
                <c:pt idx="854">
                  <c:v>4/11/2024</c:v>
                </c:pt>
                <c:pt idx="855">
                  <c:v>5/11/2024</c:v>
                </c:pt>
                <c:pt idx="856">
                  <c:v>6/11/2024</c:v>
                </c:pt>
                <c:pt idx="857">
                  <c:v>7/11/2024</c:v>
                </c:pt>
                <c:pt idx="858">
                  <c:v>8/11/2024</c:v>
                </c:pt>
                <c:pt idx="859">
                  <c:v>9/11/2024</c:v>
                </c:pt>
                <c:pt idx="860">
                  <c:v>10/11/2024</c:v>
                </c:pt>
                <c:pt idx="861">
                  <c:v>11/11/2024</c:v>
                </c:pt>
                <c:pt idx="862">
                  <c:v>12/11/2024</c:v>
                </c:pt>
                <c:pt idx="863">
                  <c:v>13/11/2024</c:v>
                </c:pt>
                <c:pt idx="864">
                  <c:v>14/11/2024</c:v>
                </c:pt>
                <c:pt idx="865">
                  <c:v>15/11/2024</c:v>
                </c:pt>
                <c:pt idx="866">
                  <c:v>16/11/2024</c:v>
                </c:pt>
                <c:pt idx="867">
                  <c:v>17/11/2024</c:v>
                </c:pt>
                <c:pt idx="868">
                  <c:v>18/11/2024</c:v>
                </c:pt>
                <c:pt idx="869">
                  <c:v>19/11/2024</c:v>
                </c:pt>
                <c:pt idx="870">
                  <c:v>20/11/2024</c:v>
                </c:pt>
                <c:pt idx="871">
                  <c:v>21/11/2024</c:v>
                </c:pt>
                <c:pt idx="872">
                  <c:v>22/11/2024</c:v>
                </c:pt>
                <c:pt idx="873">
                  <c:v>23/11/2024</c:v>
                </c:pt>
                <c:pt idx="874">
                  <c:v>24/11/2024</c:v>
                </c:pt>
                <c:pt idx="875">
                  <c:v>25/11/2024</c:v>
                </c:pt>
                <c:pt idx="876">
                  <c:v>26/11/2024</c:v>
                </c:pt>
                <c:pt idx="877">
                  <c:v>27/11/2024</c:v>
                </c:pt>
                <c:pt idx="878">
                  <c:v>28/11/2024</c:v>
                </c:pt>
                <c:pt idx="879">
                  <c:v>29/11/2024</c:v>
                </c:pt>
                <c:pt idx="880">
                  <c:v>30/11/2024</c:v>
                </c:pt>
                <c:pt idx="881">
                  <c:v>1/12/2024</c:v>
                </c:pt>
                <c:pt idx="882">
                  <c:v>2/12/2024</c:v>
                </c:pt>
                <c:pt idx="883">
                  <c:v>3/12/2024</c:v>
                </c:pt>
                <c:pt idx="884">
                  <c:v>4/12/2024</c:v>
                </c:pt>
                <c:pt idx="885">
                  <c:v>5/12/2024</c:v>
                </c:pt>
                <c:pt idx="886">
                  <c:v>6/12/2024</c:v>
                </c:pt>
                <c:pt idx="887">
                  <c:v>7/12/2024</c:v>
                </c:pt>
                <c:pt idx="888">
                  <c:v>8/12/2024</c:v>
                </c:pt>
                <c:pt idx="889">
                  <c:v>9/12/2024</c:v>
                </c:pt>
                <c:pt idx="890">
                  <c:v>10/12/2024</c:v>
                </c:pt>
                <c:pt idx="891">
                  <c:v>11/12/2024</c:v>
                </c:pt>
                <c:pt idx="892">
                  <c:v>12/12/2024</c:v>
                </c:pt>
                <c:pt idx="893">
                  <c:v>13/12/2024</c:v>
                </c:pt>
                <c:pt idx="894">
                  <c:v>14/12/2024</c:v>
                </c:pt>
                <c:pt idx="895">
                  <c:v>15/12/2024</c:v>
                </c:pt>
                <c:pt idx="896">
                  <c:v>16/12/2024</c:v>
                </c:pt>
                <c:pt idx="897">
                  <c:v>17/12/2024</c:v>
                </c:pt>
                <c:pt idx="898">
                  <c:v>18/12/2024</c:v>
                </c:pt>
                <c:pt idx="899">
                  <c:v>19/12/2024</c:v>
                </c:pt>
                <c:pt idx="900">
                  <c:v>20/12/2024</c:v>
                </c:pt>
                <c:pt idx="901">
                  <c:v>21/12/2024</c:v>
                </c:pt>
                <c:pt idx="902">
                  <c:v>22/12/2024</c:v>
                </c:pt>
                <c:pt idx="903">
                  <c:v>23/12/2024</c:v>
                </c:pt>
                <c:pt idx="904">
                  <c:v>24/12/2024</c:v>
                </c:pt>
                <c:pt idx="905">
                  <c:v>25/12/2024</c:v>
                </c:pt>
                <c:pt idx="906">
                  <c:v>26/12/2024</c:v>
                </c:pt>
                <c:pt idx="907">
                  <c:v>27/12/2024</c:v>
                </c:pt>
                <c:pt idx="908">
                  <c:v>28/12/2024</c:v>
                </c:pt>
                <c:pt idx="909">
                  <c:v>29/12/2024</c:v>
                </c:pt>
                <c:pt idx="910">
                  <c:v>30/12/2024</c:v>
                </c:pt>
                <c:pt idx="911">
                  <c:v>31/12/2024</c:v>
                </c:pt>
                <c:pt idx="912">
                  <c:v>1/1/2025</c:v>
                </c:pt>
                <c:pt idx="913">
                  <c:v>2/1/2025</c:v>
                </c:pt>
                <c:pt idx="914">
                  <c:v>3/1/2025</c:v>
                </c:pt>
                <c:pt idx="915">
                  <c:v>4/1/2025</c:v>
                </c:pt>
                <c:pt idx="916">
                  <c:v>5/1/2025</c:v>
                </c:pt>
                <c:pt idx="917">
                  <c:v>6/1/2025</c:v>
                </c:pt>
                <c:pt idx="918">
                  <c:v>7/1/2025</c:v>
                </c:pt>
                <c:pt idx="919">
                  <c:v>8/1/2025</c:v>
                </c:pt>
                <c:pt idx="920">
                  <c:v>9/1/2025</c:v>
                </c:pt>
                <c:pt idx="921">
                  <c:v>10/1/2025</c:v>
                </c:pt>
                <c:pt idx="922">
                  <c:v>11/1/2025</c:v>
                </c:pt>
                <c:pt idx="923">
                  <c:v>12/1/2025</c:v>
                </c:pt>
                <c:pt idx="924">
                  <c:v>13/1/2025</c:v>
                </c:pt>
                <c:pt idx="925">
                  <c:v>14/1/2025</c:v>
                </c:pt>
                <c:pt idx="926">
                  <c:v>15/1/2025</c:v>
                </c:pt>
                <c:pt idx="927">
                  <c:v>16/1/2025</c:v>
                </c:pt>
                <c:pt idx="928">
                  <c:v>17/1/2025</c:v>
                </c:pt>
                <c:pt idx="929">
                  <c:v>18/1/2025</c:v>
                </c:pt>
                <c:pt idx="930">
                  <c:v>19/1/2025</c:v>
                </c:pt>
                <c:pt idx="931">
                  <c:v>20/1/2025</c:v>
                </c:pt>
                <c:pt idx="932">
                  <c:v>21/1/2025</c:v>
                </c:pt>
                <c:pt idx="933">
                  <c:v>22/1/2025</c:v>
                </c:pt>
                <c:pt idx="934">
                  <c:v>23/1/2025</c:v>
                </c:pt>
                <c:pt idx="935">
                  <c:v>24/1/2025</c:v>
                </c:pt>
                <c:pt idx="936">
                  <c:v>25/1/2025</c:v>
                </c:pt>
                <c:pt idx="937">
                  <c:v>26/1/2025</c:v>
                </c:pt>
                <c:pt idx="938">
                  <c:v>27/1/2025</c:v>
                </c:pt>
                <c:pt idx="939">
                  <c:v>28/1/2025</c:v>
                </c:pt>
                <c:pt idx="940">
                  <c:v>29/1/2025</c:v>
                </c:pt>
                <c:pt idx="941">
                  <c:v>30/1/2025</c:v>
                </c:pt>
                <c:pt idx="942">
                  <c:v>31/1/2025</c:v>
                </c:pt>
                <c:pt idx="943">
                  <c:v>1/2/2025</c:v>
                </c:pt>
                <c:pt idx="944">
                  <c:v>2/2/2025</c:v>
                </c:pt>
                <c:pt idx="945">
                  <c:v>3/2/2025</c:v>
                </c:pt>
                <c:pt idx="946">
                  <c:v>4/2/2025</c:v>
                </c:pt>
                <c:pt idx="947">
                  <c:v>5/2/2025</c:v>
                </c:pt>
                <c:pt idx="948">
                  <c:v>6/2/2025</c:v>
                </c:pt>
                <c:pt idx="949">
                  <c:v>7/2/2025</c:v>
                </c:pt>
                <c:pt idx="950">
                  <c:v>8/2/2025</c:v>
                </c:pt>
                <c:pt idx="951">
                  <c:v>9/2/2025</c:v>
                </c:pt>
                <c:pt idx="952">
                  <c:v>10/2/2025</c:v>
                </c:pt>
                <c:pt idx="953">
                  <c:v>11/2/2025</c:v>
                </c:pt>
                <c:pt idx="954">
                  <c:v>12/2/2025</c:v>
                </c:pt>
                <c:pt idx="955">
                  <c:v>13/2/2025</c:v>
                </c:pt>
                <c:pt idx="956">
                  <c:v>14/2/2025</c:v>
                </c:pt>
                <c:pt idx="957">
                  <c:v>15/2/2025</c:v>
                </c:pt>
                <c:pt idx="958">
                  <c:v>16/2/2025</c:v>
                </c:pt>
                <c:pt idx="959">
                  <c:v>17/2/2025</c:v>
                </c:pt>
                <c:pt idx="960">
                  <c:v>18/2/2025</c:v>
                </c:pt>
                <c:pt idx="961">
                  <c:v>19/2/2025</c:v>
                </c:pt>
                <c:pt idx="962">
                  <c:v>20/2/2025</c:v>
                </c:pt>
                <c:pt idx="963">
                  <c:v>21/2/2025</c:v>
                </c:pt>
                <c:pt idx="964">
                  <c:v>22/2/2025</c:v>
                </c:pt>
                <c:pt idx="965">
                  <c:v>23/2/2025</c:v>
                </c:pt>
                <c:pt idx="966">
                  <c:v>24/2/2025</c:v>
                </c:pt>
                <c:pt idx="967">
                  <c:v>25/2/2025</c:v>
                </c:pt>
                <c:pt idx="968">
                  <c:v>26/2/2025</c:v>
                </c:pt>
                <c:pt idx="969">
                  <c:v>27/2/2025</c:v>
                </c:pt>
                <c:pt idx="970">
                  <c:v>28/2/2025</c:v>
                </c:pt>
                <c:pt idx="971">
                  <c:v>1/3/2025</c:v>
                </c:pt>
                <c:pt idx="972">
                  <c:v>2/3/2025</c:v>
                </c:pt>
                <c:pt idx="973">
                  <c:v>3/3/2025</c:v>
                </c:pt>
                <c:pt idx="974">
                  <c:v>4/3/2025</c:v>
                </c:pt>
                <c:pt idx="975">
                  <c:v>5/3/2025</c:v>
                </c:pt>
                <c:pt idx="976">
                  <c:v>6/3/2025</c:v>
                </c:pt>
                <c:pt idx="977">
                  <c:v>7/3/2025</c:v>
                </c:pt>
                <c:pt idx="978">
                  <c:v>8/3/2025</c:v>
                </c:pt>
                <c:pt idx="979">
                  <c:v>9/3/2025</c:v>
                </c:pt>
                <c:pt idx="980">
                  <c:v>10/3/2025</c:v>
                </c:pt>
                <c:pt idx="981">
                  <c:v>11/3/2025</c:v>
                </c:pt>
                <c:pt idx="982">
                  <c:v>12/3/2025</c:v>
                </c:pt>
                <c:pt idx="983">
                  <c:v>13/3/2025</c:v>
                </c:pt>
                <c:pt idx="984">
                  <c:v>14/3/2025</c:v>
                </c:pt>
                <c:pt idx="985">
                  <c:v>15/3/2025</c:v>
                </c:pt>
                <c:pt idx="986">
                  <c:v>16/3/2025</c:v>
                </c:pt>
                <c:pt idx="987">
                  <c:v>17/3/2025</c:v>
                </c:pt>
                <c:pt idx="988">
                  <c:v>18/3/2025</c:v>
                </c:pt>
                <c:pt idx="989">
                  <c:v>19/3/2025</c:v>
                </c:pt>
                <c:pt idx="990">
                  <c:v>20/3/2025</c:v>
                </c:pt>
                <c:pt idx="991">
                  <c:v>21/3/2025</c:v>
                </c:pt>
                <c:pt idx="992">
                  <c:v>22/3/2025</c:v>
                </c:pt>
                <c:pt idx="993">
                  <c:v>23/3/2025</c:v>
                </c:pt>
                <c:pt idx="994">
                  <c:v>24/3/2025</c:v>
                </c:pt>
                <c:pt idx="995">
                  <c:v>25/3/2025</c:v>
                </c:pt>
                <c:pt idx="996">
                  <c:v>26/3/2025</c:v>
                </c:pt>
                <c:pt idx="997">
                  <c:v>27/3/2025</c:v>
                </c:pt>
                <c:pt idx="998">
                  <c:v>28/3/2025</c:v>
                </c:pt>
                <c:pt idx="999">
                  <c:v>29/3/2025</c:v>
                </c:pt>
                <c:pt idx="1000">
                  <c:v>30/3/2025</c:v>
                </c:pt>
              </c:strCache>
            </c:strRef>
          </c:cat>
          <c:val>
            <c:numRef>
              <c:f>'BTC-index sentimiento'!$D$4:$D$1005</c:f>
              <c:numCache>
                <c:formatCode>General</c:formatCode>
                <c:ptCount val="1001"/>
                <c:pt idx="0">
                  <c:v>14</c:v>
                </c:pt>
                <c:pt idx="1">
                  <c:v>19</c:v>
                </c:pt>
                <c:pt idx="2">
                  <c:v>18</c:v>
                </c:pt>
                <c:pt idx="3">
                  <c:v>18</c:v>
                </c:pt>
                <c:pt idx="4">
                  <c:v>20</c:v>
                </c:pt>
                <c:pt idx="5">
                  <c:v>24</c:v>
                </c:pt>
                <c:pt idx="6">
                  <c:v>24</c:v>
                </c:pt>
                <c:pt idx="7">
                  <c:v>22</c:v>
                </c:pt>
                <c:pt idx="8">
                  <c:v>16</c:v>
                </c:pt>
                <c:pt idx="9">
                  <c:v>15</c:v>
                </c:pt>
                <c:pt idx="10">
                  <c:v>18</c:v>
                </c:pt>
                <c:pt idx="11">
                  <c:v>15</c:v>
                </c:pt>
                <c:pt idx="12">
                  <c:v>21</c:v>
                </c:pt>
                <c:pt idx="13">
                  <c:v>24</c:v>
                </c:pt>
                <c:pt idx="14">
                  <c:v>20</c:v>
                </c:pt>
                <c:pt idx="15">
                  <c:v>30</c:v>
                </c:pt>
                <c:pt idx="16">
                  <c:v>31</c:v>
                </c:pt>
                <c:pt idx="17">
                  <c:v>34</c:v>
                </c:pt>
                <c:pt idx="18">
                  <c:v>33</c:v>
                </c:pt>
                <c:pt idx="19">
                  <c:v>31</c:v>
                </c:pt>
                <c:pt idx="20">
                  <c:v>30</c:v>
                </c:pt>
                <c:pt idx="21">
                  <c:v>30</c:v>
                </c:pt>
                <c:pt idx="22">
                  <c:v>26</c:v>
                </c:pt>
                <c:pt idx="23">
                  <c:v>28</c:v>
                </c:pt>
                <c:pt idx="24">
                  <c:v>32</c:v>
                </c:pt>
                <c:pt idx="25">
                  <c:v>39</c:v>
                </c:pt>
                <c:pt idx="26">
                  <c:v>42</c:v>
                </c:pt>
                <c:pt idx="27">
                  <c:v>39</c:v>
                </c:pt>
                <c:pt idx="28">
                  <c:v>33</c:v>
                </c:pt>
                <c:pt idx="29">
                  <c:v>31</c:v>
                </c:pt>
                <c:pt idx="30">
                  <c:v>34</c:v>
                </c:pt>
                <c:pt idx="31">
                  <c:v>30</c:v>
                </c:pt>
                <c:pt idx="32">
                  <c:v>31</c:v>
                </c:pt>
                <c:pt idx="33">
                  <c:v>31</c:v>
                </c:pt>
                <c:pt idx="34">
                  <c:v>30</c:v>
                </c:pt>
                <c:pt idx="35">
                  <c:v>30</c:v>
                </c:pt>
                <c:pt idx="36">
                  <c:v>42</c:v>
                </c:pt>
                <c:pt idx="37">
                  <c:v>31</c:v>
                </c:pt>
                <c:pt idx="38">
                  <c:v>41</c:v>
                </c:pt>
                <c:pt idx="39">
                  <c:v>42</c:v>
                </c:pt>
                <c:pt idx="40">
                  <c:v>46</c:v>
                </c:pt>
                <c:pt idx="41">
                  <c:v>47</c:v>
                </c:pt>
                <c:pt idx="42">
                  <c:v>45</c:v>
                </c:pt>
                <c:pt idx="43">
                  <c:v>44</c:v>
                </c:pt>
                <c:pt idx="44">
                  <c:v>41</c:v>
                </c:pt>
                <c:pt idx="45">
                  <c:v>30</c:v>
                </c:pt>
                <c:pt idx="46">
                  <c:v>33</c:v>
                </c:pt>
                <c:pt idx="47">
                  <c:v>29</c:v>
                </c:pt>
                <c:pt idx="48">
                  <c:v>27</c:v>
                </c:pt>
                <c:pt idx="49">
                  <c:v>29</c:v>
                </c:pt>
                <c:pt idx="50">
                  <c:v>28</c:v>
                </c:pt>
                <c:pt idx="51">
                  <c:v>25</c:v>
                </c:pt>
                <c:pt idx="52">
                  <c:v>25</c:v>
                </c:pt>
                <c:pt idx="53">
                  <c:v>27</c:v>
                </c:pt>
                <c:pt idx="54">
                  <c:v>28</c:v>
                </c:pt>
                <c:pt idx="55">
                  <c:v>28</c:v>
                </c:pt>
                <c:pt idx="56">
                  <c:v>24</c:v>
                </c:pt>
                <c:pt idx="57">
                  <c:v>27</c:v>
                </c:pt>
                <c:pt idx="58">
                  <c:v>23</c:v>
                </c:pt>
                <c:pt idx="59">
                  <c:v>20</c:v>
                </c:pt>
                <c:pt idx="60">
                  <c:v>25</c:v>
                </c:pt>
                <c:pt idx="61">
                  <c:v>21</c:v>
                </c:pt>
                <c:pt idx="62">
                  <c:v>20</c:v>
                </c:pt>
                <c:pt idx="63">
                  <c:v>23</c:v>
                </c:pt>
                <c:pt idx="64">
                  <c:v>22</c:v>
                </c:pt>
                <c:pt idx="65">
                  <c:v>24</c:v>
                </c:pt>
                <c:pt idx="66">
                  <c:v>20</c:v>
                </c:pt>
                <c:pt idx="67">
                  <c:v>22</c:v>
                </c:pt>
                <c:pt idx="68">
                  <c:v>28</c:v>
                </c:pt>
                <c:pt idx="69">
                  <c:v>26</c:v>
                </c:pt>
                <c:pt idx="70">
                  <c:v>25</c:v>
                </c:pt>
                <c:pt idx="71">
                  <c:v>34</c:v>
                </c:pt>
                <c:pt idx="72">
                  <c:v>27</c:v>
                </c:pt>
                <c:pt idx="73">
                  <c:v>28</c:v>
                </c:pt>
                <c:pt idx="74">
                  <c:v>20</c:v>
                </c:pt>
                <c:pt idx="75">
                  <c:v>22</c:v>
                </c:pt>
                <c:pt idx="76">
                  <c:v>27</c:v>
                </c:pt>
                <c:pt idx="77">
                  <c:v>21</c:v>
                </c:pt>
                <c:pt idx="78">
                  <c:v>23</c:v>
                </c:pt>
                <c:pt idx="79">
                  <c:v>23</c:v>
                </c:pt>
                <c:pt idx="80">
                  <c:v>22</c:v>
                </c:pt>
                <c:pt idx="81">
                  <c:v>20</c:v>
                </c:pt>
                <c:pt idx="82">
                  <c:v>24</c:v>
                </c:pt>
                <c:pt idx="83">
                  <c:v>24</c:v>
                </c:pt>
                <c:pt idx="84">
                  <c:v>21</c:v>
                </c:pt>
                <c:pt idx="85">
                  <c:v>20</c:v>
                </c:pt>
                <c:pt idx="86">
                  <c:v>20</c:v>
                </c:pt>
                <c:pt idx="87">
                  <c:v>22</c:v>
                </c:pt>
                <c:pt idx="88">
                  <c:v>21</c:v>
                </c:pt>
                <c:pt idx="89">
                  <c:v>20</c:v>
                </c:pt>
                <c:pt idx="90">
                  <c:v>24</c:v>
                </c:pt>
                <c:pt idx="91">
                  <c:v>24</c:v>
                </c:pt>
                <c:pt idx="92">
                  <c:v>20</c:v>
                </c:pt>
                <c:pt idx="93">
                  <c:v>25</c:v>
                </c:pt>
                <c:pt idx="94">
                  <c:v>26</c:v>
                </c:pt>
                <c:pt idx="95">
                  <c:v>23</c:v>
                </c:pt>
                <c:pt idx="96">
                  <c:v>24</c:v>
                </c:pt>
                <c:pt idx="97">
                  <c:v>22</c:v>
                </c:pt>
                <c:pt idx="98">
                  <c:v>22</c:v>
                </c:pt>
                <c:pt idx="99">
                  <c:v>24</c:v>
                </c:pt>
                <c:pt idx="100">
                  <c:v>20</c:v>
                </c:pt>
                <c:pt idx="101">
                  <c:v>20</c:v>
                </c:pt>
                <c:pt idx="102">
                  <c:v>24</c:v>
                </c:pt>
                <c:pt idx="103">
                  <c:v>24</c:v>
                </c:pt>
                <c:pt idx="104">
                  <c:v>24</c:v>
                </c:pt>
                <c:pt idx="105">
                  <c:v>20</c:v>
                </c:pt>
                <c:pt idx="106">
                  <c:v>22</c:v>
                </c:pt>
                <c:pt idx="107">
                  <c:v>23</c:v>
                </c:pt>
                <c:pt idx="108">
                  <c:v>23</c:v>
                </c:pt>
                <c:pt idx="109">
                  <c:v>23</c:v>
                </c:pt>
                <c:pt idx="110">
                  <c:v>20</c:v>
                </c:pt>
                <c:pt idx="111">
                  <c:v>23</c:v>
                </c:pt>
                <c:pt idx="112">
                  <c:v>22</c:v>
                </c:pt>
                <c:pt idx="113">
                  <c:v>20</c:v>
                </c:pt>
                <c:pt idx="114">
                  <c:v>33</c:v>
                </c:pt>
                <c:pt idx="115">
                  <c:v>32</c:v>
                </c:pt>
                <c:pt idx="116">
                  <c:v>30</c:v>
                </c:pt>
                <c:pt idx="117">
                  <c:v>34</c:v>
                </c:pt>
                <c:pt idx="118">
                  <c:v>34</c:v>
                </c:pt>
                <c:pt idx="119">
                  <c:v>31</c:v>
                </c:pt>
                <c:pt idx="120">
                  <c:v>30</c:v>
                </c:pt>
                <c:pt idx="121">
                  <c:v>30</c:v>
                </c:pt>
                <c:pt idx="122">
                  <c:v>30</c:v>
                </c:pt>
                <c:pt idx="123">
                  <c:v>30</c:v>
                </c:pt>
                <c:pt idx="124">
                  <c:v>38</c:v>
                </c:pt>
                <c:pt idx="125">
                  <c:v>40</c:v>
                </c:pt>
                <c:pt idx="126">
                  <c:v>33</c:v>
                </c:pt>
                <c:pt idx="127">
                  <c:v>31</c:v>
                </c:pt>
                <c:pt idx="128">
                  <c:v>29</c:v>
                </c:pt>
                <c:pt idx="129">
                  <c:v>22</c:v>
                </c:pt>
                <c:pt idx="130">
                  <c:v>25</c:v>
                </c:pt>
                <c:pt idx="131">
                  <c:v>21</c:v>
                </c:pt>
                <c:pt idx="132">
                  <c:v>22</c:v>
                </c:pt>
                <c:pt idx="133">
                  <c:v>24</c:v>
                </c:pt>
                <c:pt idx="134">
                  <c:v>22</c:v>
                </c:pt>
                <c:pt idx="135">
                  <c:v>23</c:v>
                </c:pt>
                <c:pt idx="136">
                  <c:v>20</c:v>
                </c:pt>
                <c:pt idx="137">
                  <c:v>23</c:v>
                </c:pt>
                <c:pt idx="138">
                  <c:v>23</c:v>
                </c:pt>
                <c:pt idx="139">
                  <c:v>24</c:v>
                </c:pt>
                <c:pt idx="140">
                  <c:v>21</c:v>
                </c:pt>
                <c:pt idx="141">
                  <c:v>22</c:v>
                </c:pt>
                <c:pt idx="142">
                  <c:v>22</c:v>
                </c:pt>
                <c:pt idx="143">
                  <c:v>20</c:v>
                </c:pt>
                <c:pt idx="144">
                  <c:v>20</c:v>
                </c:pt>
                <c:pt idx="145">
                  <c:v>22</c:v>
                </c:pt>
                <c:pt idx="146">
                  <c:v>26</c:v>
                </c:pt>
                <c:pt idx="147">
                  <c:v>28</c:v>
                </c:pt>
                <c:pt idx="148">
                  <c:v>26</c:v>
                </c:pt>
                <c:pt idx="149">
                  <c:v>29</c:v>
                </c:pt>
                <c:pt idx="150">
                  <c:v>27</c:v>
                </c:pt>
                <c:pt idx="151">
                  <c:v>27</c:v>
                </c:pt>
                <c:pt idx="152">
                  <c:v>27</c:v>
                </c:pt>
                <c:pt idx="153">
                  <c:v>26</c:v>
                </c:pt>
                <c:pt idx="154">
                  <c:v>26</c:v>
                </c:pt>
                <c:pt idx="155">
                  <c:v>25</c:v>
                </c:pt>
                <c:pt idx="156">
                  <c:v>29</c:v>
                </c:pt>
                <c:pt idx="157">
                  <c:v>25</c:v>
                </c:pt>
                <c:pt idx="158">
                  <c:v>26</c:v>
                </c:pt>
                <c:pt idx="159">
                  <c:v>27</c:v>
                </c:pt>
                <c:pt idx="160">
                  <c:v>26</c:v>
                </c:pt>
                <c:pt idx="161">
                  <c:v>27</c:v>
                </c:pt>
                <c:pt idx="162">
                  <c:v>27</c:v>
                </c:pt>
                <c:pt idx="163">
                  <c:v>30</c:v>
                </c:pt>
                <c:pt idx="164">
                  <c:v>31</c:v>
                </c:pt>
                <c:pt idx="165">
                  <c:v>29</c:v>
                </c:pt>
                <c:pt idx="166">
                  <c:v>28</c:v>
                </c:pt>
                <c:pt idx="167">
                  <c:v>26</c:v>
                </c:pt>
                <c:pt idx="168">
                  <c:v>29</c:v>
                </c:pt>
                <c:pt idx="169">
                  <c:v>29</c:v>
                </c:pt>
                <c:pt idx="170">
                  <c:v>26</c:v>
                </c:pt>
                <c:pt idx="171">
                  <c:v>28</c:v>
                </c:pt>
                <c:pt idx="172">
                  <c:v>27</c:v>
                </c:pt>
                <c:pt idx="173">
                  <c:v>29</c:v>
                </c:pt>
                <c:pt idx="174">
                  <c:v>29</c:v>
                </c:pt>
                <c:pt idx="175">
                  <c:v>28</c:v>
                </c:pt>
                <c:pt idx="176">
                  <c:v>27</c:v>
                </c:pt>
                <c:pt idx="177">
                  <c:v>28</c:v>
                </c:pt>
                <c:pt idx="178">
                  <c:v>28</c:v>
                </c:pt>
                <c:pt idx="179">
                  <c:v>28</c:v>
                </c:pt>
                <c:pt idx="180">
                  <c:v>25</c:v>
                </c:pt>
                <c:pt idx="181">
                  <c:v>26</c:v>
                </c:pt>
                <c:pt idx="182">
                  <c:v>27</c:v>
                </c:pt>
                <c:pt idx="183">
                  <c:v>26</c:v>
                </c:pt>
                <c:pt idx="184">
                  <c:v>29</c:v>
                </c:pt>
                <c:pt idx="185">
                  <c:v>29</c:v>
                </c:pt>
                <c:pt idx="186">
                  <c:v>26</c:v>
                </c:pt>
                <c:pt idx="187">
                  <c:v>25</c:v>
                </c:pt>
                <c:pt idx="188">
                  <c:v>25</c:v>
                </c:pt>
                <c:pt idx="189">
                  <c:v>25</c:v>
                </c:pt>
                <c:pt idx="190">
                  <c:v>26</c:v>
                </c:pt>
                <c:pt idx="191">
                  <c:v>26</c:v>
                </c:pt>
                <c:pt idx="192">
                  <c:v>30</c:v>
                </c:pt>
                <c:pt idx="193">
                  <c:v>31</c:v>
                </c:pt>
                <c:pt idx="194">
                  <c:v>46</c:v>
                </c:pt>
                <c:pt idx="195">
                  <c:v>52</c:v>
                </c:pt>
                <c:pt idx="196">
                  <c:v>45</c:v>
                </c:pt>
                <c:pt idx="197">
                  <c:v>51</c:v>
                </c:pt>
                <c:pt idx="198">
                  <c:v>52</c:v>
                </c:pt>
                <c:pt idx="199">
                  <c:v>45</c:v>
                </c:pt>
                <c:pt idx="200">
                  <c:v>51</c:v>
                </c:pt>
                <c:pt idx="201">
                  <c:v>53</c:v>
                </c:pt>
                <c:pt idx="202">
                  <c:v>53</c:v>
                </c:pt>
                <c:pt idx="203">
                  <c:v>50</c:v>
                </c:pt>
                <c:pt idx="204">
                  <c:v>52</c:v>
                </c:pt>
                <c:pt idx="205">
                  <c:v>51</c:v>
                </c:pt>
                <c:pt idx="206">
                  <c:v>54</c:v>
                </c:pt>
                <c:pt idx="207">
                  <c:v>55</c:v>
                </c:pt>
                <c:pt idx="208">
                  <c:v>52</c:v>
                </c:pt>
                <c:pt idx="209">
                  <c:v>55</c:v>
                </c:pt>
                <c:pt idx="210">
                  <c:v>61</c:v>
                </c:pt>
                <c:pt idx="211">
                  <c:v>51</c:v>
                </c:pt>
                <c:pt idx="212">
                  <c:v>56</c:v>
                </c:pt>
                <c:pt idx="213">
                  <c:v>60</c:v>
                </c:pt>
                <c:pt idx="214">
                  <c:v>60</c:v>
                </c:pt>
                <c:pt idx="215">
                  <c:v>58</c:v>
                </c:pt>
                <c:pt idx="216">
                  <c:v>58</c:v>
                </c:pt>
                <c:pt idx="217">
                  <c:v>56</c:v>
                </c:pt>
                <c:pt idx="218">
                  <c:v>54</c:v>
                </c:pt>
                <c:pt idx="219">
                  <c:v>58</c:v>
                </c:pt>
                <c:pt idx="220">
                  <c:v>55</c:v>
                </c:pt>
                <c:pt idx="221">
                  <c:v>48</c:v>
                </c:pt>
                <c:pt idx="222">
                  <c:v>49</c:v>
                </c:pt>
                <c:pt idx="223">
                  <c:v>50</c:v>
                </c:pt>
                <c:pt idx="224">
                  <c:v>48</c:v>
                </c:pt>
                <c:pt idx="225">
                  <c:v>50</c:v>
                </c:pt>
                <c:pt idx="226">
                  <c:v>53</c:v>
                </c:pt>
                <c:pt idx="227">
                  <c:v>62</c:v>
                </c:pt>
                <c:pt idx="228">
                  <c:v>61</c:v>
                </c:pt>
                <c:pt idx="229">
                  <c:v>60</c:v>
                </c:pt>
                <c:pt idx="230">
                  <c:v>60</c:v>
                </c:pt>
                <c:pt idx="231">
                  <c:v>58</c:v>
                </c:pt>
                <c:pt idx="232">
                  <c:v>60</c:v>
                </c:pt>
                <c:pt idx="233">
                  <c:v>59</c:v>
                </c:pt>
                <c:pt idx="234">
                  <c:v>56</c:v>
                </c:pt>
                <c:pt idx="235">
                  <c:v>53</c:v>
                </c:pt>
                <c:pt idx="236">
                  <c:v>52</c:v>
                </c:pt>
                <c:pt idx="237">
                  <c:v>51</c:v>
                </c:pt>
                <c:pt idx="238">
                  <c:v>50</c:v>
                </c:pt>
                <c:pt idx="239">
                  <c:v>53</c:v>
                </c:pt>
                <c:pt idx="240">
                  <c:v>50</c:v>
                </c:pt>
                <c:pt idx="241">
                  <c:v>51</c:v>
                </c:pt>
                <c:pt idx="242">
                  <c:v>50</c:v>
                </c:pt>
                <c:pt idx="243">
                  <c:v>50</c:v>
                </c:pt>
                <c:pt idx="244">
                  <c:v>47</c:v>
                </c:pt>
                <c:pt idx="245">
                  <c:v>48</c:v>
                </c:pt>
                <c:pt idx="246">
                  <c:v>49</c:v>
                </c:pt>
                <c:pt idx="247">
                  <c:v>50</c:v>
                </c:pt>
                <c:pt idx="248">
                  <c:v>44</c:v>
                </c:pt>
                <c:pt idx="249">
                  <c:v>34</c:v>
                </c:pt>
                <c:pt idx="250">
                  <c:v>33</c:v>
                </c:pt>
                <c:pt idx="251">
                  <c:v>33</c:v>
                </c:pt>
                <c:pt idx="252">
                  <c:v>49</c:v>
                </c:pt>
                <c:pt idx="253">
                  <c:v>56</c:v>
                </c:pt>
                <c:pt idx="254">
                  <c:v>50</c:v>
                </c:pt>
                <c:pt idx="255">
                  <c:v>52</c:v>
                </c:pt>
                <c:pt idx="256">
                  <c:v>51</c:v>
                </c:pt>
                <c:pt idx="257">
                  <c:v>64</c:v>
                </c:pt>
                <c:pt idx="258">
                  <c:v>63</c:v>
                </c:pt>
                <c:pt idx="259">
                  <c:v>66</c:v>
                </c:pt>
                <c:pt idx="260">
                  <c:v>68</c:v>
                </c:pt>
                <c:pt idx="261">
                  <c:v>62</c:v>
                </c:pt>
                <c:pt idx="262">
                  <c:v>57</c:v>
                </c:pt>
                <c:pt idx="263">
                  <c:v>61</c:v>
                </c:pt>
                <c:pt idx="264">
                  <c:v>64</c:v>
                </c:pt>
                <c:pt idx="265">
                  <c:v>64</c:v>
                </c:pt>
                <c:pt idx="266">
                  <c:v>64</c:v>
                </c:pt>
                <c:pt idx="267">
                  <c:v>59</c:v>
                </c:pt>
                <c:pt idx="268">
                  <c:v>57</c:v>
                </c:pt>
                <c:pt idx="269">
                  <c:v>60</c:v>
                </c:pt>
                <c:pt idx="270">
                  <c:v>63</c:v>
                </c:pt>
                <c:pt idx="271">
                  <c:v>61</c:v>
                </c:pt>
                <c:pt idx="272">
                  <c:v>63</c:v>
                </c:pt>
                <c:pt idx="273">
                  <c:v>63</c:v>
                </c:pt>
                <c:pt idx="274">
                  <c:v>62</c:v>
                </c:pt>
                <c:pt idx="275">
                  <c:v>62</c:v>
                </c:pt>
                <c:pt idx="276">
                  <c:v>63</c:v>
                </c:pt>
                <c:pt idx="277">
                  <c:v>64</c:v>
                </c:pt>
                <c:pt idx="278">
                  <c:v>61</c:v>
                </c:pt>
                <c:pt idx="279">
                  <c:v>61</c:v>
                </c:pt>
                <c:pt idx="280">
                  <c:v>62</c:v>
                </c:pt>
                <c:pt idx="281">
                  <c:v>68</c:v>
                </c:pt>
                <c:pt idx="282">
                  <c:v>65</c:v>
                </c:pt>
                <c:pt idx="283">
                  <c:v>61</c:v>
                </c:pt>
                <c:pt idx="284">
                  <c:v>68</c:v>
                </c:pt>
                <c:pt idx="285">
                  <c:v>68</c:v>
                </c:pt>
                <c:pt idx="286">
                  <c:v>68</c:v>
                </c:pt>
                <c:pt idx="287">
                  <c:v>69</c:v>
                </c:pt>
                <c:pt idx="288">
                  <c:v>58</c:v>
                </c:pt>
                <c:pt idx="289">
                  <c:v>63</c:v>
                </c:pt>
                <c:pt idx="290">
                  <c:v>52</c:v>
                </c:pt>
                <c:pt idx="291">
                  <c:v>50</c:v>
                </c:pt>
                <c:pt idx="292">
                  <c:v>53</c:v>
                </c:pt>
                <c:pt idx="293">
                  <c:v>56</c:v>
                </c:pt>
                <c:pt idx="294">
                  <c:v>53</c:v>
                </c:pt>
                <c:pt idx="295">
                  <c:v>53</c:v>
                </c:pt>
                <c:pt idx="296">
                  <c:v>56</c:v>
                </c:pt>
                <c:pt idx="297">
                  <c:v>59</c:v>
                </c:pt>
                <c:pt idx="298">
                  <c:v>64</c:v>
                </c:pt>
                <c:pt idx="299">
                  <c:v>64</c:v>
                </c:pt>
                <c:pt idx="300">
                  <c:v>60</c:v>
                </c:pt>
                <c:pt idx="301">
                  <c:v>63</c:v>
                </c:pt>
                <c:pt idx="302">
                  <c:v>55</c:v>
                </c:pt>
                <c:pt idx="303">
                  <c:v>64</c:v>
                </c:pt>
                <c:pt idx="304">
                  <c:v>64</c:v>
                </c:pt>
                <c:pt idx="305">
                  <c:v>61</c:v>
                </c:pt>
                <c:pt idx="306">
                  <c:v>60</c:v>
                </c:pt>
                <c:pt idx="307">
                  <c:v>64</c:v>
                </c:pt>
                <c:pt idx="308">
                  <c:v>60</c:v>
                </c:pt>
                <c:pt idx="309">
                  <c:v>51</c:v>
                </c:pt>
                <c:pt idx="310">
                  <c:v>52</c:v>
                </c:pt>
                <c:pt idx="311">
                  <c:v>52</c:v>
                </c:pt>
                <c:pt idx="312">
                  <c:v>49</c:v>
                </c:pt>
                <c:pt idx="313">
                  <c:v>48</c:v>
                </c:pt>
                <c:pt idx="314">
                  <c:v>48</c:v>
                </c:pt>
                <c:pt idx="315">
                  <c:v>50</c:v>
                </c:pt>
                <c:pt idx="316">
                  <c:v>54</c:v>
                </c:pt>
                <c:pt idx="317">
                  <c:v>50</c:v>
                </c:pt>
                <c:pt idx="318">
                  <c:v>51</c:v>
                </c:pt>
                <c:pt idx="319">
                  <c:v>48</c:v>
                </c:pt>
                <c:pt idx="320">
                  <c:v>48</c:v>
                </c:pt>
                <c:pt idx="321">
                  <c:v>52</c:v>
                </c:pt>
                <c:pt idx="322">
                  <c:v>49</c:v>
                </c:pt>
                <c:pt idx="323">
                  <c:v>50</c:v>
                </c:pt>
                <c:pt idx="324">
                  <c:v>50</c:v>
                </c:pt>
                <c:pt idx="325">
                  <c:v>51</c:v>
                </c:pt>
                <c:pt idx="326">
                  <c:v>49</c:v>
                </c:pt>
                <c:pt idx="327">
                  <c:v>48</c:v>
                </c:pt>
                <c:pt idx="328">
                  <c:v>50</c:v>
                </c:pt>
                <c:pt idx="329">
                  <c:v>52</c:v>
                </c:pt>
                <c:pt idx="330">
                  <c:v>51</c:v>
                </c:pt>
                <c:pt idx="331">
                  <c:v>51</c:v>
                </c:pt>
                <c:pt idx="332">
                  <c:v>52</c:v>
                </c:pt>
                <c:pt idx="333">
                  <c:v>50</c:v>
                </c:pt>
                <c:pt idx="334">
                  <c:v>53</c:v>
                </c:pt>
                <c:pt idx="335">
                  <c:v>52</c:v>
                </c:pt>
                <c:pt idx="336">
                  <c:v>53</c:v>
                </c:pt>
                <c:pt idx="337">
                  <c:v>44</c:v>
                </c:pt>
                <c:pt idx="338">
                  <c:v>53</c:v>
                </c:pt>
                <c:pt idx="339">
                  <c:v>50</c:v>
                </c:pt>
                <c:pt idx="340">
                  <c:v>50</c:v>
                </c:pt>
                <c:pt idx="341">
                  <c:v>49</c:v>
                </c:pt>
                <c:pt idx="342">
                  <c:v>47</c:v>
                </c:pt>
                <c:pt idx="343">
                  <c:v>47</c:v>
                </c:pt>
                <c:pt idx="344">
                  <c:v>45</c:v>
                </c:pt>
                <c:pt idx="345">
                  <c:v>46</c:v>
                </c:pt>
                <c:pt idx="346">
                  <c:v>41</c:v>
                </c:pt>
                <c:pt idx="347">
                  <c:v>47</c:v>
                </c:pt>
                <c:pt idx="348">
                  <c:v>47</c:v>
                </c:pt>
                <c:pt idx="349">
                  <c:v>49</c:v>
                </c:pt>
                <c:pt idx="350">
                  <c:v>47</c:v>
                </c:pt>
                <c:pt idx="351">
                  <c:v>49</c:v>
                </c:pt>
                <c:pt idx="352">
                  <c:v>59</c:v>
                </c:pt>
                <c:pt idx="353">
                  <c:v>65</c:v>
                </c:pt>
                <c:pt idx="354">
                  <c:v>65</c:v>
                </c:pt>
                <c:pt idx="355">
                  <c:v>62</c:v>
                </c:pt>
                <c:pt idx="356">
                  <c:v>64</c:v>
                </c:pt>
                <c:pt idx="357">
                  <c:v>55</c:v>
                </c:pt>
                <c:pt idx="358">
                  <c:v>59</c:v>
                </c:pt>
                <c:pt idx="359">
                  <c:v>62</c:v>
                </c:pt>
                <c:pt idx="360">
                  <c:v>54</c:v>
                </c:pt>
                <c:pt idx="361">
                  <c:v>56</c:v>
                </c:pt>
                <c:pt idx="362">
                  <c:v>59</c:v>
                </c:pt>
                <c:pt idx="363">
                  <c:v>63</c:v>
                </c:pt>
                <c:pt idx="364">
                  <c:v>62</c:v>
                </c:pt>
                <c:pt idx="365">
                  <c:v>64</c:v>
                </c:pt>
                <c:pt idx="366">
                  <c:v>61</c:v>
                </c:pt>
                <c:pt idx="367">
                  <c:v>56</c:v>
                </c:pt>
                <c:pt idx="368">
                  <c:v>55</c:v>
                </c:pt>
                <c:pt idx="369">
                  <c:v>58</c:v>
                </c:pt>
                <c:pt idx="370">
                  <c:v>55</c:v>
                </c:pt>
                <c:pt idx="371">
                  <c:v>56</c:v>
                </c:pt>
                <c:pt idx="372">
                  <c:v>57</c:v>
                </c:pt>
                <c:pt idx="373">
                  <c:v>64</c:v>
                </c:pt>
                <c:pt idx="374">
                  <c:v>57</c:v>
                </c:pt>
                <c:pt idx="375">
                  <c:v>60</c:v>
                </c:pt>
                <c:pt idx="376">
                  <c:v>56</c:v>
                </c:pt>
                <c:pt idx="377">
                  <c:v>57</c:v>
                </c:pt>
                <c:pt idx="378">
                  <c:v>54</c:v>
                </c:pt>
                <c:pt idx="379">
                  <c:v>56</c:v>
                </c:pt>
                <c:pt idx="380">
                  <c:v>50</c:v>
                </c:pt>
                <c:pt idx="381">
                  <c:v>56</c:v>
                </c:pt>
                <c:pt idx="382">
                  <c:v>50</c:v>
                </c:pt>
                <c:pt idx="383">
                  <c:v>52</c:v>
                </c:pt>
                <c:pt idx="384">
                  <c:v>54</c:v>
                </c:pt>
                <c:pt idx="385">
                  <c:v>55</c:v>
                </c:pt>
                <c:pt idx="386">
                  <c:v>50</c:v>
                </c:pt>
                <c:pt idx="387">
                  <c:v>51</c:v>
                </c:pt>
                <c:pt idx="388">
                  <c:v>51</c:v>
                </c:pt>
                <c:pt idx="389">
                  <c:v>52</c:v>
                </c:pt>
                <c:pt idx="390">
                  <c:v>52</c:v>
                </c:pt>
                <c:pt idx="391">
                  <c:v>52</c:v>
                </c:pt>
                <c:pt idx="392">
                  <c:v>50</c:v>
                </c:pt>
                <c:pt idx="393">
                  <c:v>53</c:v>
                </c:pt>
                <c:pt idx="394">
                  <c:v>53</c:v>
                </c:pt>
                <c:pt idx="395">
                  <c:v>52</c:v>
                </c:pt>
                <c:pt idx="396">
                  <c:v>54</c:v>
                </c:pt>
                <c:pt idx="397">
                  <c:v>50</c:v>
                </c:pt>
                <c:pt idx="398">
                  <c:v>49</c:v>
                </c:pt>
                <c:pt idx="399">
                  <c:v>49</c:v>
                </c:pt>
                <c:pt idx="400">
                  <c:v>54</c:v>
                </c:pt>
                <c:pt idx="401">
                  <c:v>50</c:v>
                </c:pt>
                <c:pt idx="402">
                  <c:v>53</c:v>
                </c:pt>
                <c:pt idx="403">
                  <c:v>51</c:v>
                </c:pt>
                <c:pt idx="404">
                  <c:v>54</c:v>
                </c:pt>
                <c:pt idx="405">
                  <c:v>54</c:v>
                </c:pt>
                <c:pt idx="406">
                  <c:v>50</c:v>
                </c:pt>
                <c:pt idx="407">
                  <c:v>53</c:v>
                </c:pt>
                <c:pt idx="408">
                  <c:v>52</c:v>
                </c:pt>
                <c:pt idx="409">
                  <c:v>50</c:v>
                </c:pt>
                <c:pt idx="410">
                  <c:v>37</c:v>
                </c:pt>
                <c:pt idx="411">
                  <c:v>39</c:v>
                </c:pt>
                <c:pt idx="412">
                  <c:v>37</c:v>
                </c:pt>
                <c:pt idx="413">
                  <c:v>38</c:v>
                </c:pt>
                <c:pt idx="414">
                  <c:v>37</c:v>
                </c:pt>
                <c:pt idx="415">
                  <c:v>37</c:v>
                </c:pt>
                <c:pt idx="416">
                  <c:v>41</c:v>
                </c:pt>
                <c:pt idx="417">
                  <c:v>39</c:v>
                </c:pt>
                <c:pt idx="418">
                  <c:v>38</c:v>
                </c:pt>
                <c:pt idx="419">
                  <c:v>38</c:v>
                </c:pt>
                <c:pt idx="420">
                  <c:v>39</c:v>
                </c:pt>
                <c:pt idx="421">
                  <c:v>39</c:v>
                </c:pt>
                <c:pt idx="422">
                  <c:v>49</c:v>
                </c:pt>
                <c:pt idx="423">
                  <c:v>52</c:v>
                </c:pt>
                <c:pt idx="424">
                  <c:v>40</c:v>
                </c:pt>
                <c:pt idx="425">
                  <c:v>39</c:v>
                </c:pt>
                <c:pt idx="426">
                  <c:v>40</c:v>
                </c:pt>
                <c:pt idx="427">
                  <c:v>40</c:v>
                </c:pt>
                <c:pt idx="428">
                  <c:v>40</c:v>
                </c:pt>
                <c:pt idx="429">
                  <c:v>42</c:v>
                </c:pt>
                <c:pt idx="430">
                  <c:v>41</c:v>
                </c:pt>
                <c:pt idx="431">
                  <c:v>46</c:v>
                </c:pt>
                <c:pt idx="432">
                  <c:v>41</c:v>
                </c:pt>
                <c:pt idx="433">
                  <c:v>40</c:v>
                </c:pt>
                <c:pt idx="434">
                  <c:v>40</c:v>
                </c:pt>
                <c:pt idx="435">
                  <c:v>30</c:v>
                </c:pt>
                <c:pt idx="436">
                  <c:v>41</c:v>
                </c:pt>
                <c:pt idx="437">
                  <c:v>45</c:v>
                </c:pt>
                <c:pt idx="438">
                  <c:v>45</c:v>
                </c:pt>
                <c:pt idx="439">
                  <c:v>43</c:v>
                </c:pt>
                <c:pt idx="440">
                  <c:v>46</c:v>
                </c:pt>
                <c:pt idx="441">
                  <c:v>46</c:v>
                </c:pt>
                <c:pt idx="442">
                  <c:v>46</c:v>
                </c:pt>
                <c:pt idx="443">
                  <c:v>47</c:v>
                </c:pt>
                <c:pt idx="444">
                  <c:v>47</c:v>
                </c:pt>
                <c:pt idx="445">
                  <c:v>43</c:v>
                </c:pt>
                <c:pt idx="446">
                  <c:v>47</c:v>
                </c:pt>
                <c:pt idx="447">
                  <c:v>44</c:v>
                </c:pt>
                <c:pt idx="448">
                  <c:v>47</c:v>
                </c:pt>
                <c:pt idx="449">
                  <c:v>46</c:v>
                </c:pt>
                <c:pt idx="450">
                  <c:v>44</c:v>
                </c:pt>
                <c:pt idx="451">
                  <c:v>46</c:v>
                </c:pt>
                <c:pt idx="452">
                  <c:v>48</c:v>
                </c:pt>
                <c:pt idx="453">
                  <c:v>47</c:v>
                </c:pt>
                <c:pt idx="454">
                  <c:v>48</c:v>
                </c:pt>
                <c:pt idx="455">
                  <c:v>50</c:v>
                </c:pt>
                <c:pt idx="456">
                  <c:v>50</c:v>
                </c:pt>
                <c:pt idx="457">
                  <c:v>49</c:v>
                </c:pt>
                <c:pt idx="458">
                  <c:v>48</c:v>
                </c:pt>
                <c:pt idx="459">
                  <c:v>50</c:v>
                </c:pt>
                <c:pt idx="460">
                  <c:v>49</c:v>
                </c:pt>
                <c:pt idx="461">
                  <c:v>50</c:v>
                </c:pt>
                <c:pt idx="462">
                  <c:v>50</c:v>
                </c:pt>
                <c:pt idx="463">
                  <c:v>50</c:v>
                </c:pt>
                <c:pt idx="464">
                  <c:v>47</c:v>
                </c:pt>
                <c:pt idx="465">
                  <c:v>45</c:v>
                </c:pt>
                <c:pt idx="466">
                  <c:v>44</c:v>
                </c:pt>
                <c:pt idx="467">
                  <c:v>47</c:v>
                </c:pt>
                <c:pt idx="468">
                  <c:v>45</c:v>
                </c:pt>
                <c:pt idx="469">
                  <c:v>47</c:v>
                </c:pt>
                <c:pt idx="470">
                  <c:v>52</c:v>
                </c:pt>
                <c:pt idx="471">
                  <c:v>50</c:v>
                </c:pt>
                <c:pt idx="472">
                  <c:v>52</c:v>
                </c:pt>
                <c:pt idx="473">
                  <c:v>53</c:v>
                </c:pt>
                <c:pt idx="474">
                  <c:v>63</c:v>
                </c:pt>
                <c:pt idx="475">
                  <c:v>53</c:v>
                </c:pt>
                <c:pt idx="476">
                  <c:v>53</c:v>
                </c:pt>
                <c:pt idx="477">
                  <c:v>66</c:v>
                </c:pt>
                <c:pt idx="478">
                  <c:v>72</c:v>
                </c:pt>
                <c:pt idx="479">
                  <c:v>71</c:v>
                </c:pt>
                <c:pt idx="480">
                  <c:v>70</c:v>
                </c:pt>
                <c:pt idx="481">
                  <c:v>65</c:v>
                </c:pt>
                <c:pt idx="482">
                  <c:v>72</c:v>
                </c:pt>
                <c:pt idx="483">
                  <c:v>68</c:v>
                </c:pt>
                <c:pt idx="484">
                  <c:v>66</c:v>
                </c:pt>
                <c:pt idx="485">
                  <c:v>66</c:v>
                </c:pt>
                <c:pt idx="486">
                  <c:v>72</c:v>
                </c:pt>
                <c:pt idx="487">
                  <c:v>65</c:v>
                </c:pt>
                <c:pt idx="488">
                  <c:v>68</c:v>
                </c:pt>
                <c:pt idx="489">
                  <c:v>70</c:v>
                </c:pt>
                <c:pt idx="490">
                  <c:v>74</c:v>
                </c:pt>
                <c:pt idx="491">
                  <c:v>68</c:v>
                </c:pt>
                <c:pt idx="492">
                  <c:v>66</c:v>
                </c:pt>
                <c:pt idx="493">
                  <c:v>69</c:v>
                </c:pt>
                <c:pt idx="494">
                  <c:v>70</c:v>
                </c:pt>
                <c:pt idx="495">
                  <c:v>70</c:v>
                </c:pt>
                <c:pt idx="496">
                  <c:v>73</c:v>
                </c:pt>
                <c:pt idx="497">
                  <c:v>72</c:v>
                </c:pt>
                <c:pt idx="498">
                  <c:v>69</c:v>
                </c:pt>
                <c:pt idx="499">
                  <c:v>60</c:v>
                </c:pt>
                <c:pt idx="500">
                  <c:v>70</c:v>
                </c:pt>
                <c:pt idx="501">
                  <c:v>63</c:v>
                </c:pt>
                <c:pt idx="502">
                  <c:v>69</c:v>
                </c:pt>
                <c:pt idx="503">
                  <c:v>66</c:v>
                </c:pt>
                <c:pt idx="504">
                  <c:v>69</c:v>
                </c:pt>
                <c:pt idx="505">
                  <c:v>71</c:v>
                </c:pt>
                <c:pt idx="506">
                  <c:v>62</c:v>
                </c:pt>
                <c:pt idx="507">
                  <c:v>66</c:v>
                </c:pt>
                <c:pt idx="508">
                  <c:v>66</c:v>
                </c:pt>
                <c:pt idx="509">
                  <c:v>73</c:v>
                </c:pt>
                <c:pt idx="510">
                  <c:v>73</c:v>
                </c:pt>
                <c:pt idx="511">
                  <c:v>66</c:v>
                </c:pt>
                <c:pt idx="512">
                  <c:v>68</c:v>
                </c:pt>
                <c:pt idx="513">
                  <c:v>72</c:v>
                </c:pt>
                <c:pt idx="514">
                  <c:v>74</c:v>
                </c:pt>
                <c:pt idx="515">
                  <c:v>71</c:v>
                </c:pt>
                <c:pt idx="516">
                  <c:v>74</c:v>
                </c:pt>
                <c:pt idx="517">
                  <c:v>73</c:v>
                </c:pt>
                <c:pt idx="518">
                  <c:v>74</c:v>
                </c:pt>
                <c:pt idx="519">
                  <c:v>75</c:v>
                </c:pt>
                <c:pt idx="520">
                  <c:v>72</c:v>
                </c:pt>
                <c:pt idx="521">
                  <c:v>72</c:v>
                </c:pt>
                <c:pt idx="522">
                  <c:v>72</c:v>
                </c:pt>
                <c:pt idx="523">
                  <c:v>73</c:v>
                </c:pt>
                <c:pt idx="524">
                  <c:v>74</c:v>
                </c:pt>
                <c:pt idx="525">
                  <c:v>74</c:v>
                </c:pt>
                <c:pt idx="526">
                  <c:v>67</c:v>
                </c:pt>
                <c:pt idx="527">
                  <c:v>65</c:v>
                </c:pt>
                <c:pt idx="528">
                  <c:v>72</c:v>
                </c:pt>
                <c:pt idx="529">
                  <c:v>70</c:v>
                </c:pt>
                <c:pt idx="530">
                  <c:v>67</c:v>
                </c:pt>
                <c:pt idx="531">
                  <c:v>73</c:v>
                </c:pt>
                <c:pt idx="532">
                  <c:v>65</c:v>
                </c:pt>
                <c:pt idx="533">
                  <c:v>73</c:v>
                </c:pt>
                <c:pt idx="534">
                  <c:v>74</c:v>
                </c:pt>
                <c:pt idx="535">
                  <c:v>70</c:v>
                </c:pt>
                <c:pt idx="536">
                  <c:v>74</c:v>
                </c:pt>
                <c:pt idx="537">
                  <c:v>70</c:v>
                </c:pt>
                <c:pt idx="538">
                  <c:v>71</c:v>
                </c:pt>
                <c:pt idx="539">
                  <c:v>73</c:v>
                </c:pt>
                <c:pt idx="540">
                  <c:v>71</c:v>
                </c:pt>
                <c:pt idx="541">
                  <c:v>73</c:v>
                </c:pt>
                <c:pt idx="542">
                  <c:v>73</c:v>
                </c:pt>
                <c:pt idx="543">
                  <c:v>65</c:v>
                </c:pt>
                <c:pt idx="544">
                  <c:v>68</c:v>
                </c:pt>
                <c:pt idx="545">
                  <c:v>67</c:v>
                </c:pt>
                <c:pt idx="546">
                  <c:v>65</c:v>
                </c:pt>
                <c:pt idx="547">
                  <c:v>71</c:v>
                </c:pt>
                <c:pt idx="548">
                  <c:v>70</c:v>
                </c:pt>
                <c:pt idx="549">
                  <c:v>68</c:v>
                </c:pt>
                <c:pt idx="550">
                  <c:v>72</c:v>
                </c:pt>
                <c:pt idx="551">
                  <c:v>70</c:v>
                </c:pt>
                <c:pt idx="552">
                  <c:v>71</c:v>
                </c:pt>
                <c:pt idx="553">
                  <c:v>71</c:v>
                </c:pt>
                <c:pt idx="554">
                  <c:v>76</c:v>
                </c:pt>
                <c:pt idx="555">
                  <c:v>73</c:v>
                </c:pt>
                <c:pt idx="556">
                  <c:v>76</c:v>
                </c:pt>
                <c:pt idx="557">
                  <c:v>71</c:v>
                </c:pt>
                <c:pt idx="558">
                  <c:v>64</c:v>
                </c:pt>
                <c:pt idx="559">
                  <c:v>60</c:v>
                </c:pt>
                <c:pt idx="560">
                  <c:v>52</c:v>
                </c:pt>
                <c:pt idx="561">
                  <c:v>64</c:v>
                </c:pt>
                <c:pt idx="562">
                  <c:v>60</c:v>
                </c:pt>
                <c:pt idx="563">
                  <c:v>63</c:v>
                </c:pt>
                <c:pt idx="564">
                  <c:v>51</c:v>
                </c:pt>
                <c:pt idx="565">
                  <c:v>52</c:v>
                </c:pt>
                <c:pt idx="566">
                  <c:v>56</c:v>
                </c:pt>
                <c:pt idx="567">
                  <c:v>55</c:v>
                </c:pt>
                <c:pt idx="568">
                  <c:v>50</c:v>
                </c:pt>
                <c:pt idx="569">
                  <c:v>48</c:v>
                </c:pt>
                <c:pt idx="570">
                  <c:v>52</c:v>
                </c:pt>
                <c:pt idx="571">
                  <c:v>49</c:v>
                </c:pt>
                <c:pt idx="572">
                  <c:v>55</c:v>
                </c:pt>
                <c:pt idx="573">
                  <c:v>54</c:v>
                </c:pt>
                <c:pt idx="574">
                  <c:v>55</c:v>
                </c:pt>
                <c:pt idx="575">
                  <c:v>61</c:v>
                </c:pt>
                <c:pt idx="576">
                  <c:v>60</c:v>
                </c:pt>
                <c:pt idx="577">
                  <c:v>63</c:v>
                </c:pt>
                <c:pt idx="578">
                  <c:v>63</c:v>
                </c:pt>
                <c:pt idx="579">
                  <c:v>60</c:v>
                </c:pt>
                <c:pt idx="580">
                  <c:v>60</c:v>
                </c:pt>
                <c:pt idx="581">
                  <c:v>60</c:v>
                </c:pt>
                <c:pt idx="582">
                  <c:v>64</c:v>
                </c:pt>
                <c:pt idx="583">
                  <c:v>62</c:v>
                </c:pt>
                <c:pt idx="584">
                  <c:v>66</c:v>
                </c:pt>
                <c:pt idx="585">
                  <c:v>72</c:v>
                </c:pt>
                <c:pt idx="586">
                  <c:v>74</c:v>
                </c:pt>
                <c:pt idx="587">
                  <c:v>71</c:v>
                </c:pt>
                <c:pt idx="588">
                  <c:v>70</c:v>
                </c:pt>
                <c:pt idx="589">
                  <c:v>79</c:v>
                </c:pt>
                <c:pt idx="590">
                  <c:v>74</c:v>
                </c:pt>
                <c:pt idx="591">
                  <c:v>72</c:v>
                </c:pt>
                <c:pt idx="592">
                  <c:v>72</c:v>
                </c:pt>
                <c:pt idx="593">
                  <c:v>76</c:v>
                </c:pt>
                <c:pt idx="594">
                  <c:v>72</c:v>
                </c:pt>
                <c:pt idx="595">
                  <c:v>75</c:v>
                </c:pt>
                <c:pt idx="596">
                  <c:v>72</c:v>
                </c:pt>
                <c:pt idx="597">
                  <c:v>78</c:v>
                </c:pt>
                <c:pt idx="598">
                  <c:v>74</c:v>
                </c:pt>
                <c:pt idx="599">
                  <c:v>76</c:v>
                </c:pt>
                <c:pt idx="600">
                  <c:v>72</c:v>
                </c:pt>
                <c:pt idx="601">
                  <c:v>74</c:v>
                </c:pt>
                <c:pt idx="602">
                  <c:v>72</c:v>
                </c:pt>
                <c:pt idx="603">
                  <c:v>79</c:v>
                </c:pt>
                <c:pt idx="604">
                  <c:v>82</c:v>
                </c:pt>
                <c:pt idx="605">
                  <c:v>80</c:v>
                </c:pt>
                <c:pt idx="606">
                  <c:v>80</c:v>
                </c:pt>
                <c:pt idx="607">
                  <c:v>80</c:v>
                </c:pt>
                <c:pt idx="608">
                  <c:v>83</c:v>
                </c:pt>
                <c:pt idx="609">
                  <c:v>82</c:v>
                </c:pt>
                <c:pt idx="610">
                  <c:v>90</c:v>
                </c:pt>
                <c:pt idx="611">
                  <c:v>75</c:v>
                </c:pt>
                <c:pt idx="612">
                  <c:v>82</c:v>
                </c:pt>
                <c:pt idx="613">
                  <c:v>81</c:v>
                </c:pt>
                <c:pt idx="614">
                  <c:v>84</c:v>
                </c:pt>
                <c:pt idx="615">
                  <c:v>79</c:v>
                </c:pt>
                <c:pt idx="616">
                  <c:v>82</c:v>
                </c:pt>
                <c:pt idx="617">
                  <c:v>81</c:v>
                </c:pt>
                <c:pt idx="618">
                  <c:v>81</c:v>
                </c:pt>
                <c:pt idx="619">
                  <c:v>88</c:v>
                </c:pt>
                <c:pt idx="620">
                  <c:v>83</c:v>
                </c:pt>
                <c:pt idx="621">
                  <c:v>81</c:v>
                </c:pt>
                <c:pt idx="622">
                  <c:v>79</c:v>
                </c:pt>
                <c:pt idx="623">
                  <c:v>77</c:v>
                </c:pt>
                <c:pt idx="624">
                  <c:v>79</c:v>
                </c:pt>
                <c:pt idx="625">
                  <c:v>74</c:v>
                </c:pt>
                <c:pt idx="626">
                  <c:v>78</c:v>
                </c:pt>
                <c:pt idx="627">
                  <c:v>75</c:v>
                </c:pt>
                <c:pt idx="628">
                  <c:v>73</c:v>
                </c:pt>
                <c:pt idx="629">
                  <c:v>74</c:v>
                </c:pt>
                <c:pt idx="630">
                  <c:v>75</c:v>
                </c:pt>
                <c:pt idx="631">
                  <c:v>81</c:v>
                </c:pt>
                <c:pt idx="632">
                  <c:v>83</c:v>
                </c:pt>
                <c:pt idx="633">
                  <c:v>80</c:v>
                </c:pt>
                <c:pt idx="634">
                  <c:v>79</c:v>
                </c:pt>
                <c:pt idx="635">
                  <c:v>75</c:v>
                </c:pt>
                <c:pt idx="636">
                  <c:v>75</c:v>
                </c:pt>
                <c:pt idx="637">
                  <c:v>79</c:v>
                </c:pt>
                <c:pt idx="638">
                  <c:v>79</c:v>
                </c:pt>
                <c:pt idx="639">
                  <c:v>71</c:v>
                </c:pt>
                <c:pt idx="640">
                  <c:v>70</c:v>
                </c:pt>
                <c:pt idx="641">
                  <c:v>79</c:v>
                </c:pt>
                <c:pt idx="642">
                  <c:v>75</c:v>
                </c:pt>
                <c:pt idx="643">
                  <c:v>78</c:v>
                </c:pt>
                <c:pt idx="644">
                  <c:v>76</c:v>
                </c:pt>
                <c:pt idx="645">
                  <c:v>80</c:v>
                </c:pt>
                <c:pt idx="646">
                  <c:v>78</c:v>
                </c:pt>
                <c:pt idx="647">
                  <c:v>76</c:v>
                </c:pt>
                <c:pt idx="648">
                  <c:v>79</c:v>
                </c:pt>
                <c:pt idx="649">
                  <c:v>72</c:v>
                </c:pt>
                <c:pt idx="650">
                  <c:v>72</c:v>
                </c:pt>
                <c:pt idx="651">
                  <c:v>74</c:v>
                </c:pt>
                <c:pt idx="652">
                  <c:v>65</c:v>
                </c:pt>
                <c:pt idx="653">
                  <c:v>67</c:v>
                </c:pt>
                <c:pt idx="654">
                  <c:v>57</c:v>
                </c:pt>
                <c:pt idx="655">
                  <c:v>66</c:v>
                </c:pt>
                <c:pt idx="656">
                  <c:v>66</c:v>
                </c:pt>
                <c:pt idx="657">
                  <c:v>72</c:v>
                </c:pt>
                <c:pt idx="658">
                  <c:v>73</c:v>
                </c:pt>
                <c:pt idx="659">
                  <c:v>71</c:v>
                </c:pt>
                <c:pt idx="660">
                  <c:v>72</c:v>
                </c:pt>
                <c:pt idx="661">
                  <c:v>72</c:v>
                </c:pt>
                <c:pt idx="662">
                  <c:v>70</c:v>
                </c:pt>
                <c:pt idx="663">
                  <c:v>67</c:v>
                </c:pt>
                <c:pt idx="664">
                  <c:v>65</c:v>
                </c:pt>
                <c:pt idx="665">
                  <c:v>67</c:v>
                </c:pt>
                <c:pt idx="666">
                  <c:v>67</c:v>
                </c:pt>
                <c:pt idx="667">
                  <c:v>54</c:v>
                </c:pt>
                <c:pt idx="668">
                  <c:v>43</c:v>
                </c:pt>
                <c:pt idx="669">
                  <c:v>48</c:v>
                </c:pt>
                <c:pt idx="670">
                  <c:v>67</c:v>
                </c:pt>
                <c:pt idx="671">
                  <c:v>69</c:v>
                </c:pt>
                <c:pt idx="672">
                  <c:v>71</c:v>
                </c:pt>
                <c:pt idx="673">
                  <c:v>68</c:v>
                </c:pt>
                <c:pt idx="674">
                  <c:v>64</c:v>
                </c:pt>
                <c:pt idx="675">
                  <c:v>55</c:v>
                </c:pt>
                <c:pt idx="676">
                  <c:v>66</c:v>
                </c:pt>
                <c:pt idx="677">
                  <c:v>53</c:v>
                </c:pt>
                <c:pt idx="678">
                  <c:v>56</c:v>
                </c:pt>
                <c:pt idx="679">
                  <c:v>57</c:v>
                </c:pt>
                <c:pt idx="680">
                  <c:v>66</c:v>
                </c:pt>
                <c:pt idx="681">
                  <c:v>64</c:v>
                </c:pt>
                <c:pt idx="682">
                  <c:v>70</c:v>
                </c:pt>
                <c:pt idx="683">
                  <c:v>74</c:v>
                </c:pt>
                <c:pt idx="684">
                  <c:v>73</c:v>
                </c:pt>
                <c:pt idx="685">
                  <c:v>72</c:v>
                </c:pt>
                <c:pt idx="686">
                  <c:v>70</c:v>
                </c:pt>
                <c:pt idx="687">
                  <c:v>76</c:v>
                </c:pt>
                <c:pt idx="688">
                  <c:v>76</c:v>
                </c:pt>
                <c:pt idx="689">
                  <c:v>76</c:v>
                </c:pt>
                <c:pt idx="690">
                  <c:v>74</c:v>
                </c:pt>
                <c:pt idx="691">
                  <c:v>76</c:v>
                </c:pt>
                <c:pt idx="692">
                  <c:v>75</c:v>
                </c:pt>
                <c:pt idx="693">
                  <c:v>74</c:v>
                </c:pt>
                <c:pt idx="694">
                  <c:v>72</c:v>
                </c:pt>
                <c:pt idx="695">
                  <c:v>72</c:v>
                </c:pt>
                <c:pt idx="696">
                  <c:v>73</c:v>
                </c:pt>
                <c:pt idx="697">
                  <c:v>73</c:v>
                </c:pt>
                <c:pt idx="698">
                  <c:v>72</c:v>
                </c:pt>
                <c:pt idx="699">
                  <c:v>73</c:v>
                </c:pt>
                <c:pt idx="700">
                  <c:v>73</c:v>
                </c:pt>
                <c:pt idx="701">
                  <c:v>73</c:v>
                </c:pt>
                <c:pt idx="702">
                  <c:v>75</c:v>
                </c:pt>
                <c:pt idx="703">
                  <c:v>78</c:v>
                </c:pt>
                <c:pt idx="704">
                  <c:v>77</c:v>
                </c:pt>
                <c:pt idx="705">
                  <c:v>72</c:v>
                </c:pt>
                <c:pt idx="706">
                  <c:v>75</c:v>
                </c:pt>
                <c:pt idx="707">
                  <c:v>72</c:v>
                </c:pt>
                <c:pt idx="708">
                  <c:v>74</c:v>
                </c:pt>
                <c:pt idx="709">
                  <c:v>72</c:v>
                </c:pt>
                <c:pt idx="710">
                  <c:v>70</c:v>
                </c:pt>
                <c:pt idx="711">
                  <c:v>74</c:v>
                </c:pt>
                <c:pt idx="712">
                  <c:v>74</c:v>
                </c:pt>
                <c:pt idx="713">
                  <c:v>71</c:v>
                </c:pt>
                <c:pt idx="714">
                  <c:v>71</c:v>
                </c:pt>
                <c:pt idx="715">
                  <c:v>74</c:v>
                </c:pt>
                <c:pt idx="716">
                  <c:v>64</c:v>
                </c:pt>
                <c:pt idx="717">
                  <c:v>60</c:v>
                </c:pt>
                <c:pt idx="718">
                  <c:v>63</c:v>
                </c:pt>
                <c:pt idx="719">
                  <c:v>53</c:v>
                </c:pt>
                <c:pt idx="720">
                  <c:v>55</c:v>
                </c:pt>
                <c:pt idx="721">
                  <c:v>51</c:v>
                </c:pt>
                <c:pt idx="722">
                  <c:v>30</c:v>
                </c:pt>
                <c:pt idx="723">
                  <c:v>46</c:v>
                </c:pt>
                <c:pt idx="724">
                  <c:v>40</c:v>
                </c:pt>
                <c:pt idx="725">
                  <c:v>47</c:v>
                </c:pt>
                <c:pt idx="726">
                  <c:v>30</c:v>
                </c:pt>
                <c:pt idx="727">
                  <c:v>47</c:v>
                </c:pt>
                <c:pt idx="728">
                  <c:v>53</c:v>
                </c:pt>
                <c:pt idx="729">
                  <c:v>51</c:v>
                </c:pt>
                <c:pt idx="730">
                  <c:v>50</c:v>
                </c:pt>
                <c:pt idx="731">
                  <c:v>44</c:v>
                </c:pt>
                <c:pt idx="732">
                  <c:v>29</c:v>
                </c:pt>
                <c:pt idx="733">
                  <c:v>26</c:v>
                </c:pt>
                <c:pt idx="734">
                  <c:v>29</c:v>
                </c:pt>
                <c:pt idx="735">
                  <c:v>28</c:v>
                </c:pt>
                <c:pt idx="736">
                  <c:v>27</c:v>
                </c:pt>
                <c:pt idx="737">
                  <c:v>28</c:v>
                </c:pt>
                <c:pt idx="738">
                  <c:v>29</c:v>
                </c:pt>
                <c:pt idx="739">
                  <c:v>25</c:v>
                </c:pt>
                <c:pt idx="740">
                  <c:v>25</c:v>
                </c:pt>
                <c:pt idx="741">
                  <c:v>33</c:v>
                </c:pt>
                <c:pt idx="742">
                  <c:v>52</c:v>
                </c:pt>
                <c:pt idx="743">
                  <c:v>65</c:v>
                </c:pt>
                <c:pt idx="744">
                  <c:v>69</c:v>
                </c:pt>
                <c:pt idx="745">
                  <c:v>61</c:v>
                </c:pt>
                <c:pt idx="746">
                  <c:v>60</c:v>
                </c:pt>
                <c:pt idx="747">
                  <c:v>74</c:v>
                </c:pt>
                <c:pt idx="748">
                  <c:v>74</c:v>
                </c:pt>
                <c:pt idx="749">
                  <c:v>70</c:v>
                </c:pt>
                <c:pt idx="750">
                  <c:v>71</c:v>
                </c:pt>
                <c:pt idx="751">
                  <c:v>69</c:v>
                </c:pt>
                <c:pt idx="752">
                  <c:v>68</c:v>
                </c:pt>
                <c:pt idx="753">
                  <c:v>68</c:v>
                </c:pt>
                <c:pt idx="754">
                  <c:v>72</c:v>
                </c:pt>
                <c:pt idx="755">
                  <c:v>71</c:v>
                </c:pt>
                <c:pt idx="756">
                  <c:v>74</c:v>
                </c:pt>
                <c:pt idx="757">
                  <c:v>67</c:v>
                </c:pt>
                <c:pt idx="758">
                  <c:v>61</c:v>
                </c:pt>
                <c:pt idx="759">
                  <c:v>52</c:v>
                </c:pt>
                <c:pt idx="760">
                  <c:v>57</c:v>
                </c:pt>
                <c:pt idx="761">
                  <c:v>37</c:v>
                </c:pt>
                <c:pt idx="762">
                  <c:v>34</c:v>
                </c:pt>
                <c:pt idx="763">
                  <c:v>26</c:v>
                </c:pt>
                <c:pt idx="764">
                  <c:v>17</c:v>
                </c:pt>
                <c:pt idx="765">
                  <c:v>29</c:v>
                </c:pt>
                <c:pt idx="766">
                  <c:v>20</c:v>
                </c:pt>
                <c:pt idx="767">
                  <c:v>48</c:v>
                </c:pt>
                <c:pt idx="768">
                  <c:v>40</c:v>
                </c:pt>
                <c:pt idx="769">
                  <c:v>39</c:v>
                </c:pt>
                <c:pt idx="770">
                  <c:v>25</c:v>
                </c:pt>
                <c:pt idx="771">
                  <c:v>31</c:v>
                </c:pt>
                <c:pt idx="772">
                  <c:v>30</c:v>
                </c:pt>
                <c:pt idx="773">
                  <c:v>29</c:v>
                </c:pt>
                <c:pt idx="774">
                  <c:v>27</c:v>
                </c:pt>
                <c:pt idx="775">
                  <c:v>25</c:v>
                </c:pt>
                <c:pt idx="776">
                  <c:v>31</c:v>
                </c:pt>
                <c:pt idx="777">
                  <c:v>28</c:v>
                </c:pt>
                <c:pt idx="778">
                  <c:v>30</c:v>
                </c:pt>
                <c:pt idx="779">
                  <c:v>26</c:v>
                </c:pt>
                <c:pt idx="780">
                  <c:v>39</c:v>
                </c:pt>
                <c:pt idx="781">
                  <c:v>34</c:v>
                </c:pt>
                <c:pt idx="782">
                  <c:v>56</c:v>
                </c:pt>
                <c:pt idx="783">
                  <c:v>54</c:v>
                </c:pt>
                <c:pt idx="784">
                  <c:v>55</c:v>
                </c:pt>
                <c:pt idx="785">
                  <c:v>48</c:v>
                </c:pt>
                <c:pt idx="786">
                  <c:v>30</c:v>
                </c:pt>
                <c:pt idx="787">
                  <c:v>29</c:v>
                </c:pt>
                <c:pt idx="788">
                  <c:v>34</c:v>
                </c:pt>
                <c:pt idx="789">
                  <c:v>29</c:v>
                </c:pt>
                <c:pt idx="790">
                  <c:v>26</c:v>
                </c:pt>
                <c:pt idx="791">
                  <c:v>26</c:v>
                </c:pt>
                <c:pt idx="792">
                  <c:v>26</c:v>
                </c:pt>
                <c:pt idx="793">
                  <c:v>27</c:v>
                </c:pt>
                <c:pt idx="794">
                  <c:v>29</c:v>
                </c:pt>
                <c:pt idx="795">
                  <c:v>22</c:v>
                </c:pt>
                <c:pt idx="796">
                  <c:v>23</c:v>
                </c:pt>
                <c:pt idx="797">
                  <c:v>29</c:v>
                </c:pt>
                <c:pt idx="798">
                  <c:v>26</c:v>
                </c:pt>
                <c:pt idx="799">
                  <c:v>33</c:v>
                </c:pt>
                <c:pt idx="800">
                  <c:v>37</c:v>
                </c:pt>
                <c:pt idx="801">
                  <c:v>31</c:v>
                </c:pt>
                <c:pt idx="802">
                  <c:v>32</c:v>
                </c:pt>
                <c:pt idx="803">
                  <c:v>50</c:v>
                </c:pt>
                <c:pt idx="804">
                  <c:v>51</c:v>
                </c:pt>
                <c:pt idx="805">
                  <c:v>39</c:v>
                </c:pt>
                <c:pt idx="806">
                  <c:v>33</c:v>
                </c:pt>
                <c:pt idx="807">
                  <c:v>45</c:v>
                </c:pt>
                <c:pt idx="808">
                  <c:v>49</c:v>
                </c:pt>
                <c:pt idx="809">
                  <c:v>54</c:v>
                </c:pt>
                <c:pt idx="810">
                  <c:v>54</c:v>
                </c:pt>
                <c:pt idx="811">
                  <c:v>52</c:v>
                </c:pt>
                <c:pt idx="812">
                  <c:v>50</c:v>
                </c:pt>
                <c:pt idx="813">
                  <c:v>54</c:v>
                </c:pt>
                <c:pt idx="814">
                  <c:v>59</c:v>
                </c:pt>
                <c:pt idx="815">
                  <c:v>50</c:v>
                </c:pt>
                <c:pt idx="816">
                  <c:v>61</c:v>
                </c:pt>
                <c:pt idx="817">
                  <c:v>64</c:v>
                </c:pt>
                <c:pt idx="818">
                  <c:v>63</c:v>
                </c:pt>
                <c:pt idx="819">
                  <c:v>61</c:v>
                </c:pt>
                <c:pt idx="820">
                  <c:v>50</c:v>
                </c:pt>
                <c:pt idx="821">
                  <c:v>42</c:v>
                </c:pt>
                <c:pt idx="822">
                  <c:v>37</c:v>
                </c:pt>
                <c:pt idx="823">
                  <c:v>41</c:v>
                </c:pt>
                <c:pt idx="824">
                  <c:v>49</c:v>
                </c:pt>
                <c:pt idx="825">
                  <c:v>50</c:v>
                </c:pt>
                <c:pt idx="826">
                  <c:v>50</c:v>
                </c:pt>
                <c:pt idx="827">
                  <c:v>49</c:v>
                </c:pt>
                <c:pt idx="828">
                  <c:v>49</c:v>
                </c:pt>
                <c:pt idx="829">
                  <c:v>39</c:v>
                </c:pt>
                <c:pt idx="830">
                  <c:v>32</c:v>
                </c:pt>
                <c:pt idx="831">
                  <c:v>49</c:v>
                </c:pt>
                <c:pt idx="832">
                  <c:v>50</c:v>
                </c:pt>
                <c:pt idx="833">
                  <c:v>48</c:v>
                </c:pt>
                <c:pt idx="834">
                  <c:v>65</c:v>
                </c:pt>
                <c:pt idx="835">
                  <c:v>73</c:v>
                </c:pt>
                <c:pt idx="836">
                  <c:v>71</c:v>
                </c:pt>
                <c:pt idx="837">
                  <c:v>73</c:v>
                </c:pt>
                <c:pt idx="838">
                  <c:v>72</c:v>
                </c:pt>
                <c:pt idx="839">
                  <c:v>73</c:v>
                </c:pt>
                <c:pt idx="840">
                  <c:v>72</c:v>
                </c:pt>
                <c:pt idx="841">
                  <c:v>70</c:v>
                </c:pt>
                <c:pt idx="842">
                  <c:v>71</c:v>
                </c:pt>
                <c:pt idx="843">
                  <c:v>69</c:v>
                </c:pt>
                <c:pt idx="844">
                  <c:v>72</c:v>
                </c:pt>
                <c:pt idx="845">
                  <c:v>73</c:v>
                </c:pt>
                <c:pt idx="846">
                  <c:v>74</c:v>
                </c:pt>
                <c:pt idx="847">
                  <c:v>72</c:v>
                </c:pt>
                <c:pt idx="848">
                  <c:v>72</c:v>
                </c:pt>
                <c:pt idx="849">
                  <c:v>77</c:v>
                </c:pt>
                <c:pt idx="850">
                  <c:v>77</c:v>
                </c:pt>
                <c:pt idx="851">
                  <c:v>75</c:v>
                </c:pt>
                <c:pt idx="852">
                  <c:v>72</c:v>
                </c:pt>
                <c:pt idx="853">
                  <c:v>74</c:v>
                </c:pt>
                <c:pt idx="854">
                  <c:v>70</c:v>
                </c:pt>
                <c:pt idx="855">
                  <c:v>70</c:v>
                </c:pt>
                <c:pt idx="856">
                  <c:v>70</c:v>
                </c:pt>
                <c:pt idx="857">
                  <c:v>77</c:v>
                </c:pt>
                <c:pt idx="858">
                  <c:v>75</c:v>
                </c:pt>
                <c:pt idx="859">
                  <c:v>75</c:v>
                </c:pt>
                <c:pt idx="860">
                  <c:v>78</c:v>
                </c:pt>
                <c:pt idx="861">
                  <c:v>76</c:v>
                </c:pt>
                <c:pt idx="862">
                  <c:v>80</c:v>
                </c:pt>
                <c:pt idx="863">
                  <c:v>84</c:v>
                </c:pt>
                <c:pt idx="864">
                  <c:v>88</c:v>
                </c:pt>
                <c:pt idx="865">
                  <c:v>80</c:v>
                </c:pt>
                <c:pt idx="866">
                  <c:v>86</c:v>
                </c:pt>
                <c:pt idx="867">
                  <c:v>90</c:v>
                </c:pt>
                <c:pt idx="868">
                  <c:v>83</c:v>
                </c:pt>
                <c:pt idx="869">
                  <c:v>90</c:v>
                </c:pt>
                <c:pt idx="870">
                  <c:v>83</c:v>
                </c:pt>
                <c:pt idx="871">
                  <c:v>82</c:v>
                </c:pt>
                <c:pt idx="872">
                  <c:v>94</c:v>
                </c:pt>
                <c:pt idx="873">
                  <c:v>93</c:v>
                </c:pt>
                <c:pt idx="874">
                  <c:v>80</c:v>
                </c:pt>
                <c:pt idx="875">
                  <c:v>82</c:v>
                </c:pt>
                <c:pt idx="876">
                  <c:v>79</c:v>
                </c:pt>
                <c:pt idx="877">
                  <c:v>75</c:v>
                </c:pt>
                <c:pt idx="878">
                  <c:v>77</c:v>
                </c:pt>
                <c:pt idx="879">
                  <c:v>78</c:v>
                </c:pt>
                <c:pt idx="880">
                  <c:v>84</c:v>
                </c:pt>
                <c:pt idx="881">
                  <c:v>81</c:v>
                </c:pt>
                <c:pt idx="882">
                  <c:v>80</c:v>
                </c:pt>
                <c:pt idx="883">
                  <c:v>76</c:v>
                </c:pt>
                <c:pt idx="884">
                  <c:v>78</c:v>
                </c:pt>
                <c:pt idx="885">
                  <c:v>84</c:v>
                </c:pt>
                <c:pt idx="886">
                  <c:v>72</c:v>
                </c:pt>
                <c:pt idx="887">
                  <c:v>75</c:v>
                </c:pt>
                <c:pt idx="888">
                  <c:v>79</c:v>
                </c:pt>
                <c:pt idx="889">
                  <c:v>78</c:v>
                </c:pt>
                <c:pt idx="890">
                  <c:v>78</c:v>
                </c:pt>
                <c:pt idx="891">
                  <c:v>74</c:v>
                </c:pt>
                <c:pt idx="892">
                  <c:v>83</c:v>
                </c:pt>
                <c:pt idx="893">
                  <c:v>76</c:v>
                </c:pt>
                <c:pt idx="894">
                  <c:v>83</c:v>
                </c:pt>
                <c:pt idx="895">
                  <c:v>80</c:v>
                </c:pt>
                <c:pt idx="896">
                  <c:v>83</c:v>
                </c:pt>
                <c:pt idx="897">
                  <c:v>87</c:v>
                </c:pt>
                <c:pt idx="898">
                  <c:v>81</c:v>
                </c:pt>
                <c:pt idx="899">
                  <c:v>75</c:v>
                </c:pt>
                <c:pt idx="900">
                  <c:v>74</c:v>
                </c:pt>
                <c:pt idx="901">
                  <c:v>73</c:v>
                </c:pt>
                <c:pt idx="902">
                  <c:v>73</c:v>
                </c:pt>
                <c:pt idx="903">
                  <c:v>70</c:v>
                </c:pt>
                <c:pt idx="904">
                  <c:v>73</c:v>
                </c:pt>
                <c:pt idx="905">
                  <c:v>73</c:v>
                </c:pt>
                <c:pt idx="906">
                  <c:v>79</c:v>
                </c:pt>
                <c:pt idx="907">
                  <c:v>74</c:v>
                </c:pt>
                <c:pt idx="908">
                  <c:v>72</c:v>
                </c:pt>
                <c:pt idx="909">
                  <c:v>73</c:v>
                </c:pt>
                <c:pt idx="910">
                  <c:v>65</c:v>
                </c:pt>
                <c:pt idx="911">
                  <c:v>64</c:v>
                </c:pt>
                <c:pt idx="912">
                  <c:v>66</c:v>
                </c:pt>
                <c:pt idx="913">
                  <c:v>70</c:v>
                </c:pt>
                <c:pt idx="914">
                  <c:v>74</c:v>
                </c:pt>
                <c:pt idx="915">
                  <c:v>73</c:v>
                </c:pt>
                <c:pt idx="916">
                  <c:v>72</c:v>
                </c:pt>
                <c:pt idx="917">
                  <c:v>76</c:v>
                </c:pt>
                <c:pt idx="918">
                  <c:v>78</c:v>
                </c:pt>
                <c:pt idx="919">
                  <c:v>70</c:v>
                </c:pt>
                <c:pt idx="920">
                  <c:v>69</c:v>
                </c:pt>
                <c:pt idx="921">
                  <c:v>50</c:v>
                </c:pt>
                <c:pt idx="922">
                  <c:v>69</c:v>
                </c:pt>
                <c:pt idx="923">
                  <c:v>62</c:v>
                </c:pt>
                <c:pt idx="924">
                  <c:v>61</c:v>
                </c:pt>
                <c:pt idx="925">
                  <c:v>63</c:v>
                </c:pt>
                <c:pt idx="926">
                  <c:v>70</c:v>
                </c:pt>
                <c:pt idx="927">
                  <c:v>75</c:v>
                </c:pt>
                <c:pt idx="928">
                  <c:v>75</c:v>
                </c:pt>
                <c:pt idx="929">
                  <c:v>77</c:v>
                </c:pt>
                <c:pt idx="930">
                  <c:v>77</c:v>
                </c:pt>
                <c:pt idx="931">
                  <c:v>76</c:v>
                </c:pt>
                <c:pt idx="932">
                  <c:v>76</c:v>
                </c:pt>
                <c:pt idx="933">
                  <c:v>84</c:v>
                </c:pt>
                <c:pt idx="934">
                  <c:v>75</c:v>
                </c:pt>
                <c:pt idx="935">
                  <c:v>75</c:v>
                </c:pt>
                <c:pt idx="936">
                  <c:v>75</c:v>
                </c:pt>
                <c:pt idx="937">
                  <c:v>73</c:v>
                </c:pt>
                <c:pt idx="938">
                  <c:v>71</c:v>
                </c:pt>
                <c:pt idx="939">
                  <c:v>72</c:v>
                </c:pt>
                <c:pt idx="940">
                  <c:v>72</c:v>
                </c:pt>
                <c:pt idx="941">
                  <c:v>70</c:v>
                </c:pt>
                <c:pt idx="942">
                  <c:v>76</c:v>
                </c:pt>
                <c:pt idx="943">
                  <c:v>68</c:v>
                </c:pt>
                <c:pt idx="944">
                  <c:v>60</c:v>
                </c:pt>
                <c:pt idx="945">
                  <c:v>44</c:v>
                </c:pt>
                <c:pt idx="946">
                  <c:v>72</c:v>
                </c:pt>
                <c:pt idx="947">
                  <c:v>54</c:v>
                </c:pt>
                <c:pt idx="948">
                  <c:v>49</c:v>
                </c:pt>
                <c:pt idx="949">
                  <c:v>44</c:v>
                </c:pt>
                <c:pt idx="950">
                  <c:v>44</c:v>
                </c:pt>
                <c:pt idx="951">
                  <c:v>46</c:v>
                </c:pt>
                <c:pt idx="952">
                  <c:v>43</c:v>
                </c:pt>
                <c:pt idx="953">
                  <c:v>47</c:v>
                </c:pt>
                <c:pt idx="954">
                  <c:v>46</c:v>
                </c:pt>
                <c:pt idx="955">
                  <c:v>50</c:v>
                </c:pt>
                <c:pt idx="956">
                  <c:v>48</c:v>
                </c:pt>
                <c:pt idx="957">
                  <c:v>50</c:v>
                </c:pt>
                <c:pt idx="958">
                  <c:v>54</c:v>
                </c:pt>
                <c:pt idx="959">
                  <c:v>51</c:v>
                </c:pt>
                <c:pt idx="960">
                  <c:v>47</c:v>
                </c:pt>
                <c:pt idx="961">
                  <c:v>44</c:v>
                </c:pt>
                <c:pt idx="962">
                  <c:v>49</c:v>
                </c:pt>
                <c:pt idx="963">
                  <c:v>55</c:v>
                </c:pt>
                <c:pt idx="964">
                  <c:v>49</c:v>
                </c:pt>
                <c:pt idx="965">
                  <c:v>50</c:v>
                </c:pt>
                <c:pt idx="966">
                  <c:v>49</c:v>
                </c:pt>
                <c:pt idx="967">
                  <c:v>25</c:v>
                </c:pt>
                <c:pt idx="968">
                  <c:v>21</c:v>
                </c:pt>
                <c:pt idx="969">
                  <c:v>10</c:v>
                </c:pt>
                <c:pt idx="970">
                  <c:v>16</c:v>
                </c:pt>
                <c:pt idx="971">
                  <c:v>20</c:v>
                </c:pt>
                <c:pt idx="972">
                  <c:v>26</c:v>
                </c:pt>
                <c:pt idx="973">
                  <c:v>33</c:v>
                </c:pt>
                <c:pt idx="974">
                  <c:v>15</c:v>
                </c:pt>
                <c:pt idx="975">
                  <c:v>20</c:v>
                </c:pt>
                <c:pt idx="976">
                  <c:v>25</c:v>
                </c:pt>
                <c:pt idx="977">
                  <c:v>34</c:v>
                </c:pt>
                <c:pt idx="978">
                  <c:v>28</c:v>
                </c:pt>
                <c:pt idx="979">
                  <c:v>27</c:v>
                </c:pt>
                <c:pt idx="980">
                  <c:v>20</c:v>
                </c:pt>
                <c:pt idx="981">
                  <c:v>24</c:v>
                </c:pt>
                <c:pt idx="982">
                  <c:v>34</c:v>
                </c:pt>
                <c:pt idx="983">
                  <c:v>45</c:v>
                </c:pt>
                <c:pt idx="984">
                  <c:v>27</c:v>
                </c:pt>
                <c:pt idx="985">
                  <c:v>46</c:v>
                </c:pt>
                <c:pt idx="986">
                  <c:v>30</c:v>
                </c:pt>
                <c:pt idx="987">
                  <c:v>32</c:v>
                </c:pt>
                <c:pt idx="988">
                  <c:v>34</c:v>
                </c:pt>
                <c:pt idx="989">
                  <c:v>32</c:v>
                </c:pt>
                <c:pt idx="990">
                  <c:v>49</c:v>
                </c:pt>
                <c:pt idx="991">
                  <c:v>31</c:v>
                </c:pt>
                <c:pt idx="992">
                  <c:v>32</c:v>
                </c:pt>
                <c:pt idx="993">
                  <c:v>30</c:v>
                </c:pt>
                <c:pt idx="994">
                  <c:v>45</c:v>
                </c:pt>
                <c:pt idx="995">
                  <c:v>46</c:v>
                </c:pt>
                <c:pt idx="996">
                  <c:v>47</c:v>
                </c:pt>
                <c:pt idx="997">
                  <c:v>40</c:v>
                </c:pt>
                <c:pt idx="998">
                  <c:v>44</c:v>
                </c:pt>
                <c:pt idx="999">
                  <c:v>26</c:v>
                </c:pt>
                <c:pt idx="1000">
                  <c:v>32</c:v>
                </c:pt>
              </c:numCache>
            </c:numRef>
          </c:val>
          <c:smooth val="0"/>
          <c:extLst>
            <c:ext xmlns:c16="http://schemas.microsoft.com/office/drawing/2014/chart" uri="{C3380CC4-5D6E-409C-BE32-E72D297353CC}">
              <c16:uniqueId val="{00000003-9334-4494-B783-668443FF2A3D}"/>
            </c:ext>
          </c:extLst>
        </c:ser>
        <c:dLbls>
          <c:showLegendKey val="0"/>
          <c:showVal val="0"/>
          <c:showCatName val="0"/>
          <c:showSerName val="0"/>
          <c:showPercent val="0"/>
          <c:showBubbleSize val="0"/>
        </c:dLbls>
        <c:marker val="1"/>
        <c:smooth val="0"/>
        <c:axId val="413771424"/>
        <c:axId val="413769984"/>
      </c:lineChart>
      <c:catAx>
        <c:axId val="36590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65906336"/>
        <c:crosses val="autoZero"/>
        <c:auto val="1"/>
        <c:lblAlgn val="ctr"/>
        <c:lblOffset val="100"/>
        <c:noMultiLvlLbl val="0"/>
      </c:catAx>
      <c:valAx>
        <c:axId val="36590633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365900096"/>
        <c:crosses val="autoZero"/>
        <c:crossBetween val="between"/>
      </c:valAx>
      <c:valAx>
        <c:axId val="4137699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413771424"/>
        <c:crosses val="max"/>
        <c:crossBetween val="between"/>
      </c:valAx>
      <c:catAx>
        <c:axId val="413771424"/>
        <c:scaling>
          <c:orientation val="minMax"/>
        </c:scaling>
        <c:delete val="1"/>
        <c:axPos val="b"/>
        <c:numFmt formatCode="General" sourceLinked="1"/>
        <c:majorTickMark val="out"/>
        <c:minorTickMark val="none"/>
        <c:tickLblPos val="nextTo"/>
        <c:crossAx val="413769984"/>
        <c:crosses val="autoZero"/>
        <c:auto val="1"/>
        <c:lblAlgn val="ctr"/>
        <c:lblOffset val="100"/>
        <c:noMultiLvlLbl val="0"/>
      </c:catAx>
      <c:spPr>
        <a:noFill/>
        <a:ln>
          <a:noFill/>
        </a:ln>
        <a:effectLst/>
      </c:spPr>
    </c:plotArea>
    <c:legend>
      <c:legendPos val="r"/>
      <c:layout>
        <c:manualLayout>
          <c:xMode val="edge"/>
          <c:yMode val="edge"/>
          <c:x val="0.77667507531925206"/>
          <c:y val="0.12372789191952493"/>
          <c:w val="0.18766650152666658"/>
          <c:h val="0.484493225412241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Grafico IRX-index'!A1"/><Relationship Id="rId7" Type="http://schemas.openxmlformats.org/officeDocument/2006/relationships/image" Target="../media/image4.emf"/><Relationship Id="rId12" Type="http://schemas.openxmlformats.org/officeDocument/2006/relationships/chart" Target="../charts/chart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emf"/><Relationship Id="rId11" Type="http://schemas.openxmlformats.org/officeDocument/2006/relationships/hyperlink" Target="#'Operaciones en BTC (Macro)'!A1"/><Relationship Id="rId5" Type="http://schemas.openxmlformats.org/officeDocument/2006/relationships/chart" Target="../charts/chart1.xml"/><Relationship Id="rId10" Type="http://schemas.openxmlformats.org/officeDocument/2006/relationships/hyperlink" Target="#'Preguntas importantes'!A1"/><Relationship Id="rId4" Type="http://schemas.openxmlformats.org/officeDocument/2006/relationships/hyperlink" Target="#'Grafico BTC-GOLD'!A1"/><Relationship Id="rId9" Type="http://schemas.openxmlformats.org/officeDocument/2006/relationships/hyperlink" Target="#LEAME!A1"/></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9.png"/><Relationship Id="rId5" Type="http://schemas.openxmlformats.org/officeDocument/2006/relationships/hyperlink" Target="#Dashboard!A1"/><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18.svg"/><Relationship Id="rId13" Type="http://schemas.openxmlformats.org/officeDocument/2006/relationships/image" Target="../media/image10.sv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9.png"/><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16.svg"/><Relationship Id="rId11" Type="http://schemas.openxmlformats.org/officeDocument/2006/relationships/hyperlink" Target="#Dashboard!A1"/><Relationship Id="rId5" Type="http://schemas.openxmlformats.org/officeDocument/2006/relationships/image" Target="../media/image15.png"/><Relationship Id="rId10" Type="http://schemas.openxmlformats.org/officeDocument/2006/relationships/image" Target="../media/image20.svg"/><Relationship Id="rId4" Type="http://schemas.openxmlformats.org/officeDocument/2006/relationships/image" Target="../media/image14.svg"/><Relationship Id="rId9" Type="http://schemas.openxmlformats.org/officeDocument/2006/relationships/image" Target="../media/image1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8" Type="http://schemas.openxmlformats.org/officeDocument/2006/relationships/image" Target="../media/image24.svg"/><Relationship Id="rId13" Type="http://schemas.openxmlformats.org/officeDocument/2006/relationships/image" Target="../media/image29.png"/><Relationship Id="rId3" Type="http://schemas.openxmlformats.org/officeDocument/2006/relationships/image" Target="../media/image9.png"/><Relationship Id="rId7" Type="http://schemas.openxmlformats.org/officeDocument/2006/relationships/image" Target="../media/image23.png"/><Relationship Id="rId12" Type="http://schemas.openxmlformats.org/officeDocument/2006/relationships/image" Target="../media/image28.svg"/><Relationship Id="rId2" Type="http://schemas.openxmlformats.org/officeDocument/2006/relationships/hyperlink" Target="#Dashboard!A1"/><Relationship Id="rId1" Type="http://schemas.openxmlformats.org/officeDocument/2006/relationships/chart" Target="../charts/chart4.xml"/><Relationship Id="rId6" Type="http://schemas.openxmlformats.org/officeDocument/2006/relationships/image" Target="../media/image22.svg"/><Relationship Id="rId11" Type="http://schemas.openxmlformats.org/officeDocument/2006/relationships/image" Target="../media/image27.png"/><Relationship Id="rId5" Type="http://schemas.openxmlformats.org/officeDocument/2006/relationships/image" Target="../media/image21.png"/><Relationship Id="rId10" Type="http://schemas.openxmlformats.org/officeDocument/2006/relationships/image" Target="../media/image26.svg"/><Relationship Id="rId4" Type="http://schemas.openxmlformats.org/officeDocument/2006/relationships/image" Target="../media/image10.svg"/><Relationship Id="rId9" Type="http://schemas.openxmlformats.org/officeDocument/2006/relationships/image" Target="../media/image25.png"/><Relationship Id="rId14" Type="http://schemas.openxmlformats.org/officeDocument/2006/relationships/image" Target="../media/image30.svg"/></Relationships>
</file>

<file path=xl/drawings/_rels/drawing7.xml.rels><?xml version="1.0" encoding="UTF-8" standalone="yes"?>
<Relationships xmlns="http://schemas.openxmlformats.org/package/2006/relationships"><Relationship Id="rId8" Type="http://schemas.openxmlformats.org/officeDocument/2006/relationships/hyperlink" Target="#Dashboard!A1"/><Relationship Id="rId3" Type="http://schemas.openxmlformats.org/officeDocument/2006/relationships/image" Target="../media/image12.svg"/><Relationship Id="rId7" Type="http://schemas.openxmlformats.org/officeDocument/2006/relationships/image" Target="../media/image32.svg"/><Relationship Id="rId2" Type="http://schemas.openxmlformats.org/officeDocument/2006/relationships/image" Target="../media/image11.png"/><Relationship Id="rId1" Type="http://schemas.openxmlformats.org/officeDocument/2006/relationships/chart" Target="../charts/chart5.xml"/><Relationship Id="rId6" Type="http://schemas.openxmlformats.org/officeDocument/2006/relationships/image" Target="../media/image31.png"/><Relationship Id="rId5" Type="http://schemas.openxmlformats.org/officeDocument/2006/relationships/image" Target="../media/image22.svg"/><Relationship Id="rId10" Type="http://schemas.openxmlformats.org/officeDocument/2006/relationships/image" Target="../media/image10.svg"/><Relationship Id="rId4" Type="http://schemas.openxmlformats.org/officeDocument/2006/relationships/image" Target="../media/image21.png"/><Relationship Id="rId9" Type="http://schemas.openxmlformats.org/officeDocument/2006/relationships/image" Target="../media/image9.png"/></Relationships>
</file>

<file path=xl/drawings/_rels/drawing8.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9.png"/><Relationship Id="rId7" Type="http://schemas.openxmlformats.org/officeDocument/2006/relationships/image" Target="../media/image21.png"/><Relationship Id="rId2" Type="http://schemas.openxmlformats.org/officeDocument/2006/relationships/hyperlink" Target="#Main!A1"/><Relationship Id="rId1" Type="http://schemas.openxmlformats.org/officeDocument/2006/relationships/chart" Target="../charts/chart6.xml"/><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svg"/></Relationships>
</file>

<file path=xl/drawings/_rels/drawing9.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Main!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197427</xdr:colOff>
      <xdr:row>0</xdr:row>
      <xdr:rowOff>0</xdr:rowOff>
    </xdr:from>
    <xdr:to>
      <xdr:col>1</xdr:col>
      <xdr:colOff>777154</xdr:colOff>
      <xdr:row>10</xdr:row>
      <xdr:rowOff>10391</xdr:rowOff>
    </xdr:to>
    <xdr:pic>
      <xdr:nvPicPr>
        <xdr:cNvPr id="2" name="Gráfico 1" descr="Gráfico de barras con relleno sólido">
          <a:extLst>
            <a:ext uri="{FF2B5EF4-FFF2-40B4-BE49-F238E27FC236}">
              <a16:creationId xmlns:a16="http://schemas.microsoft.com/office/drawing/2014/main" id="{027A6ED9-A423-4D35-98BD-A90400D124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7427" y="0"/>
          <a:ext cx="1915391" cy="1915391"/>
        </a:xfrm>
        <a:prstGeom prst="rect">
          <a:avLst/>
        </a:prstGeom>
      </xdr:spPr>
    </xdr:pic>
    <xdr:clientData/>
  </xdr:twoCellAnchor>
  <xdr:twoCellAnchor>
    <xdr:from>
      <xdr:col>23</xdr:col>
      <xdr:colOff>248516</xdr:colOff>
      <xdr:row>18</xdr:row>
      <xdr:rowOff>187652</xdr:rowOff>
    </xdr:from>
    <xdr:to>
      <xdr:col>26</xdr:col>
      <xdr:colOff>541070</xdr:colOff>
      <xdr:row>25</xdr:row>
      <xdr:rowOff>69273</xdr:rowOff>
    </xdr:to>
    <xdr:sp macro="" textlink="">
      <xdr:nvSpPr>
        <xdr:cNvPr id="6" name="Rectángulo: esquinas redondeadas 5">
          <a:hlinkClick xmlns:r="http://schemas.openxmlformats.org/officeDocument/2006/relationships" r:id="rId3"/>
          <a:extLst>
            <a:ext uri="{FF2B5EF4-FFF2-40B4-BE49-F238E27FC236}">
              <a16:creationId xmlns:a16="http://schemas.microsoft.com/office/drawing/2014/main" id="{02200525-39B4-40BB-9DB5-2FF070A7CB6C}"/>
            </a:ext>
          </a:extLst>
        </xdr:cNvPr>
        <xdr:cNvSpPr/>
      </xdr:nvSpPr>
      <xdr:spPr>
        <a:xfrm>
          <a:off x="17774516" y="3616652"/>
          <a:ext cx="3483429" cy="1215121"/>
        </a:xfrm>
        <a:prstGeom prst="round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Gráfico IRX-index</a:t>
          </a:r>
        </a:p>
      </xdr:txBody>
    </xdr:sp>
    <xdr:clientData/>
  </xdr:twoCellAnchor>
  <xdr:twoCellAnchor>
    <xdr:from>
      <xdr:col>3</xdr:col>
      <xdr:colOff>34636</xdr:colOff>
      <xdr:row>1</xdr:row>
      <xdr:rowOff>0</xdr:rowOff>
    </xdr:from>
    <xdr:to>
      <xdr:col>15</xdr:col>
      <xdr:colOff>727364</xdr:colOff>
      <xdr:row>5</xdr:row>
      <xdr:rowOff>17318</xdr:rowOff>
    </xdr:to>
    <xdr:sp macro="" textlink="">
      <xdr:nvSpPr>
        <xdr:cNvPr id="8" name="Rectángulo: esquinas redondeadas 7">
          <a:extLst>
            <a:ext uri="{FF2B5EF4-FFF2-40B4-BE49-F238E27FC236}">
              <a16:creationId xmlns:a16="http://schemas.microsoft.com/office/drawing/2014/main" id="{AB513643-2A48-4D3E-990A-F1A0489C7B6E}"/>
            </a:ext>
          </a:extLst>
        </xdr:cNvPr>
        <xdr:cNvSpPr/>
      </xdr:nvSpPr>
      <xdr:spPr>
        <a:xfrm>
          <a:off x="2320636" y="190500"/>
          <a:ext cx="9836728" cy="77931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Análisis de BTC</a:t>
          </a:r>
          <a:r>
            <a:rPr lang="es-AR" sz="2000" baseline="0"/>
            <a:t> según el sentimiento de mercado </a:t>
          </a:r>
        </a:p>
      </xdr:txBody>
    </xdr:sp>
    <xdr:clientData/>
  </xdr:twoCellAnchor>
  <xdr:twoCellAnchor>
    <xdr:from>
      <xdr:col>23</xdr:col>
      <xdr:colOff>217343</xdr:colOff>
      <xdr:row>11</xdr:row>
      <xdr:rowOff>163533</xdr:rowOff>
    </xdr:from>
    <xdr:to>
      <xdr:col>26</xdr:col>
      <xdr:colOff>509897</xdr:colOff>
      <xdr:row>17</xdr:row>
      <xdr:rowOff>142874</xdr:rowOff>
    </xdr:to>
    <xdr:sp macro="" textlink="">
      <xdr:nvSpPr>
        <xdr:cNvPr id="9" name="Rectángulo: esquinas redondeadas 8">
          <a:hlinkClick xmlns:r="http://schemas.openxmlformats.org/officeDocument/2006/relationships" r:id="rId4"/>
          <a:extLst>
            <a:ext uri="{FF2B5EF4-FFF2-40B4-BE49-F238E27FC236}">
              <a16:creationId xmlns:a16="http://schemas.microsoft.com/office/drawing/2014/main" id="{67F55B8C-4F77-47F1-92B4-7D6F1BA92B4A}"/>
            </a:ext>
          </a:extLst>
        </xdr:cNvPr>
        <xdr:cNvSpPr/>
      </xdr:nvSpPr>
      <xdr:spPr>
        <a:xfrm>
          <a:off x="17743343" y="2259033"/>
          <a:ext cx="3483429" cy="1122341"/>
        </a:xfrm>
        <a:prstGeom prst="roundRect">
          <a:avLst>
            <a:gd name="adj" fmla="val 0"/>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Gráfico BTC-GOLD</a:t>
          </a:r>
        </a:p>
      </xdr:txBody>
    </xdr:sp>
    <xdr:clientData/>
  </xdr:twoCellAnchor>
  <xdr:twoCellAnchor>
    <xdr:from>
      <xdr:col>9</xdr:col>
      <xdr:colOff>427686</xdr:colOff>
      <xdr:row>33</xdr:row>
      <xdr:rowOff>34637</xdr:rowOff>
    </xdr:from>
    <xdr:to>
      <xdr:col>22</xdr:col>
      <xdr:colOff>727364</xdr:colOff>
      <xdr:row>55</xdr:row>
      <xdr:rowOff>160192</xdr:rowOff>
    </xdr:to>
    <xdr:graphicFrame macro="">
      <xdr:nvGraphicFramePr>
        <xdr:cNvPr id="15" name="Gráfico 14">
          <a:extLst>
            <a:ext uri="{FF2B5EF4-FFF2-40B4-BE49-F238E27FC236}">
              <a16:creationId xmlns:a16="http://schemas.microsoft.com/office/drawing/2014/main" id="{6C6D78A7-E1E9-430D-9637-34A399EA6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86591</xdr:colOff>
          <xdr:row>9</xdr:row>
          <xdr:rowOff>86590</xdr:rowOff>
        </xdr:from>
        <xdr:to>
          <xdr:col>9</xdr:col>
          <xdr:colOff>450273</xdr:colOff>
          <xdr:row>23</xdr:row>
          <xdr:rowOff>172315</xdr:rowOff>
        </xdr:to>
        <xdr:pic>
          <xdr:nvPicPr>
            <xdr:cNvPr id="20" name="Imagen 19">
              <a:extLst>
                <a:ext uri="{FF2B5EF4-FFF2-40B4-BE49-F238E27FC236}">
                  <a16:creationId xmlns:a16="http://schemas.microsoft.com/office/drawing/2014/main" id="{2D1F3D92-D3DC-0CC5-773A-56767296E44F}"/>
                </a:ext>
              </a:extLst>
            </xdr:cNvPr>
            <xdr:cNvPicPr>
              <a:picLocks noChangeAspect="1" noChangeArrowheads="1"/>
              <a:extLst>
                <a:ext uri="{84589F7E-364E-4C9E-8A38-B11213B215E9}">
                  <a14:cameraTool cellRange="'Grafico BTC-GOLD'!$B$2:$L$15" spid="_x0000_s12335"/>
                </a:ext>
              </a:extLst>
            </xdr:cNvPicPr>
          </xdr:nvPicPr>
          <xdr:blipFill>
            <a:blip xmlns:r="http://schemas.openxmlformats.org/officeDocument/2006/relationships" r:embed="rId6"/>
            <a:srcRect/>
            <a:stretch>
              <a:fillRect/>
            </a:stretch>
          </xdr:blipFill>
          <xdr:spPr bwMode="auto">
            <a:xfrm>
              <a:off x="86591" y="1801090"/>
              <a:ext cx="8866909" cy="27527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95250</xdr:colOff>
      <xdr:row>33</xdr:row>
      <xdr:rowOff>56284</xdr:rowOff>
    </xdr:from>
    <xdr:to>
      <xdr:col>9</xdr:col>
      <xdr:colOff>398318</xdr:colOff>
      <xdr:row>41</xdr:row>
      <xdr:rowOff>99079</xdr:rowOff>
    </xdr:to>
    <mc:AlternateContent xmlns:mc="http://schemas.openxmlformats.org/markup-compatibility/2006" xmlns:tsle="http://schemas.microsoft.com/office/drawing/2012/timeslicer">
      <mc:Choice Requires="tsle">
        <xdr:graphicFrame macro="">
          <xdr:nvGraphicFramePr>
            <xdr:cNvPr id="30" name="fecha 5">
              <a:extLst>
                <a:ext uri="{FF2B5EF4-FFF2-40B4-BE49-F238E27FC236}">
                  <a16:creationId xmlns:a16="http://schemas.microsoft.com/office/drawing/2014/main" id="{1B3FB894-34DB-46CE-8F1A-CFBACCD1D8D9}"/>
                </a:ext>
              </a:extLst>
            </xdr:cNvPr>
            <xdr:cNvGraphicFramePr/>
          </xdr:nvGraphicFramePr>
          <xdr:xfrm>
            <a:off x="0" y="0"/>
            <a:ext cx="0" cy="0"/>
          </xdr:xfrm>
          <a:graphic>
            <a:graphicData uri="http://schemas.microsoft.com/office/drawing/2012/timeslicer">
              <tsle:timeslicer name="fecha 5"/>
            </a:graphicData>
          </a:graphic>
        </xdr:graphicFrame>
      </mc:Choice>
      <mc:Fallback xmlns="">
        <xdr:sp macro="" textlink="">
          <xdr:nvSpPr>
            <xdr:cNvPr id="0" name=""/>
            <xdr:cNvSpPr>
              <a:spLocks noTextEdit="1"/>
            </xdr:cNvSpPr>
          </xdr:nvSpPr>
          <xdr:spPr>
            <a:xfrm>
              <a:off x="95250" y="6342784"/>
              <a:ext cx="8827943" cy="1566795"/>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clientData/>
  </xdr:twoCellAnchor>
  <xdr:twoCellAnchor editAs="oneCell">
    <xdr:from>
      <xdr:col>0</xdr:col>
      <xdr:colOff>94319</xdr:colOff>
      <xdr:row>41</xdr:row>
      <xdr:rowOff>134215</xdr:rowOff>
    </xdr:from>
    <xdr:to>
      <xdr:col>9</xdr:col>
      <xdr:colOff>433653</xdr:colOff>
      <xdr:row>49</xdr:row>
      <xdr:rowOff>86215</xdr:rowOff>
    </xdr:to>
    <mc:AlternateContent xmlns:mc="http://schemas.openxmlformats.org/markup-compatibility/2006" xmlns:a14="http://schemas.microsoft.com/office/drawing/2010/main">
      <mc:Choice Requires="a14">
        <xdr:graphicFrame macro="">
          <xdr:nvGraphicFramePr>
            <xdr:cNvPr id="33" name="categoria 2">
              <a:extLst>
                <a:ext uri="{FF2B5EF4-FFF2-40B4-BE49-F238E27FC236}">
                  <a16:creationId xmlns:a16="http://schemas.microsoft.com/office/drawing/2014/main" id="{41A8B9C6-4607-4921-B1E8-77C0003AC31D}"/>
                </a:ext>
              </a:extLst>
            </xdr:cNvPr>
            <xdr:cNvGraphicFramePr/>
          </xdr:nvGraphicFramePr>
          <xdr:xfrm>
            <a:off x="0" y="0"/>
            <a:ext cx="0" cy="0"/>
          </xdr:xfrm>
          <a:graphic>
            <a:graphicData uri="http://schemas.microsoft.com/office/drawing/2010/slicer">
              <sle:slicer xmlns:sle="http://schemas.microsoft.com/office/drawing/2010/slicer" name="categoria 2"/>
            </a:graphicData>
          </a:graphic>
        </xdr:graphicFrame>
      </mc:Choice>
      <mc:Fallback xmlns="">
        <xdr:sp macro="" textlink="">
          <xdr:nvSpPr>
            <xdr:cNvPr id="0" name=""/>
            <xdr:cNvSpPr>
              <a:spLocks noTextEdit="1"/>
            </xdr:cNvSpPr>
          </xdr:nvSpPr>
          <xdr:spPr>
            <a:xfrm>
              <a:off x="94319" y="7944715"/>
              <a:ext cx="8864209" cy="147600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86590</xdr:colOff>
          <xdr:row>24</xdr:row>
          <xdr:rowOff>155865</xdr:rowOff>
        </xdr:from>
        <xdr:to>
          <xdr:col>9</xdr:col>
          <xdr:colOff>450273</xdr:colOff>
          <xdr:row>28</xdr:row>
          <xdr:rowOff>155865</xdr:rowOff>
        </xdr:to>
        <xdr:pic>
          <xdr:nvPicPr>
            <xdr:cNvPr id="35" name="Imagen 34">
              <a:extLst>
                <a:ext uri="{FF2B5EF4-FFF2-40B4-BE49-F238E27FC236}">
                  <a16:creationId xmlns:a16="http://schemas.microsoft.com/office/drawing/2014/main" id="{C760B62C-A5A8-02CA-9F00-0793AB91A60D}"/>
                </a:ext>
              </a:extLst>
            </xdr:cNvPr>
            <xdr:cNvPicPr>
              <a:picLocks noChangeAspect="1" noChangeArrowheads="1"/>
              <a:extLst>
                <a:ext uri="{84589F7E-364E-4C9E-8A38-B11213B215E9}">
                  <a14:cameraTool cellRange="'Grafico IRX-index'!$B$2:$L$5" spid="_x0000_s12336"/>
                </a:ext>
              </a:extLst>
            </xdr:cNvPicPr>
          </xdr:nvPicPr>
          <xdr:blipFill>
            <a:blip xmlns:r="http://schemas.openxmlformats.org/officeDocument/2006/relationships" r:embed="rId7"/>
            <a:srcRect/>
            <a:stretch>
              <a:fillRect/>
            </a:stretch>
          </xdr:blipFill>
          <xdr:spPr bwMode="auto">
            <a:xfrm>
              <a:off x="86590" y="4727865"/>
              <a:ext cx="8866910" cy="762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476251</xdr:colOff>
      <xdr:row>5</xdr:row>
      <xdr:rowOff>47626</xdr:rowOff>
    </xdr:from>
    <xdr:to>
      <xdr:col>23</xdr:col>
      <xdr:colOff>34636</xdr:colOff>
      <xdr:row>33</xdr:row>
      <xdr:rowOff>0</xdr:rowOff>
    </xdr:to>
    <xdr:graphicFrame macro="">
      <xdr:nvGraphicFramePr>
        <xdr:cNvPr id="36" name="Gráfico 35">
          <a:extLst>
            <a:ext uri="{FF2B5EF4-FFF2-40B4-BE49-F238E27FC236}">
              <a16:creationId xmlns:a16="http://schemas.microsoft.com/office/drawing/2014/main" id="{3497AC82-0CBD-4B68-A746-7BEBB1459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47626</xdr:colOff>
      <xdr:row>28</xdr:row>
      <xdr:rowOff>178811</xdr:rowOff>
    </xdr:from>
    <xdr:to>
      <xdr:col>9</xdr:col>
      <xdr:colOff>428626</xdr:colOff>
      <xdr:row>32</xdr:row>
      <xdr:rowOff>188336</xdr:rowOff>
    </xdr:to>
    <xdr:sp macro="" textlink="">
      <xdr:nvSpPr>
        <xdr:cNvPr id="37" name="Rectángulo: esquinas redondeadas 36">
          <a:extLst>
            <a:ext uri="{FF2B5EF4-FFF2-40B4-BE49-F238E27FC236}">
              <a16:creationId xmlns:a16="http://schemas.microsoft.com/office/drawing/2014/main" id="{A78FFFA0-1B17-4735-89F2-DA9D05F677A5}"/>
            </a:ext>
          </a:extLst>
        </xdr:cNvPr>
        <xdr:cNvSpPr/>
      </xdr:nvSpPr>
      <xdr:spPr>
        <a:xfrm>
          <a:off x="47626" y="5512811"/>
          <a:ext cx="7239000" cy="7715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Segmentadores</a:t>
          </a:r>
          <a:endParaRPr lang="es-AR" sz="2000" baseline="0"/>
        </a:p>
      </xdr:txBody>
    </xdr:sp>
    <xdr:clientData/>
  </xdr:twoCellAnchor>
  <xdr:twoCellAnchor>
    <xdr:from>
      <xdr:col>23</xdr:col>
      <xdr:colOff>218419</xdr:colOff>
      <xdr:row>6</xdr:row>
      <xdr:rowOff>6569</xdr:rowOff>
    </xdr:from>
    <xdr:to>
      <xdr:col>26</xdr:col>
      <xdr:colOff>469682</xdr:colOff>
      <xdr:row>10</xdr:row>
      <xdr:rowOff>142875</xdr:rowOff>
    </xdr:to>
    <xdr:sp macro="" textlink="">
      <xdr:nvSpPr>
        <xdr:cNvPr id="38" name="Rectángulo: esquinas redondeadas 37">
          <a:hlinkClick xmlns:r="http://schemas.openxmlformats.org/officeDocument/2006/relationships" r:id="rId9"/>
          <a:extLst>
            <a:ext uri="{FF2B5EF4-FFF2-40B4-BE49-F238E27FC236}">
              <a16:creationId xmlns:a16="http://schemas.microsoft.com/office/drawing/2014/main" id="{41B71192-0684-4BE8-934D-46D94FA95D80}"/>
            </a:ext>
          </a:extLst>
        </xdr:cNvPr>
        <xdr:cNvSpPr/>
      </xdr:nvSpPr>
      <xdr:spPr>
        <a:xfrm>
          <a:off x="17744419" y="1149569"/>
          <a:ext cx="3442138" cy="898306"/>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i="1"/>
            <a:t>LEAME</a:t>
          </a:r>
        </a:p>
      </xdr:txBody>
    </xdr:sp>
    <xdr:clientData/>
  </xdr:twoCellAnchor>
  <xdr:twoCellAnchor>
    <xdr:from>
      <xdr:col>7</xdr:col>
      <xdr:colOff>186170</xdr:colOff>
      <xdr:row>6</xdr:row>
      <xdr:rowOff>1</xdr:rowOff>
    </xdr:from>
    <xdr:to>
      <xdr:col>9</xdr:col>
      <xdr:colOff>428625</xdr:colOff>
      <xdr:row>9</xdr:row>
      <xdr:rowOff>17319</xdr:rowOff>
    </xdr:to>
    <xdr:sp macro="" textlink="">
      <xdr:nvSpPr>
        <xdr:cNvPr id="39" name="Rectángulo: esquinas redondeadas 38">
          <a:extLst>
            <a:ext uri="{FF2B5EF4-FFF2-40B4-BE49-F238E27FC236}">
              <a16:creationId xmlns:a16="http://schemas.microsoft.com/office/drawing/2014/main" id="{68C55230-2A64-486B-B959-746C9179574A}"/>
            </a:ext>
          </a:extLst>
        </xdr:cNvPr>
        <xdr:cNvSpPr/>
      </xdr:nvSpPr>
      <xdr:spPr>
        <a:xfrm>
          <a:off x="5520170" y="1143001"/>
          <a:ext cx="1766455" cy="58881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baseline="0"/>
            <a:t>KPI's</a:t>
          </a:r>
        </a:p>
      </xdr:txBody>
    </xdr:sp>
    <xdr:clientData/>
  </xdr:twoCellAnchor>
  <xdr:twoCellAnchor>
    <xdr:from>
      <xdr:col>16</xdr:col>
      <xdr:colOff>166687</xdr:colOff>
      <xdr:row>1</xdr:row>
      <xdr:rowOff>14789</xdr:rowOff>
    </xdr:from>
    <xdr:to>
      <xdr:col>26</xdr:col>
      <xdr:colOff>450273</xdr:colOff>
      <xdr:row>5</xdr:row>
      <xdr:rowOff>35162</xdr:rowOff>
    </xdr:to>
    <xdr:sp macro="" textlink="">
      <xdr:nvSpPr>
        <xdr:cNvPr id="41" name="Rectángulo: esquinas redondeadas 40">
          <a:hlinkClick xmlns:r="http://schemas.openxmlformats.org/officeDocument/2006/relationships" r:id="rId10"/>
          <a:extLst>
            <a:ext uri="{FF2B5EF4-FFF2-40B4-BE49-F238E27FC236}">
              <a16:creationId xmlns:a16="http://schemas.microsoft.com/office/drawing/2014/main" id="{BB3FEE0E-526E-4220-A62D-D7CB85E49D4D}"/>
            </a:ext>
          </a:extLst>
        </xdr:cNvPr>
        <xdr:cNvSpPr/>
      </xdr:nvSpPr>
      <xdr:spPr>
        <a:xfrm>
          <a:off x="12358687" y="205289"/>
          <a:ext cx="8808461" cy="782373"/>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Preguntas</a:t>
          </a:r>
          <a:r>
            <a:rPr lang="es-AR" sz="2000" baseline="0"/>
            <a:t> importantes</a:t>
          </a:r>
          <a:endParaRPr lang="es-AR" sz="2000"/>
        </a:p>
      </xdr:txBody>
    </xdr:sp>
    <xdr:clientData/>
  </xdr:twoCellAnchor>
  <xdr:twoCellAnchor editAs="oneCell">
    <xdr:from>
      <xdr:col>0</xdr:col>
      <xdr:colOff>86592</xdr:colOff>
      <xdr:row>49</xdr:row>
      <xdr:rowOff>86593</xdr:rowOff>
    </xdr:from>
    <xdr:to>
      <xdr:col>9</xdr:col>
      <xdr:colOff>402551</xdr:colOff>
      <xdr:row>55</xdr:row>
      <xdr:rowOff>171451</xdr:rowOff>
    </xdr:to>
    <mc:AlternateContent xmlns:mc="http://schemas.openxmlformats.org/markup-compatibility/2006" xmlns:a14="http://schemas.microsoft.com/office/drawing/2010/main">
      <mc:Choice Requires="a14">
        <xdr:graphicFrame macro="">
          <xdr:nvGraphicFramePr>
            <xdr:cNvPr id="42" name="index 5">
              <a:extLst>
                <a:ext uri="{FF2B5EF4-FFF2-40B4-BE49-F238E27FC236}">
                  <a16:creationId xmlns:a16="http://schemas.microsoft.com/office/drawing/2014/main" id="{E7A49466-FE57-4BD6-A052-F223D638F5AA}"/>
                </a:ext>
              </a:extLst>
            </xdr:cNvPr>
            <xdr:cNvGraphicFramePr/>
          </xdr:nvGraphicFramePr>
          <xdr:xfrm>
            <a:off x="0" y="0"/>
            <a:ext cx="0" cy="0"/>
          </xdr:xfrm>
          <a:graphic>
            <a:graphicData uri="http://schemas.microsoft.com/office/drawing/2010/slicer">
              <sle:slicer xmlns:sle="http://schemas.microsoft.com/office/drawing/2010/slicer" name="index 5"/>
            </a:graphicData>
          </a:graphic>
        </xdr:graphicFrame>
      </mc:Choice>
      <mc:Fallback xmlns="">
        <xdr:sp macro="" textlink="">
          <xdr:nvSpPr>
            <xdr:cNvPr id="0" name=""/>
            <xdr:cNvSpPr>
              <a:spLocks noTextEdit="1"/>
            </xdr:cNvSpPr>
          </xdr:nvSpPr>
          <xdr:spPr>
            <a:xfrm>
              <a:off x="86592" y="9421093"/>
              <a:ext cx="8840834" cy="122785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23</xdr:col>
      <xdr:colOff>242455</xdr:colOff>
      <xdr:row>26</xdr:row>
      <xdr:rowOff>86591</xdr:rowOff>
    </xdr:from>
    <xdr:to>
      <xdr:col>26</xdr:col>
      <xdr:colOff>562301</xdr:colOff>
      <xdr:row>33</xdr:row>
      <xdr:rowOff>96116</xdr:rowOff>
    </xdr:to>
    <xdr:sp macro="" textlink="">
      <xdr:nvSpPr>
        <xdr:cNvPr id="44" name="Rectángulo: esquinas redondeadas 43">
          <a:hlinkClick xmlns:r="http://schemas.openxmlformats.org/officeDocument/2006/relationships" r:id="rId11"/>
          <a:extLst>
            <a:ext uri="{FF2B5EF4-FFF2-40B4-BE49-F238E27FC236}">
              <a16:creationId xmlns:a16="http://schemas.microsoft.com/office/drawing/2014/main" id="{42D533B9-A09C-4A44-B3BB-3146227F6181}"/>
            </a:ext>
          </a:extLst>
        </xdr:cNvPr>
        <xdr:cNvSpPr/>
      </xdr:nvSpPr>
      <xdr:spPr>
        <a:xfrm>
          <a:off x="17768455" y="5039591"/>
          <a:ext cx="3523710" cy="1343025"/>
        </a:xfrm>
        <a:prstGeom prst="roundRect">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a:t>Operaciones en BTC (Macro)</a:t>
          </a:r>
        </a:p>
      </xdr:txBody>
    </xdr:sp>
    <xdr:clientData/>
  </xdr:twoCellAnchor>
  <xdr:twoCellAnchor>
    <xdr:from>
      <xdr:col>23</xdr:col>
      <xdr:colOff>207818</xdr:colOff>
      <xdr:row>40</xdr:row>
      <xdr:rowOff>62778</xdr:rowOff>
    </xdr:from>
    <xdr:to>
      <xdr:col>26</xdr:col>
      <xdr:colOff>545522</xdr:colOff>
      <xdr:row>59</xdr:row>
      <xdr:rowOff>28142</xdr:rowOff>
    </xdr:to>
    <xdr:graphicFrame macro="">
      <xdr:nvGraphicFramePr>
        <xdr:cNvPr id="46" name="Gráfico 45">
          <a:extLst>
            <a:ext uri="{FF2B5EF4-FFF2-40B4-BE49-F238E27FC236}">
              <a16:creationId xmlns:a16="http://schemas.microsoft.com/office/drawing/2014/main" id="{482BEDE9-82F0-4C40-8B31-47C9F56D4F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2</xdr:col>
      <xdr:colOff>571500</xdr:colOff>
      <xdr:row>9</xdr:row>
      <xdr:rowOff>85725</xdr:rowOff>
    </xdr:to>
    <xdr:pic>
      <xdr:nvPicPr>
        <xdr:cNvPr id="2" name="Gráfico 1" descr="Gráfico de barras con relleno sólido">
          <a:extLst>
            <a:ext uri="{FF2B5EF4-FFF2-40B4-BE49-F238E27FC236}">
              <a16:creationId xmlns:a16="http://schemas.microsoft.com/office/drawing/2014/main" id="{BC6E7F36-A4E7-4846-9EBB-35E0B257BE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0"/>
          <a:ext cx="2019300" cy="2019300"/>
        </a:xfrm>
        <a:prstGeom prst="rect">
          <a:avLst/>
        </a:prstGeom>
      </xdr:spPr>
    </xdr:pic>
    <xdr:clientData/>
  </xdr:twoCellAnchor>
  <xdr:twoCellAnchor editAs="oneCell">
    <xdr:from>
      <xdr:col>0</xdr:col>
      <xdr:colOff>238125</xdr:colOff>
      <xdr:row>7</xdr:row>
      <xdr:rowOff>180975</xdr:rowOff>
    </xdr:from>
    <xdr:to>
      <xdr:col>2</xdr:col>
      <xdr:colOff>485775</xdr:colOff>
      <xdr:row>17</xdr:row>
      <xdr:rowOff>0</xdr:rowOff>
    </xdr:to>
    <xdr:pic>
      <xdr:nvPicPr>
        <xdr:cNvPr id="5" name="Gráfico 4" descr="Comentario importante con relleno sólido">
          <a:extLst>
            <a:ext uri="{FF2B5EF4-FFF2-40B4-BE49-F238E27FC236}">
              <a16:creationId xmlns:a16="http://schemas.microsoft.com/office/drawing/2014/main" id="{F280A9E3-BC66-B0E0-F258-C32832C2D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8125" y="1733550"/>
          <a:ext cx="1771650" cy="1771650"/>
        </a:xfrm>
        <a:prstGeom prst="rect">
          <a:avLst/>
        </a:prstGeom>
      </xdr:spPr>
    </xdr:pic>
    <xdr:clientData/>
  </xdr:twoCellAnchor>
  <xdr:twoCellAnchor editAs="oneCell">
    <xdr:from>
      <xdr:col>12</xdr:col>
      <xdr:colOff>9525</xdr:colOff>
      <xdr:row>20</xdr:row>
      <xdr:rowOff>63875</xdr:rowOff>
    </xdr:from>
    <xdr:to>
      <xdr:col>14</xdr:col>
      <xdr:colOff>247650</xdr:colOff>
      <xdr:row>29</xdr:row>
      <xdr:rowOff>92450</xdr:rowOff>
    </xdr:to>
    <xdr:pic>
      <xdr:nvPicPr>
        <xdr:cNvPr id="4" name="Gráfico 3" descr="Atrás con relleno sólido">
          <a:hlinkClick xmlns:r="http://schemas.openxmlformats.org/officeDocument/2006/relationships" r:id="rId5"/>
          <a:extLst>
            <a:ext uri="{FF2B5EF4-FFF2-40B4-BE49-F238E27FC236}">
              <a16:creationId xmlns:a16="http://schemas.microsoft.com/office/drawing/2014/main" id="{F5643CD4-40C5-4EEF-91F0-27AF4F88152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220450" y="4140575"/>
          <a:ext cx="1762125" cy="17621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182217</xdr:colOff>
      <xdr:row>10</xdr:row>
      <xdr:rowOff>157370</xdr:rowOff>
    </xdr:from>
    <xdr:to>
      <xdr:col>15</xdr:col>
      <xdr:colOff>131792</xdr:colOff>
      <xdr:row>26</xdr:row>
      <xdr:rowOff>106945</xdr:rowOff>
    </xdr:to>
    <xdr:pic>
      <xdr:nvPicPr>
        <xdr:cNvPr id="3" name="Gráfico 2" descr="Atrás con relleno sólido">
          <a:hlinkClick xmlns:r="http://schemas.openxmlformats.org/officeDocument/2006/relationships" r:id="rId1"/>
          <a:extLst>
            <a:ext uri="{FF2B5EF4-FFF2-40B4-BE49-F238E27FC236}">
              <a16:creationId xmlns:a16="http://schemas.microsoft.com/office/drawing/2014/main" id="{C6E68A6A-4F8B-4177-8731-CEB4A936400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564217" y="2062370"/>
          <a:ext cx="2997575" cy="29975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657225</xdr:colOff>
      <xdr:row>0</xdr:row>
      <xdr:rowOff>114301</xdr:rowOff>
    </xdr:from>
    <xdr:to>
      <xdr:col>8</xdr:col>
      <xdr:colOff>238125</xdr:colOff>
      <xdr:row>5</xdr:row>
      <xdr:rowOff>152401</xdr:rowOff>
    </xdr:to>
    <xdr:sp macro="[0]!Macro4" textlink="">
      <xdr:nvSpPr>
        <xdr:cNvPr id="2" name="Rectángulo: esquinas redondeadas 1">
          <a:extLst>
            <a:ext uri="{FF2B5EF4-FFF2-40B4-BE49-F238E27FC236}">
              <a16:creationId xmlns:a16="http://schemas.microsoft.com/office/drawing/2014/main" id="{5F87BEF6-27AC-01F2-72A1-010D9747A14E}"/>
            </a:ext>
          </a:extLst>
        </xdr:cNvPr>
        <xdr:cNvSpPr/>
      </xdr:nvSpPr>
      <xdr:spPr>
        <a:xfrm>
          <a:off x="3267075" y="114301"/>
          <a:ext cx="4371975" cy="990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3200"/>
            <a:t>Operar</a:t>
          </a:r>
          <a:endParaRPr lang="es-AR" sz="1100"/>
        </a:p>
      </xdr:txBody>
    </xdr:sp>
    <xdr:clientData/>
  </xdr:twoCellAnchor>
  <xdr:twoCellAnchor>
    <xdr:from>
      <xdr:col>9</xdr:col>
      <xdr:colOff>466725</xdr:colOff>
      <xdr:row>0</xdr:row>
      <xdr:rowOff>180975</xdr:rowOff>
    </xdr:from>
    <xdr:to>
      <xdr:col>14</xdr:col>
      <xdr:colOff>352426</xdr:colOff>
      <xdr:row>38</xdr:row>
      <xdr:rowOff>95250</xdr:rowOff>
    </xdr:to>
    <xdr:sp macro="" textlink="">
      <xdr:nvSpPr>
        <xdr:cNvPr id="3" name="Bocadillo: rectángulo con esquinas redondeadas 2">
          <a:extLst>
            <a:ext uri="{FF2B5EF4-FFF2-40B4-BE49-F238E27FC236}">
              <a16:creationId xmlns:a16="http://schemas.microsoft.com/office/drawing/2014/main" id="{CCD0F6D2-B0B2-7F92-979B-7F191E0E2E3F}"/>
            </a:ext>
          </a:extLst>
        </xdr:cNvPr>
        <xdr:cNvSpPr/>
      </xdr:nvSpPr>
      <xdr:spPr>
        <a:xfrm>
          <a:off x="9191625" y="180975"/>
          <a:ext cx="3857626" cy="6962775"/>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AR" sz="1600">
              <a:solidFill>
                <a:schemeClr val="tx1"/>
              </a:solidFill>
            </a:rPr>
            <a:t>Macro</a:t>
          </a:r>
          <a:r>
            <a:rPr lang="es-AR" sz="1600" baseline="0">
              <a:solidFill>
                <a:schemeClr val="tx1"/>
              </a:solidFill>
            </a:rPr>
            <a:t> creada para simular compras en BTC. </a:t>
          </a:r>
          <a:br>
            <a:rPr lang="es-AR" sz="1600" baseline="0">
              <a:solidFill>
                <a:schemeClr val="tx1"/>
              </a:solidFill>
            </a:rPr>
          </a:br>
          <a:r>
            <a:rPr lang="es-AR" sz="1600" baseline="0">
              <a:solidFill>
                <a:schemeClr val="tx1"/>
              </a:solidFill>
            </a:rPr>
            <a:t>Fecha mínima: 4/7/2022 </a:t>
          </a:r>
        </a:p>
        <a:p>
          <a:pPr algn="l"/>
          <a:r>
            <a:rPr lang="es-AR" sz="1600" baseline="0">
              <a:solidFill>
                <a:schemeClr val="tx1"/>
              </a:solidFill>
            </a:rPr>
            <a:t>Fecha máxima: 30/3/2025</a:t>
          </a:r>
          <a:br>
            <a:rPr lang="es-AR" sz="1600" baseline="0">
              <a:solidFill>
                <a:schemeClr val="tx1"/>
              </a:solidFill>
            </a:rPr>
          </a:br>
          <a:r>
            <a:rPr lang="es-AR" sz="1600" baseline="0">
              <a:solidFill>
                <a:schemeClr val="tx1"/>
              </a:solidFill>
            </a:rPr>
            <a:t>Monto Inicial: valor int (moneda USD). </a:t>
          </a:r>
          <a:br>
            <a:rPr lang="es-AR" sz="1600" baseline="0">
              <a:solidFill>
                <a:schemeClr val="tx1"/>
              </a:solidFill>
            </a:rPr>
          </a:br>
          <a:endParaRPr lang="es-AR" sz="1600" baseline="0">
            <a:solidFill>
              <a:schemeClr val="tx1"/>
            </a:solidFill>
          </a:endParaRPr>
        </a:p>
        <a:p>
          <a:pPr algn="l"/>
          <a:r>
            <a:rPr lang="es-AR" sz="1800" baseline="0">
              <a:solidFill>
                <a:schemeClr val="tx1"/>
              </a:solidFill>
            </a:rPr>
            <a:t>Al completar los campos dar click en "Operar".</a:t>
          </a:r>
        </a:p>
        <a:p>
          <a:pPr algn="l"/>
          <a:endParaRPr lang="es-AR" sz="1800" baseline="0">
            <a:solidFill>
              <a:schemeClr val="tx1"/>
            </a:solidFill>
          </a:endParaRPr>
        </a:p>
        <a:p>
          <a:r>
            <a:rPr lang="es-AR" sz="1800" i="1" u="sng">
              <a:solidFill>
                <a:schemeClr val="tx1"/>
              </a:solidFill>
              <a:effectLst/>
              <a:latin typeface="+mn-lt"/>
              <a:ea typeface="+mn-ea"/>
              <a:cs typeface="+mn-cs"/>
            </a:rPr>
            <a:t>Realiza una búsqueda del precio según las fechas y devuelve el precio y los cálculos del beneficio sobre el monto.</a:t>
          </a:r>
          <a:endParaRPr lang="es-AR" sz="1800">
            <a:solidFill>
              <a:schemeClr val="tx1"/>
            </a:solidFill>
            <a:effectLst/>
            <a:latin typeface="+mn-lt"/>
            <a:ea typeface="+mn-ea"/>
            <a:cs typeface="+mn-cs"/>
          </a:endParaRPr>
        </a:p>
      </xdr:txBody>
    </xdr:sp>
    <xdr:clientData/>
  </xdr:twoCellAnchor>
  <xdr:twoCellAnchor editAs="oneCell">
    <xdr:from>
      <xdr:col>4</xdr:col>
      <xdr:colOff>228600</xdr:colOff>
      <xdr:row>0</xdr:row>
      <xdr:rowOff>142875</xdr:rowOff>
    </xdr:from>
    <xdr:to>
      <xdr:col>4</xdr:col>
      <xdr:colOff>1143000</xdr:colOff>
      <xdr:row>5</xdr:row>
      <xdr:rowOff>104775</xdr:rowOff>
    </xdr:to>
    <xdr:pic>
      <xdr:nvPicPr>
        <xdr:cNvPr id="5" name="Gráfico 4" descr="Bitcoin con relleno sólido">
          <a:extLst>
            <a:ext uri="{FF2B5EF4-FFF2-40B4-BE49-F238E27FC236}">
              <a16:creationId xmlns:a16="http://schemas.microsoft.com/office/drawing/2014/main" id="{F2FE2C72-AFA0-6BE1-687B-61C2AFAA2A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733800" y="142875"/>
          <a:ext cx="914400" cy="914400"/>
        </a:xfrm>
        <a:prstGeom prst="rect">
          <a:avLst/>
        </a:prstGeom>
      </xdr:spPr>
    </xdr:pic>
    <xdr:clientData/>
  </xdr:twoCellAnchor>
  <xdr:twoCellAnchor editAs="oneCell">
    <xdr:from>
      <xdr:col>6</xdr:col>
      <xdr:colOff>600075</xdr:colOff>
      <xdr:row>0</xdr:row>
      <xdr:rowOff>152400</xdr:rowOff>
    </xdr:from>
    <xdr:to>
      <xdr:col>7</xdr:col>
      <xdr:colOff>571500</xdr:colOff>
      <xdr:row>5</xdr:row>
      <xdr:rowOff>114300</xdr:rowOff>
    </xdr:to>
    <xdr:pic>
      <xdr:nvPicPr>
        <xdr:cNvPr id="7" name="Gráfico 6" descr="Carro de la compra con relleno sólido">
          <a:extLst>
            <a:ext uri="{FF2B5EF4-FFF2-40B4-BE49-F238E27FC236}">
              <a16:creationId xmlns:a16="http://schemas.microsoft.com/office/drawing/2014/main" id="{8DC6EA2E-220F-738E-BE06-B71E71DD93E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257925" y="152400"/>
          <a:ext cx="914400" cy="914400"/>
        </a:xfrm>
        <a:prstGeom prst="rect">
          <a:avLst/>
        </a:prstGeom>
      </xdr:spPr>
    </xdr:pic>
    <xdr:clientData/>
  </xdr:twoCellAnchor>
  <xdr:twoCellAnchor editAs="oneCell">
    <xdr:from>
      <xdr:col>11</xdr:col>
      <xdr:colOff>495300</xdr:colOff>
      <xdr:row>29</xdr:row>
      <xdr:rowOff>19050</xdr:rowOff>
    </xdr:from>
    <xdr:to>
      <xdr:col>13</xdr:col>
      <xdr:colOff>400050</xdr:colOff>
      <xdr:row>36</xdr:row>
      <xdr:rowOff>114300</xdr:rowOff>
    </xdr:to>
    <xdr:pic>
      <xdr:nvPicPr>
        <xdr:cNvPr id="9" name="Gráfico 8" descr="Diana con relleno sólido">
          <a:extLst>
            <a:ext uri="{FF2B5EF4-FFF2-40B4-BE49-F238E27FC236}">
              <a16:creationId xmlns:a16="http://schemas.microsoft.com/office/drawing/2014/main" id="{CB3DC797-CCD2-79D4-FD65-319557684C3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06125" y="4210050"/>
          <a:ext cx="1428750" cy="1428750"/>
        </a:xfrm>
        <a:prstGeom prst="rect">
          <a:avLst/>
        </a:prstGeom>
      </xdr:spPr>
    </xdr:pic>
    <xdr:clientData/>
  </xdr:twoCellAnchor>
  <xdr:twoCellAnchor editAs="oneCell">
    <xdr:from>
      <xdr:col>13</xdr:col>
      <xdr:colOff>79318</xdr:colOff>
      <xdr:row>25</xdr:row>
      <xdr:rowOff>110696</xdr:rowOff>
    </xdr:from>
    <xdr:to>
      <xdr:col>14</xdr:col>
      <xdr:colOff>231718</xdr:colOff>
      <xdr:row>30</xdr:row>
      <xdr:rowOff>72596</xdr:rowOff>
    </xdr:to>
    <xdr:pic>
      <xdr:nvPicPr>
        <xdr:cNvPr id="4" name="Gráfico 3" descr="Portapapeles mezclado con relleno sólido">
          <a:extLst>
            <a:ext uri="{FF2B5EF4-FFF2-40B4-BE49-F238E27FC236}">
              <a16:creationId xmlns:a16="http://schemas.microsoft.com/office/drawing/2014/main" id="{5DA132FA-402B-4413-A760-05A33C9B557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014143" y="3539696"/>
          <a:ext cx="914400" cy="914400"/>
        </a:xfrm>
        <a:prstGeom prst="rect">
          <a:avLst/>
        </a:prstGeom>
      </xdr:spPr>
    </xdr:pic>
    <xdr:clientData/>
  </xdr:twoCellAnchor>
  <xdr:twoCellAnchor editAs="oneCell">
    <xdr:from>
      <xdr:col>9</xdr:col>
      <xdr:colOff>761753</xdr:colOff>
      <xdr:row>26</xdr:row>
      <xdr:rowOff>18877</xdr:rowOff>
    </xdr:from>
    <xdr:to>
      <xdr:col>11</xdr:col>
      <xdr:colOff>756388</xdr:colOff>
      <xdr:row>34</xdr:row>
      <xdr:rowOff>175437</xdr:rowOff>
    </xdr:to>
    <xdr:pic>
      <xdr:nvPicPr>
        <xdr:cNvPr id="8" name="Gráfico 7" descr="Dinero con relleno sólido">
          <a:extLst>
            <a:ext uri="{FF2B5EF4-FFF2-40B4-BE49-F238E27FC236}">
              <a16:creationId xmlns:a16="http://schemas.microsoft.com/office/drawing/2014/main" id="{7229DC7C-D674-4CEB-927C-CB38FDC3889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8365974">
          <a:off x="9486653" y="3638377"/>
          <a:ext cx="1680560" cy="1680560"/>
        </a:xfrm>
        <a:prstGeom prst="rect">
          <a:avLst/>
        </a:prstGeom>
      </xdr:spPr>
    </xdr:pic>
    <xdr:clientData/>
  </xdr:twoCellAnchor>
  <xdr:twoCellAnchor editAs="oneCell">
    <xdr:from>
      <xdr:col>11</xdr:col>
      <xdr:colOff>195696</xdr:colOff>
      <xdr:row>34</xdr:row>
      <xdr:rowOff>153266</xdr:rowOff>
    </xdr:from>
    <xdr:to>
      <xdr:col>15</xdr:col>
      <xdr:colOff>145271</xdr:colOff>
      <xdr:row>50</xdr:row>
      <xdr:rowOff>102841</xdr:rowOff>
    </xdr:to>
    <xdr:pic>
      <xdr:nvPicPr>
        <xdr:cNvPr id="10" name="Gráfico 9" descr="Atrás con relleno sólido">
          <a:hlinkClick xmlns:r="http://schemas.openxmlformats.org/officeDocument/2006/relationships" r:id="rId11"/>
          <a:extLst>
            <a:ext uri="{FF2B5EF4-FFF2-40B4-BE49-F238E27FC236}">
              <a16:creationId xmlns:a16="http://schemas.microsoft.com/office/drawing/2014/main" id="{F93C8DBF-B298-4BD7-8E3B-5A2291329F8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603923" y="6630266"/>
          <a:ext cx="2997575" cy="29975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1266825</xdr:colOff>
      <xdr:row>18</xdr:row>
      <xdr:rowOff>28575</xdr:rowOff>
    </xdr:from>
    <xdr:to>
      <xdr:col>14</xdr:col>
      <xdr:colOff>228601</xdr:colOff>
      <xdr:row>28</xdr:row>
      <xdr:rowOff>123826</xdr:rowOff>
    </xdr:to>
    <xdr:pic>
      <xdr:nvPicPr>
        <xdr:cNvPr id="2" name="Gráfico 1" descr="Atrás con relleno sólido">
          <a:hlinkClick xmlns:r="http://schemas.openxmlformats.org/officeDocument/2006/relationships" r:id="rId1"/>
          <a:extLst>
            <a:ext uri="{FF2B5EF4-FFF2-40B4-BE49-F238E27FC236}">
              <a16:creationId xmlns:a16="http://schemas.microsoft.com/office/drawing/2014/main" id="{0776E4FA-BBAF-4925-A907-6582B0EC174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353800" y="3457575"/>
          <a:ext cx="2000251" cy="200025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101792</xdr:colOff>
      <xdr:row>1</xdr:row>
      <xdr:rowOff>22839</xdr:rowOff>
    </xdr:from>
    <xdr:to>
      <xdr:col>22</xdr:col>
      <xdr:colOff>120498</xdr:colOff>
      <xdr:row>9</xdr:row>
      <xdr:rowOff>11205</xdr:rowOff>
    </xdr:to>
    <mc:AlternateContent xmlns:mc="http://schemas.openxmlformats.org/markup-compatibility/2006" xmlns:tsle="http://schemas.microsoft.com/office/drawing/2012/timeslicer">
      <mc:Choice Requires="tsle">
        <xdr:graphicFrame macro="">
          <xdr:nvGraphicFramePr>
            <xdr:cNvPr id="2" name="fecha 4">
              <a:extLst>
                <a:ext uri="{FF2B5EF4-FFF2-40B4-BE49-F238E27FC236}">
                  <a16:creationId xmlns:a16="http://schemas.microsoft.com/office/drawing/2014/main" id="{B42398DB-5A68-46C8-84FA-AC9C64D7E222}"/>
                </a:ext>
              </a:extLst>
            </xdr:cNvPr>
            <xdr:cNvGraphicFramePr/>
          </xdr:nvGraphicFramePr>
          <xdr:xfrm>
            <a:off x="0" y="0"/>
            <a:ext cx="0" cy="0"/>
          </xdr:xfrm>
          <a:graphic>
            <a:graphicData uri="http://schemas.microsoft.com/office/drawing/2012/timeslicer">
              <tsle:timeslicer name="fecha 4"/>
            </a:graphicData>
          </a:graphic>
        </xdr:graphicFrame>
      </mc:Choice>
      <mc:Fallback xmlns="">
        <xdr:sp macro="" textlink="">
          <xdr:nvSpPr>
            <xdr:cNvPr id="0" name=""/>
            <xdr:cNvSpPr>
              <a:spLocks noTextEdit="1"/>
            </xdr:cNvSpPr>
          </xdr:nvSpPr>
          <xdr:spPr>
            <a:xfrm>
              <a:off x="7497674" y="224545"/>
              <a:ext cx="7056000" cy="1557189"/>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clientData/>
  </xdr:twoCellAnchor>
  <xdr:twoCellAnchor editAs="oneCell">
    <xdr:from>
      <xdr:col>0</xdr:col>
      <xdr:colOff>154478</xdr:colOff>
      <xdr:row>10</xdr:row>
      <xdr:rowOff>67236</xdr:rowOff>
    </xdr:from>
    <xdr:to>
      <xdr:col>12</xdr:col>
      <xdr:colOff>30596</xdr:colOff>
      <xdr:row>15</xdr:row>
      <xdr:rowOff>123265</xdr:rowOff>
    </xdr:to>
    <mc:AlternateContent xmlns:mc="http://schemas.openxmlformats.org/markup-compatibility/2006" xmlns:a14="http://schemas.microsoft.com/office/drawing/2010/main">
      <mc:Choice Requires="a14">
        <xdr:graphicFrame macro="">
          <xdr:nvGraphicFramePr>
            <xdr:cNvPr id="3" name="index 4">
              <a:extLst>
                <a:ext uri="{FF2B5EF4-FFF2-40B4-BE49-F238E27FC236}">
                  <a16:creationId xmlns:a16="http://schemas.microsoft.com/office/drawing/2014/main" id="{188671B9-53CD-44FC-A71A-18966E093437}"/>
                </a:ext>
              </a:extLst>
            </xdr:cNvPr>
            <xdr:cNvGraphicFramePr/>
          </xdr:nvGraphicFramePr>
          <xdr:xfrm>
            <a:off x="0" y="0"/>
            <a:ext cx="0" cy="0"/>
          </xdr:xfrm>
          <a:graphic>
            <a:graphicData uri="http://schemas.microsoft.com/office/drawing/2010/slicer">
              <sle:slicer xmlns:sle="http://schemas.microsoft.com/office/drawing/2010/slicer" name="index 4"/>
            </a:graphicData>
          </a:graphic>
        </xdr:graphicFrame>
      </mc:Choice>
      <mc:Fallback xmlns="">
        <xdr:sp macro="" textlink="">
          <xdr:nvSpPr>
            <xdr:cNvPr id="0" name=""/>
            <xdr:cNvSpPr>
              <a:spLocks noTextEdit="1"/>
            </xdr:cNvSpPr>
          </xdr:nvSpPr>
          <xdr:spPr>
            <a:xfrm>
              <a:off x="154478" y="1972236"/>
              <a:ext cx="7305618" cy="100852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121803</xdr:colOff>
      <xdr:row>9</xdr:row>
      <xdr:rowOff>35257</xdr:rowOff>
    </xdr:from>
    <xdr:to>
      <xdr:col>22</xdr:col>
      <xdr:colOff>134470</xdr:colOff>
      <xdr:row>15</xdr:row>
      <xdr:rowOff>134470</xdr:rowOff>
    </xdr:to>
    <mc:AlternateContent xmlns:mc="http://schemas.openxmlformats.org/markup-compatibility/2006" xmlns:a14="http://schemas.microsoft.com/office/drawing/2010/main">
      <mc:Choice Requires="a14">
        <xdr:graphicFrame macro="">
          <xdr:nvGraphicFramePr>
            <xdr:cNvPr id="4" name="categoria 4">
              <a:extLst>
                <a:ext uri="{FF2B5EF4-FFF2-40B4-BE49-F238E27FC236}">
                  <a16:creationId xmlns:a16="http://schemas.microsoft.com/office/drawing/2014/main" id="{A9761847-3078-46EE-8E11-56BC98C52511}"/>
                </a:ext>
              </a:extLst>
            </xdr:cNvPr>
            <xdr:cNvGraphicFramePr/>
          </xdr:nvGraphicFramePr>
          <xdr:xfrm>
            <a:off x="0" y="0"/>
            <a:ext cx="0" cy="0"/>
          </xdr:xfrm>
          <a:graphic>
            <a:graphicData uri="http://schemas.microsoft.com/office/drawing/2010/slicer">
              <sle:slicer xmlns:sle="http://schemas.microsoft.com/office/drawing/2010/slicer" name="categoria 4"/>
            </a:graphicData>
          </a:graphic>
        </xdr:graphicFrame>
      </mc:Choice>
      <mc:Fallback xmlns="">
        <xdr:sp macro="" textlink="">
          <xdr:nvSpPr>
            <xdr:cNvPr id="0" name=""/>
            <xdr:cNvSpPr>
              <a:spLocks noTextEdit="1"/>
            </xdr:cNvSpPr>
          </xdr:nvSpPr>
          <xdr:spPr>
            <a:xfrm>
              <a:off x="7517685" y="1805786"/>
              <a:ext cx="7049961" cy="1275831"/>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134469</xdr:colOff>
      <xdr:row>16</xdr:row>
      <xdr:rowOff>22410</xdr:rowOff>
    </xdr:from>
    <xdr:to>
      <xdr:col>22</xdr:col>
      <xdr:colOff>134470</xdr:colOff>
      <xdr:row>49</xdr:row>
      <xdr:rowOff>11205</xdr:rowOff>
    </xdr:to>
    <xdr:graphicFrame macro="">
      <xdr:nvGraphicFramePr>
        <xdr:cNvPr id="6" name="Gráfico 5">
          <a:extLst>
            <a:ext uri="{FF2B5EF4-FFF2-40B4-BE49-F238E27FC236}">
              <a16:creationId xmlns:a16="http://schemas.microsoft.com/office/drawing/2014/main" id="{9407F5E9-1FA9-4B8A-8792-6E9CA2BB59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582707</xdr:colOff>
      <xdr:row>40</xdr:row>
      <xdr:rowOff>134470</xdr:rowOff>
    </xdr:from>
    <xdr:to>
      <xdr:col>23</xdr:col>
      <xdr:colOff>532282</xdr:colOff>
      <xdr:row>56</xdr:row>
      <xdr:rowOff>84045</xdr:rowOff>
    </xdr:to>
    <xdr:pic>
      <xdr:nvPicPr>
        <xdr:cNvPr id="5" name="Gráfico 4" descr="Atrás con relleno sólido">
          <a:hlinkClick xmlns:r="http://schemas.openxmlformats.org/officeDocument/2006/relationships" r:id="rId2"/>
          <a:extLst>
            <a:ext uri="{FF2B5EF4-FFF2-40B4-BE49-F238E27FC236}">
              <a16:creationId xmlns:a16="http://schemas.microsoft.com/office/drawing/2014/main" id="{B9F5BDF5-B509-4E5B-8416-EC9CDA9E0AE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729883" y="7844117"/>
          <a:ext cx="2997575" cy="2997575"/>
        </a:xfrm>
        <a:prstGeom prst="rect">
          <a:avLst/>
        </a:prstGeom>
      </xdr:spPr>
    </xdr:pic>
    <xdr:clientData/>
  </xdr:twoCellAnchor>
  <xdr:twoCellAnchor editAs="oneCell">
    <xdr:from>
      <xdr:col>1</xdr:col>
      <xdr:colOff>22412</xdr:colOff>
      <xdr:row>49</xdr:row>
      <xdr:rowOff>179293</xdr:rowOff>
    </xdr:from>
    <xdr:to>
      <xdr:col>5</xdr:col>
      <xdr:colOff>683559</xdr:colOff>
      <xdr:row>61</xdr:row>
      <xdr:rowOff>179294</xdr:rowOff>
    </xdr:to>
    <xdr:pic>
      <xdr:nvPicPr>
        <xdr:cNvPr id="10" name="Gráfico 9" descr="Indicador con relleno sólido">
          <a:extLst>
            <a:ext uri="{FF2B5EF4-FFF2-40B4-BE49-F238E27FC236}">
              <a16:creationId xmlns:a16="http://schemas.microsoft.com/office/drawing/2014/main" id="{31629DD1-60C8-0CC6-0FD6-1286796DCF3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1706" y="9603440"/>
          <a:ext cx="3126441" cy="2286001"/>
        </a:xfrm>
        <a:prstGeom prst="rect">
          <a:avLst/>
        </a:prstGeom>
      </xdr:spPr>
    </xdr:pic>
    <xdr:clientData/>
  </xdr:twoCellAnchor>
  <xdr:twoCellAnchor>
    <xdr:from>
      <xdr:col>7</xdr:col>
      <xdr:colOff>100853</xdr:colOff>
      <xdr:row>122</xdr:row>
      <xdr:rowOff>22412</xdr:rowOff>
    </xdr:from>
    <xdr:to>
      <xdr:col>19</xdr:col>
      <xdr:colOff>179294</xdr:colOff>
      <xdr:row>151</xdr:row>
      <xdr:rowOff>44823</xdr:rowOff>
    </xdr:to>
    <xdr:sp macro="" textlink="">
      <xdr:nvSpPr>
        <xdr:cNvPr id="15" name="Explosión: 8 puntos 14">
          <a:extLst>
            <a:ext uri="{FF2B5EF4-FFF2-40B4-BE49-F238E27FC236}">
              <a16:creationId xmlns:a16="http://schemas.microsoft.com/office/drawing/2014/main" id="{AA0E3F7B-EC45-6EB5-FC7A-99D3B5AB1AEF}"/>
            </a:ext>
          </a:extLst>
        </xdr:cNvPr>
        <xdr:cNvSpPr/>
      </xdr:nvSpPr>
      <xdr:spPr>
        <a:xfrm>
          <a:off x="4269441" y="17638059"/>
          <a:ext cx="8057029" cy="5546911"/>
        </a:xfrm>
        <a:prstGeom prst="irregularSeal1">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a:solidFill>
                <a:srgbClr val="FFFF00"/>
              </a:solidFill>
            </a:rPr>
            <a:t>CUIDADO !!</a:t>
          </a:r>
          <a:br>
            <a:rPr lang="es-AR" sz="2800">
              <a:solidFill>
                <a:srgbClr val="FFFF00"/>
              </a:solidFill>
            </a:rPr>
          </a:br>
          <a:r>
            <a:rPr lang="es-AR" sz="2800">
              <a:solidFill>
                <a:srgbClr val="FFFF00"/>
              </a:solidFill>
            </a:rPr>
            <a:t>bajaste mucho y te encontraste una</a:t>
          </a:r>
          <a:r>
            <a:rPr lang="es-AR" sz="2800" baseline="0">
              <a:solidFill>
                <a:srgbClr val="FFFF00"/>
              </a:solidFill>
            </a:rPr>
            <a:t> ARAÑA GIGANTEE!</a:t>
          </a:r>
          <a:endParaRPr lang="es-AR" sz="2800">
            <a:solidFill>
              <a:srgbClr val="FFFF00"/>
            </a:solidFill>
          </a:endParaRPr>
        </a:p>
      </xdr:txBody>
    </xdr:sp>
    <xdr:clientData/>
  </xdr:twoCellAnchor>
  <xdr:twoCellAnchor editAs="oneCell">
    <xdr:from>
      <xdr:col>15</xdr:col>
      <xdr:colOff>363121</xdr:colOff>
      <xdr:row>127</xdr:row>
      <xdr:rowOff>62929</xdr:rowOff>
    </xdr:from>
    <xdr:to>
      <xdr:col>26</xdr:col>
      <xdr:colOff>56188</xdr:colOff>
      <xdr:row>159</xdr:row>
      <xdr:rowOff>102034</xdr:rowOff>
    </xdr:to>
    <xdr:pic>
      <xdr:nvPicPr>
        <xdr:cNvPr id="14" name="Gráfico 13" descr="Araña con relleno sólido">
          <a:extLst>
            <a:ext uri="{FF2B5EF4-FFF2-40B4-BE49-F238E27FC236}">
              <a16:creationId xmlns:a16="http://schemas.microsoft.com/office/drawing/2014/main" id="{EC8A5EA3-8479-CAC8-F8C6-E5D710F9350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9268266">
          <a:off x="9462297" y="18631076"/>
          <a:ext cx="8075067" cy="6135105"/>
        </a:xfrm>
        <a:prstGeom prst="rect">
          <a:avLst/>
        </a:prstGeom>
      </xdr:spPr>
    </xdr:pic>
    <xdr:clientData/>
  </xdr:twoCellAnchor>
  <xdr:twoCellAnchor editAs="oneCell">
    <xdr:from>
      <xdr:col>21</xdr:col>
      <xdr:colOff>413409</xdr:colOff>
      <xdr:row>130</xdr:row>
      <xdr:rowOff>151302</xdr:rowOff>
    </xdr:from>
    <xdr:to>
      <xdr:col>23</xdr:col>
      <xdr:colOff>635656</xdr:colOff>
      <xdr:row>139</xdr:row>
      <xdr:rowOff>183049</xdr:rowOff>
    </xdr:to>
    <xdr:pic>
      <xdr:nvPicPr>
        <xdr:cNvPr id="17" name="Gráfico 16" descr="Símbolo de enfado con relleno sólido">
          <a:extLst>
            <a:ext uri="{FF2B5EF4-FFF2-40B4-BE49-F238E27FC236}">
              <a16:creationId xmlns:a16="http://schemas.microsoft.com/office/drawing/2014/main" id="{114CB903-1F68-205F-6A30-9E62C62C91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560443">
          <a:off x="14084585" y="19290949"/>
          <a:ext cx="1746247" cy="1746247"/>
        </a:xfrm>
        <a:prstGeom prst="rect">
          <a:avLst/>
        </a:prstGeom>
      </xdr:spPr>
    </xdr:pic>
    <xdr:clientData/>
  </xdr:twoCellAnchor>
  <xdr:twoCellAnchor editAs="oneCell">
    <xdr:from>
      <xdr:col>19</xdr:col>
      <xdr:colOff>732706</xdr:colOff>
      <xdr:row>141</xdr:row>
      <xdr:rowOff>183618</xdr:rowOff>
    </xdr:from>
    <xdr:to>
      <xdr:col>20</xdr:col>
      <xdr:colOff>403413</xdr:colOff>
      <xdr:row>144</xdr:row>
      <xdr:rowOff>44825</xdr:rowOff>
    </xdr:to>
    <xdr:pic>
      <xdr:nvPicPr>
        <xdr:cNvPr id="19" name="Gráfico 18" descr="Dirección con relleno sólido">
          <a:extLst>
            <a:ext uri="{FF2B5EF4-FFF2-40B4-BE49-F238E27FC236}">
              <a16:creationId xmlns:a16="http://schemas.microsoft.com/office/drawing/2014/main" id="{1B6E0D70-2762-86DF-9756-B359BC93CA4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879882" y="21418765"/>
          <a:ext cx="432707" cy="432707"/>
        </a:xfrm>
        <a:prstGeom prst="rect">
          <a:avLst/>
        </a:prstGeom>
      </xdr:spPr>
    </xdr:pic>
    <xdr:clientData/>
  </xdr:twoCellAnchor>
  <xdr:twoCellAnchor editAs="oneCell">
    <xdr:from>
      <xdr:col>19</xdr:col>
      <xdr:colOff>649783</xdr:colOff>
      <xdr:row>141</xdr:row>
      <xdr:rowOff>22254</xdr:rowOff>
    </xdr:from>
    <xdr:to>
      <xdr:col>20</xdr:col>
      <xdr:colOff>320490</xdr:colOff>
      <xdr:row>143</xdr:row>
      <xdr:rowOff>73961</xdr:rowOff>
    </xdr:to>
    <xdr:pic>
      <xdr:nvPicPr>
        <xdr:cNvPr id="20" name="Gráfico 19" descr="Dirección con relleno sólido">
          <a:extLst>
            <a:ext uri="{FF2B5EF4-FFF2-40B4-BE49-F238E27FC236}">
              <a16:creationId xmlns:a16="http://schemas.microsoft.com/office/drawing/2014/main" id="{1D44C6AE-7898-4457-83D8-590EC8E6218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796959" y="21257401"/>
          <a:ext cx="432707" cy="432707"/>
        </a:xfrm>
        <a:prstGeom prst="rect">
          <a:avLst/>
        </a:prstGeom>
      </xdr:spPr>
    </xdr:pic>
    <xdr:clientData/>
  </xdr:twoCellAnchor>
  <xdr:twoCellAnchor editAs="oneCell">
    <xdr:from>
      <xdr:col>20</xdr:col>
      <xdr:colOff>73800</xdr:colOff>
      <xdr:row>142</xdr:row>
      <xdr:rowOff>185859</xdr:rowOff>
    </xdr:from>
    <xdr:to>
      <xdr:col>20</xdr:col>
      <xdr:colOff>506507</xdr:colOff>
      <xdr:row>145</xdr:row>
      <xdr:rowOff>47066</xdr:rowOff>
    </xdr:to>
    <xdr:pic>
      <xdr:nvPicPr>
        <xdr:cNvPr id="21" name="Gráfico 20" descr="Dirección con relleno sólido">
          <a:extLst>
            <a:ext uri="{FF2B5EF4-FFF2-40B4-BE49-F238E27FC236}">
              <a16:creationId xmlns:a16="http://schemas.microsoft.com/office/drawing/2014/main" id="{08F49F3A-F761-4E0C-9114-BADAE3C74E1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82976" y="21611506"/>
          <a:ext cx="432707" cy="432707"/>
        </a:xfrm>
        <a:prstGeom prst="rect">
          <a:avLst/>
        </a:prstGeom>
      </xdr:spPr>
    </xdr:pic>
    <xdr:clientData/>
  </xdr:twoCellAnchor>
  <xdr:twoCellAnchor editAs="oneCell">
    <xdr:from>
      <xdr:col>20</xdr:col>
      <xdr:colOff>629612</xdr:colOff>
      <xdr:row>141</xdr:row>
      <xdr:rowOff>181377</xdr:rowOff>
    </xdr:from>
    <xdr:to>
      <xdr:col>21</xdr:col>
      <xdr:colOff>300319</xdr:colOff>
      <xdr:row>144</xdr:row>
      <xdr:rowOff>42584</xdr:rowOff>
    </xdr:to>
    <xdr:pic>
      <xdr:nvPicPr>
        <xdr:cNvPr id="22" name="Gráfico 21" descr="Dirección con relleno sólido">
          <a:extLst>
            <a:ext uri="{FF2B5EF4-FFF2-40B4-BE49-F238E27FC236}">
              <a16:creationId xmlns:a16="http://schemas.microsoft.com/office/drawing/2014/main" id="{7A8B5634-396A-432A-9D56-210B5BF47A8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rot="13137308">
          <a:off x="13538788" y="21416524"/>
          <a:ext cx="432707" cy="432707"/>
        </a:xfrm>
        <a:prstGeom prst="rect">
          <a:avLst/>
        </a:prstGeom>
      </xdr:spPr>
    </xdr:pic>
    <xdr:clientData/>
  </xdr:twoCellAnchor>
  <xdr:twoCellAnchor editAs="oneCell">
    <xdr:from>
      <xdr:col>20</xdr:col>
      <xdr:colOff>490660</xdr:colOff>
      <xdr:row>140</xdr:row>
      <xdr:rowOff>120865</xdr:rowOff>
    </xdr:from>
    <xdr:to>
      <xdr:col>21</xdr:col>
      <xdr:colOff>161367</xdr:colOff>
      <xdr:row>142</xdr:row>
      <xdr:rowOff>172572</xdr:rowOff>
    </xdr:to>
    <xdr:pic>
      <xdr:nvPicPr>
        <xdr:cNvPr id="23" name="Gráfico 22" descr="Dirección con relleno sólido">
          <a:extLst>
            <a:ext uri="{FF2B5EF4-FFF2-40B4-BE49-F238E27FC236}">
              <a16:creationId xmlns:a16="http://schemas.microsoft.com/office/drawing/2014/main" id="{B6184148-4DE2-47EA-9F93-8EB3DD35840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rot="13137308">
          <a:off x="13399836" y="21165512"/>
          <a:ext cx="432707" cy="432707"/>
        </a:xfrm>
        <a:prstGeom prst="rect">
          <a:avLst/>
        </a:prstGeom>
      </xdr:spPr>
    </xdr:pic>
    <xdr:clientData/>
  </xdr:twoCellAnchor>
  <xdr:twoCellAnchor editAs="oneCell">
    <xdr:from>
      <xdr:col>20</xdr:col>
      <xdr:colOff>362912</xdr:colOff>
      <xdr:row>139</xdr:row>
      <xdr:rowOff>150003</xdr:rowOff>
    </xdr:from>
    <xdr:to>
      <xdr:col>21</xdr:col>
      <xdr:colOff>33619</xdr:colOff>
      <xdr:row>142</xdr:row>
      <xdr:rowOff>11210</xdr:rowOff>
    </xdr:to>
    <xdr:pic>
      <xdr:nvPicPr>
        <xdr:cNvPr id="24" name="Gráfico 23" descr="Dirección con relleno sólido">
          <a:extLst>
            <a:ext uri="{FF2B5EF4-FFF2-40B4-BE49-F238E27FC236}">
              <a16:creationId xmlns:a16="http://schemas.microsoft.com/office/drawing/2014/main" id="{D9CD850C-B572-445D-9EEF-8228C94605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rot="13137308">
          <a:off x="13272088" y="21004150"/>
          <a:ext cx="432707" cy="432707"/>
        </a:xfrm>
        <a:prstGeom prst="rect">
          <a:avLst/>
        </a:prstGeom>
      </xdr:spPr>
    </xdr:pic>
    <xdr:clientData/>
  </xdr:twoCellAnchor>
  <xdr:twoCellAnchor editAs="oneCell">
    <xdr:from>
      <xdr:col>1</xdr:col>
      <xdr:colOff>302560</xdr:colOff>
      <xdr:row>61</xdr:row>
      <xdr:rowOff>44822</xdr:rowOff>
    </xdr:from>
    <xdr:to>
      <xdr:col>5</xdr:col>
      <xdr:colOff>522195</xdr:colOff>
      <xdr:row>75</xdr:row>
      <xdr:rowOff>62751</xdr:rowOff>
    </xdr:to>
    <xdr:pic>
      <xdr:nvPicPr>
        <xdr:cNvPr id="26" name="Gráfico 25" descr="Investigación con relleno sólido">
          <a:extLst>
            <a:ext uri="{FF2B5EF4-FFF2-40B4-BE49-F238E27FC236}">
              <a16:creationId xmlns:a16="http://schemas.microsoft.com/office/drawing/2014/main" id="{7BC06060-9A62-4042-05B0-546A8B5726F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81854" y="11754969"/>
          <a:ext cx="2684929" cy="268492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81643</xdr:colOff>
      <xdr:row>15</xdr:row>
      <xdr:rowOff>190499</xdr:rowOff>
    </xdr:from>
    <xdr:to>
      <xdr:col>25</xdr:col>
      <xdr:colOff>449036</xdr:colOff>
      <xdr:row>57</xdr:row>
      <xdr:rowOff>176892</xdr:rowOff>
    </xdr:to>
    <xdr:graphicFrame macro="">
      <xdr:nvGraphicFramePr>
        <xdr:cNvPr id="6" name="Gráfico 5">
          <a:extLst>
            <a:ext uri="{FF2B5EF4-FFF2-40B4-BE49-F238E27FC236}">
              <a16:creationId xmlns:a16="http://schemas.microsoft.com/office/drawing/2014/main" id="{2951305B-D99F-44D5-87DF-B51578CE4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2721</xdr:colOff>
      <xdr:row>0</xdr:row>
      <xdr:rowOff>163286</xdr:rowOff>
    </xdr:from>
    <xdr:to>
      <xdr:col>19</xdr:col>
      <xdr:colOff>539355</xdr:colOff>
      <xdr:row>7</xdr:row>
      <xdr:rowOff>129750</xdr:rowOff>
    </xdr:to>
    <mc:AlternateContent xmlns:mc="http://schemas.openxmlformats.org/markup-compatibility/2006" xmlns:tsle="http://schemas.microsoft.com/office/drawing/2012/timeslicer">
      <mc:Choice Requires="tsle">
        <xdr:graphicFrame macro="">
          <xdr:nvGraphicFramePr>
            <xdr:cNvPr id="7" name="fecha 1">
              <a:extLst>
                <a:ext uri="{FF2B5EF4-FFF2-40B4-BE49-F238E27FC236}">
                  <a16:creationId xmlns:a16="http://schemas.microsoft.com/office/drawing/2014/main" id="{E6EFEA73-075D-4468-A91C-3019D38EB6B5}"/>
                </a:ext>
              </a:extLst>
            </xdr:cNvPr>
            <xdr:cNvGraphicFramePr/>
          </xdr:nvGraphicFramePr>
          <xdr:xfrm>
            <a:off x="0" y="0"/>
            <a:ext cx="0" cy="0"/>
          </xdr:xfrm>
          <a:graphic>
            <a:graphicData uri="http://schemas.microsoft.com/office/drawing/2012/timeslicer">
              <tsle:timeslicer name="fecha 1"/>
            </a:graphicData>
          </a:graphic>
        </xdr:graphicFrame>
      </mc:Choice>
      <mc:Fallback xmlns="">
        <xdr:sp macro="" textlink="">
          <xdr:nvSpPr>
            <xdr:cNvPr id="0" name=""/>
            <xdr:cNvSpPr>
              <a:spLocks noTextEdit="1"/>
            </xdr:cNvSpPr>
          </xdr:nvSpPr>
          <xdr:spPr>
            <a:xfrm>
              <a:off x="7568292" y="163286"/>
              <a:ext cx="5108634" cy="1368000"/>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clientData/>
  </xdr:twoCellAnchor>
  <xdr:twoCellAnchor editAs="oneCell">
    <xdr:from>
      <xdr:col>19</xdr:col>
      <xdr:colOff>544285</xdr:colOff>
      <xdr:row>0</xdr:row>
      <xdr:rowOff>174171</xdr:rowOff>
    </xdr:from>
    <xdr:to>
      <xdr:col>25</xdr:col>
      <xdr:colOff>435429</xdr:colOff>
      <xdr:row>15</xdr:row>
      <xdr:rowOff>27215</xdr:rowOff>
    </xdr:to>
    <mc:AlternateContent xmlns:mc="http://schemas.openxmlformats.org/markup-compatibility/2006" xmlns:a14="http://schemas.microsoft.com/office/drawing/2010/main">
      <mc:Choice Requires="a14">
        <xdr:graphicFrame macro="">
          <xdr:nvGraphicFramePr>
            <xdr:cNvPr id="8" name="index">
              <a:extLst>
                <a:ext uri="{FF2B5EF4-FFF2-40B4-BE49-F238E27FC236}">
                  <a16:creationId xmlns:a16="http://schemas.microsoft.com/office/drawing/2014/main" id="{BFB84B29-3597-4D02-96A4-D8009D6D5CED}"/>
                </a:ext>
              </a:extLst>
            </xdr:cNvPr>
            <xdr:cNvGraphicFramePr/>
          </xdr:nvGraphicFramePr>
          <xdr:xfrm>
            <a:off x="0" y="0"/>
            <a:ext cx="0" cy="0"/>
          </xdr:xfrm>
          <a:graphic>
            <a:graphicData uri="http://schemas.microsoft.com/office/drawing/2010/slicer">
              <sle:slicer xmlns:sle="http://schemas.microsoft.com/office/drawing/2010/slicer" name="index"/>
            </a:graphicData>
          </a:graphic>
        </xdr:graphicFrame>
      </mc:Choice>
      <mc:Fallback xmlns="">
        <xdr:sp macro="" textlink="">
          <xdr:nvSpPr>
            <xdr:cNvPr id="0" name=""/>
            <xdr:cNvSpPr>
              <a:spLocks noTextEdit="1"/>
            </xdr:cNvSpPr>
          </xdr:nvSpPr>
          <xdr:spPr>
            <a:xfrm>
              <a:off x="12681856" y="174171"/>
              <a:ext cx="4463144" cy="283300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166007</xdr:colOff>
      <xdr:row>7</xdr:row>
      <xdr:rowOff>136070</xdr:rowOff>
    </xdr:from>
    <xdr:to>
      <xdr:col>19</xdr:col>
      <xdr:colOff>525749</xdr:colOff>
      <xdr:row>15</xdr:row>
      <xdr:rowOff>33642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1E047AEA-2C52-4D1C-93B1-EF52131C9B24}"/>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7554686" y="1537606"/>
              <a:ext cx="5108634" cy="147600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326572</xdr:colOff>
      <xdr:row>58</xdr:row>
      <xdr:rowOff>40822</xdr:rowOff>
    </xdr:from>
    <xdr:to>
      <xdr:col>5</xdr:col>
      <xdr:colOff>478972</xdr:colOff>
      <xdr:row>72</xdr:row>
      <xdr:rowOff>152400</xdr:rowOff>
    </xdr:to>
    <xdr:pic>
      <xdr:nvPicPr>
        <xdr:cNvPr id="4" name="Gráfico 3" descr="Bitcoin con relleno sólido">
          <a:extLst>
            <a:ext uri="{FF2B5EF4-FFF2-40B4-BE49-F238E27FC236}">
              <a16:creationId xmlns:a16="http://schemas.microsoft.com/office/drawing/2014/main" id="{F97CBFFB-1E2B-41E7-98A0-320728636F2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03465" y="11212286"/>
          <a:ext cx="2615293" cy="2778578"/>
        </a:xfrm>
        <a:prstGeom prst="rect">
          <a:avLst/>
        </a:prstGeom>
      </xdr:spPr>
    </xdr:pic>
    <xdr:clientData/>
  </xdr:twoCellAnchor>
  <xdr:twoCellAnchor editAs="oneCell">
    <xdr:from>
      <xdr:col>0</xdr:col>
      <xdr:colOff>149679</xdr:colOff>
      <xdr:row>81</xdr:row>
      <xdr:rowOff>108858</xdr:rowOff>
    </xdr:from>
    <xdr:to>
      <xdr:col>5</xdr:col>
      <xdr:colOff>636334</xdr:colOff>
      <xdr:row>93</xdr:row>
      <xdr:rowOff>108859</xdr:rowOff>
    </xdr:to>
    <xdr:pic>
      <xdr:nvPicPr>
        <xdr:cNvPr id="5" name="Gráfico 4" descr="Indicador con relleno sólido">
          <a:extLst>
            <a:ext uri="{FF2B5EF4-FFF2-40B4-BE49-F238E27FC236}">
              <a16:creationId xmlns:a16="http://schemas.microsoft.com/office/drawing/2014/main" id="{93C8E8F8-2F30-4EDD-BCFF-8A0DBE321E9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9679" y="15661822"/>
          <a:ext cx="3126441" cy="2286001"/>
        </a:xfrm>
        <a:prstGeom prst="rect">
          <a:avLst/>
        </a:prstGeom>
      </xdr:spPr>
    </xdr:pic>
    <xdr:clientData/>
  </xdr:twoCellAnchor>
  <xdr:twoCellAnchor editAs="oneCell">
    <xdr:from>
      <xdr:col>1</xdr:col>
      <xdr:colOff>381000</xdr:colOff>
      <xdr:row>71</xdr:row>
      <xdr:rowOff>136070</xdr:rowOff>
    </xdr:from>
    <xdr:to>
      <xdr:col>5</xdr:col>
      <xdr:colOff>247650</xdr:colOff>
      <xdr:row>83</xdr:row>
      <xdr:rowOff>179613</xdr:rowOff>
    </xdr:to>
    <xdr:pic>
      <xdr:nvPicPr>
        <xdr:cNvPr id="11" name="Gráfico 10" descr="Cofre del tesoro con relleno sólido">
          <a:extLst>
            <a:ext uri="{FF2B5EF4-FFF2-40B4-BE49-F238E27FC236}">
              <a16:creationId xmlns:a16="http://schemas.microsoft.com/office/drawing/2014/main" id="{C5A96F40-EA0D-66A5-D843-2D94403729E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57893" y="13784034"/>
          <a:ext cx="2329543" cy="2329543"/>
        </a:xfrm>
        <a:prstGeom prst="rect">
          <a:avLst/>
        </a:prstGeom>
      </xdr:spPr>
    </xdr:pic>
    <xdr:clientData/>
  </xdr:twoCellAnchor>
  <xdr:twoCellAnchor editAs="oneCell">
    <xdr:from>
      <xdr:col>27</xdr:col>
      <xdr:colOff>0</xdr:colOff>
      <xdr:row>46</xdr:row>
      <xdr:rowOff>0</xdr:rowOff>
    </xdr:from>
    <xdr:to>
      <xdr:col>30</xdr:col>
      <xdr:colOff>711575</xdr:colOff>
      <xdr:row>61</xdr:row>
      <xdr:rowOff>140075</xdr:rowOff>
    </xdr:to>
    <xdr:pic>
      <xdr:nvPicPr>
        <xdr:cNvPr id="3" name="Gráfico 2" descr="Atrás con relleno sólido">
          <a:hlinkClick xmlns:r="http://schemas.openxmlformats.org/officeDocument/2006/relationships" r:id="rId8"/>
          <a:extLst>
            <a:ext uri="{FF2B5EF4-FFF2-40B4-BE49-F238E27FC236}">
              <a16:creationId xmlns:a16="http://schemas.microsoft.com/office/drawing/2014/main" id="{31B032F5-AD2F-4C3F-8E21-2F9C2E04B5C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8218727" y="8918864"/>
          <a:ext cx="2997575" cy="29975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101792</xdr:colOff>
      <xdr:row>1</xdr:row>
      <xdr:rowOff>22839</xdr:rowOff>
    </xdr:from>
    <xdr:to>
      <xdr:col>22</xdr:col>
      <xdr:colOff>120498</xdr:colOff>
      <xdr:row>9</xdr:row>
      <xdr:rowOff>11205</xdr:rowOff>
    </xdr:to>
    <mc:AlternateContent xmlns:mc="http://schemas.openxmlformats.org/markup-compatibility/2006" xmlns:tsle="http://schemas.microsoft.com/office/drawing/2012/timeslicer">
      <mc:Choice Requires="tsle">
        <xdr:graphicFrame macro="">
          <xdr:nvGraphicFramePr>
            <xdr:cNvPr id="3" name="fecha 3">
              <a:extLst>
                <a:ext uri="{FF2B5EF4-FFF2-40B4-BE49-F238E27FC236}">
                  <a16:creationId xmlns:a16="http://schemas.microsoft.com/office/drawing/2014/main" id="{CF810A30-1E43-4424-9F40-149D55E815E4}"/>
                </a:ext>
              </a:extLst>
            </xdr:cNvPr>
            <xdr:cNvGraphicFramePr/>
          </xdr:nvGraphicFramePr>
          <xdr:xfrm>
            <a:off x="0" y="0"/>
            <a:ext cx="0" cy="0"/>
          </xdr:xfrm>
          <a:graphic>
            <a:graphicData uri="http://schemas.microsoft.com/office/drawing/2012/timeslicer">
              <tsle:timeslicer name="fecha 3"/>
            </a:graphicData>
          </a:graphic>
        </xdr:graphicFrame>
      </mc:Choice>
      <mc:Fallback xmlns="">
        <xdr:sp macro="" textlink="">
          <xdr:nvSpPr>
            <xdr:cNvPr id="0" name=""/>
            <xdr:cNvSpPr>
              <a:spLocks noTextEdit="1"/>
            </xdr:cNvSpPr>
          </xdr:nvSpPr>
          <xdr:spPr>
            <a:xfrm>
              <a:off x="7497674" y="224545"/>
              <a:ext cx="7056000" cy="1557189"/>
            </a:xfrm>
            <a:prstGeom prst="rect">
              <a:avLst/>
            </a:prstGeom>
            <a:solidFill>
              <a:prstClr val="white"/>
            </a:solidFill>
            <a:ln w="1">
              <a:solidFill>
                <a:prstClr val="green"/>
              </a:solidFill>
            </a:ln>
          </xdr:spPr>
          <xdr:txBody>
            <a:bodyPr vertOverflow="clip" horzOverflow="clip"/>
            <a:lstStyle/>
            <a:p>
              <a:r>
                <a:rPr lang="es-AR" sz="1100"/>
                <a:t>Línea de tiempo: Funciona en Excel 2013 o superior. No mover ni cambiar el tamaño.</a:t>
              </a:r>
            </a:p>
          </xdr:txBody>
        </xdr:sp>
      </mc:Fallback>
    </mc:AlternateContent>
    <xdr:clientData/>
  </xdr:twoCellAnchor>
  <xdr:twoCellAnchor editAs="oneCell">
    <xdr:from>
      <xdr:col>1</xdr:col>
      <xdr:colOff>20008</xdr:colOff>
      <xdr:row>10</xdr:row>
      <xdr:rowOff>11206</xdr:rowOff>
    </xdr:from>
    <xdr:to>
      <xdr:col>12</xdr:col>
      <xdr:colOff>75420</xdr:colOff>
      <xdr:row>15</xdr:row>
      <xdr:rowOff>67235</xdr:rowOff>
    </xdr:to>
    <mc:AlternateContent xmlns:mc="http://schemas.openxmlformats.org/markup-compatibility/2006" xmlns:a14="http://schemas.microsoft.com/office/drawing/2010/main">
      <mc:Choice Requires="a14">
        <xdr:graphicFrame macro="">
          <xdr:nvGraphicFramePr>
            <xdr:cNvPr id="4" name="index 3">
              <a:extLst>
                <a:ext uri="{FF2B5EF4-FFF2-40B4-BE49-F238E27FC236}">
                  <a16:creationId xmlns:a16="http://schemas.microsoft.com/office/drawing/2014/main" id="{95F81ED0-6CB0-40A4-B82B-290CF37E9746}"/>
                </a:ext>
              </a:extLst>
            </xdr:cNvPr>
            <xdr:cNvGraphicFramePr/>
          </xdr:nvGraphicFramePr>
          <xdr:xfrm>
            <a:off x="0" y="0"/>
            <a:ext cx="0" cy="0"/>
          </xdr:xfrm>
          <a:graphic>
            <a:graphicData uri="http://schemas.microsoft.com/office/drawing/2010/slicer">
              <sle:slicer xmlns:sle="http://schemas.microsoft.com/office/drawing/2010/slicer" name="index 3"/>
            </a:graphicData>
          </a:graphic>
        </xdr:graphicFrame>
      </mc:Choice>
      <mc:Fallback xmlns="">
        <xdr:sp macro="" textlink="">
          <xdr:nvSpPr>
            <xdr:cNvPr id="0" name=""/>
            <xdr:cNvSpPr>
              <a:spLocks noTextEdit="1"/>
            </xdr:cNvSpPr>
          </xdr:nvSpPr>
          <xdr:spPr>
            <a:xfrm>
              <a:off x="199302" y="1983441"/>
              <a:ext cx="7272000" cy="1030941"/>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121803</xdr:colOff>
      <xdr:row>9</xdr:row>
      <xdr:rowOff>35257</xdr:rowOff>
    </xdr:from>
    <xdr:to>
      <xdr:col>22</xdr:col>
      <xdr:colOff>134470</xdr:colOff>
      <xdr:row>15</xdr:row>
      <xdr:rowOff>134470</xdr:rowOff>
    </xdr:to>
    <mc:AlternateContent xmlns:mc="http://schemas.openxmlformats.org/markup-compatibility/2006" xmlns:a14="http://schemas.microsoft.com/office/drawing/2010/main">
      <mc:Choice Requires="a14">
        <xdr:graphicFrame macro="">
          <xdr:nvGraphicFramePr>
            <xdr:cNvPr id="5" name="categoria 3">
              <a:extLst>
                <a:ext uri="{FF2B5EF4-FFF2-40B4-BE49-F238E27FC236}">
                  <a16:creationId xmlns:a16="http://schemas.microsoft.com/office/drawing/2014/main" id="{E022400C-0719-4104-AFAD-9DC91FFAE0F0}"/>
                </a:ext>
              </a:extLst>
            </xdr:cNvPr>
            <xdr:cNvGraphicFramePr/>
          </xdr:nvGraphicFramePr>
          <xdr:xfrm>
            <a:off x="0" y="0"/>
            <a:ext cx="0" cy="0"/>
          </xdr:xfrm>
          <a:graphic>
            <a:graphicData uri="http://schemas.microsoft.com/office/drawing/2010/slicer">
              <sle:slicer xmlns:sle="http://schemas.microsoft.com/office/drawing/2010/slicer" name="categoria 3"/>
            </a:graphicData>
          </a:graphic>
        </xdr:graphicFrame>
      </mc:Choice>
      <mc:Fallback xmlns="">
        <xdr:sp macro="" textlink="">
          <xdr:nvSpPr>
            <xdr:cNvPr id="0" name=""/>
            <xdr:cNvSpPr>
              <a:spLocks noTextEdit="1"/>
            </xdr:cNvSpPr>
          </xdr:nvSpPr>
          <xdr:spPr>
            <a:xfrm>
              <a:off x="7517685" y="1805786"/>
              <a:ext cx="7049961" cy="1275831"/>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16</xdr:row>
      <xdr:rowOff>1</xdr:rowOff>
    </xdr:from>
    <xdr:to>
      <xdr:col>22</xdr:col>
      <xdr:colOff>123265</xdr:colOff>
      <xdr:row>48</xdr:row>
      <xdr:rowOff>100853</xdr:rowOff>
    </xdr:to>
    <xdr:graphicFrame macro="">
      <xdr:nvGraphicFramePr>
        <xdr:cNvPr id="6" name="Gráfico 5">
          <a:extLst>
            <a:ext uri="{FF2B5EF4-FFF2-40B4-BE49-F238E27FC236}">
              <a16:creationId xmlns:a16="http://schemas.microsoft.com/office/drawing/2014/main" id="{A074FDA2-457A-4364-B53D-6EFBCDF4E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515471</xdr:colOff>
      <xdr:row>36</xdr:row>
      <xdr:rowOff>22412</xdr:rowOff>
    </xdr:from>
    <xdr:to>
      <xdr:col>23</xdr:col>
      <xdr:colOff>229722</xdr:colOff>
      <xdr:row>46</xdr:row>
      <xdr:rowOff>117663</xdr:rowOff>
    </xdr:to>
    <xdr:pic>
      <xdr:nvPicPr>
        <xdr:cNvPr id="2" name="Gráfico 1" descr="Atrás con relleno sólido">
          <a:hlinkClick xmlns:r="http://schemas.openxmlformats.org/officeDocument/2006/relationships" r:id="rId2"/>
          <a:extLst>
            <a:ext uri="{FF2B5EF4-FFF2-40B4-BE49-F238E27FC236}">
              <a16:creationId xmlns:a16="http://schemas.microsoft.com/office/drawing/2014/main" id="{3379C713-A76E-4FCF-ABD3-DD31C3CD724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424647" y="6970059"/>
          <a:ext cx="2000251" cy="2000251"/>
        </a:xfrm>
        <a:prstGeom prst="rect">
          <a:avLst/>
        </a:prstGeom>
      </xdr:spPr>
    </xdr:pic>
    <xdr:clientData/>
  </xdr:twoCellAnchor>
  <xdr:twoCellAnchor editAs="oneCell">
    <xdr:from>
      <xdr:col>22</xdr:col>
      <xdr:colOff>302560</xdr:colOff>
      <xdr:row>0</xdr:row>
      <xdr:rowOff>179294</xdr:rowOff>
    </xdr:from>
    <xdr:to>
      <xdr:col>23</xdr:col>
      <xdr:colOff>454960</xdr:colOff>
      <xdr:row>5</xdr:row>
      <xdr:rowOff>107576</xdr:rowOff>
    </xdr:to>
    <xdr:pic>
      <xdr:nvPicPr>
        <xdr:cNvPr id="8" name="Gráfico 7" descr="Bitcoin con relleno sólido">
          <a:extLst>
            <a:ext uri="{FF2B5EF4-FFF2-40B4-BE49-F238E27FC236}">
              <a16:creationId xmlns:a16="http://schemas.microsoft.com/office/drawing/2014/main" id="{7AA26D0D-8E5E-406E-A016-B4F65C31694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735736" y="179294"/>
          <a:ext cx="914400" cy="914400"/>
        </a:xfrm>
        <a:prstGeom prst="rect">
          <a:avLst/>
        </a:prstGeom>
      </xdr:spPr>
    </xdr:pic>
    <xdr:clientData/>
  </xdr:twoCellAnchor>
  <xdr:twoCellAnchor editAs="oneCell">
    <xdr:from>
      <xdr:col>1</xdr:col>
      <xdr:colOff>297756</xdr:colOff>
      <xdr:row>49</xdr:row>
      <xdr:rowOff>91199</xdr:rowOff>
    </xdr:from>
    <xdr:to>
      <xdr:col>4</xdr:col>
      <xdr:colOff>56029</xdr:colOff>
      <xdr:row>60</xdr:row>
      <xdr:rowOff>167606</xdr:rowOff>
    </xdr:to>
    <xdr:pic>
      <xdr:nvPicPr>
        <xdr:cNvPr id="9" name="Gráfico 8" descr="Bitcoin con relleno sólido">
          <a:extLst>
            <a:ext uri="{FF2B5EF4-FFF2-40B4-BE49-F238E27FC236}">
              <a16:creationId xmlns:a16="http://schemas.microsoft.com/office/drawing/2014/main" id="{782B907B-A773-4031-BEE6-6704E1F2C8F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77050" y="9515346"/>
          <a:ext cx="2044273" cy="2171907"/>
        </a:xfrm>
        <a:prstGeom prst="rect">
          <a:avLst/>
        </a:prstGeom>
      </xdr:spPr>
    </xdr:pic>
    <xdr:clientData/>
  </xdr:twoCellAnchor>
  <xdr:twoCellAnchor editAs="oneCell">
    <xdr:from>
      <xdr:col>0</xdr:col>
      <xdr:colOff>123265</xdr:colOff>
      <xdr:row>61</xdr:row>
      <xdr:rowOff>187758</xdr:rowOff>
    </xdr:from>
    <xdr:to>
      <xdr:col>4</xdr:col>
      <xdr:colOff>101789</xdr:colOff>
      <xdr:row>71</xdr:row>
      <xdr:rowOff>69637</xdr:rowOff>
    </xdr:to>
    <xdr:pic>
      <xdr:nvPicPr>
        <xdr:cNvPr id="10" name="Gráfico 9" descr="Indicador con relleno sólido">
          <a:extLst>
            <a:ext uri="{FF2B5EF4-FFF2-40B4-BE49-F238E27FC236}">
              <a16:creationId xmlns:a16="http://schemas.microsoft.com/office/drawing/2014/main" id="{59555E30-5F95-48B5-9D23-ADB9CC353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3265" y="11897905"/>
          <a:ext cx="2443818" cy="178687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266700</xdr:colOff>
      <xdr:row>17</xdr:row>
      <xdr:rowOff>114300</xdr:rowOff>
    </xdr:from>
    <xdr:to>
      <xdr:col>13</xdr:col>
      <xdr:colOff>21772</xdr:colOff>
      <xdr:row>28</xdr:row>
      <xdr:rowOff>19051</xdr:rowOff>
    </xdr:to>
    <xdr:pic>
      <xdr:nvPicPr>
        <xdr:cNvPr id="2" name="Gráfico 1" descr="Atrás con relleno sólido">
          <a:hlinkClick xmlns:r="http://schemas.openxmlformats.org/officeDocument/2006/relationships" r:id="rId1"/>
          <a:extLst>
            <a:ext uri="{FF2B5EF4-FFF2-40B4-BE49-F238E27FC236}">
              <a16:creationId xmlns:a16="http://schemas.microsoft.com/office/drawing/2014/main" id="{8BE86547-5BBD-4702-A531-6CEA2F03528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229975" y="3381375"/>
          <a:ext cx="2000251" cy="20002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914400</xdr:colOff>
      <xdr:row>18</xdr:row>
      <xdr:rowOff>95250</xdr:rowOff>
    </xdr:from>
    <xdr:to>
      <xdr:col>13</xdr:col>
      <xdr:colOff>66676</xdr:colOff>
      <xdr:row>29</xdr:row>
      <xdr:rowOff>1</xdr:rowOff>
    </xdr:to>
    <xdr:pic>
      <xdr:nvPicPr>
        <xdr:cNvPr id="2" name="Gráfico 1" descr="Atrás con relleno sólido">
          <a:hlinkClick xmlns:r="http://schemas.openxmlformats.org/officeDocument/2006/relationships" r:id="rId1"/>
          <a:extLst>
            <a:ext uri="{FF2B5EF4-FFF2-40B4-BE49-F238E27FC236}">
              <a16:creationId xmlns:a16="http://schemas.microsoft.com/office/drawing/2014/main" id="{30378D13-0B00-4AFD-A7D0-468D333816D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87100" y="3552825"/>
          <a:ext cx="2000251" cy="20002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561975</xdr:colOff>
      <xdr:row>17</xdr:row>
      <xdr:rowOff>161925</xdr:rowOff>
    </xdr:from>
    <xdr:to>
      <xdr:col>11</xdr:col>
      <xdr:colOff>952501</xdr:colOff>
      <xdr:row>28</xdr:row>
      <xdr:rowOff>66676</xdr:rowOff>
    </xdr:to>
    <xdr:pic>
      <xdr:nvPicPr>
        <xdr:cNvPr id="2" name="Gráfico 1" descr="Atrás con relleno sólido">
          <a:hlinkClick xmlns:r="http://schemas.openxmlformats.org/officeDocument/2006/relationships" r:id="rId1"/>
          <a:extLst>
            <a:ext uri="{FF2B5EF4-FFF2-40B4-BE49-F238E27FC236}">
              <a16:creationId xmlns:a16="http://schemas.microsoft.com/office/drawing/2014/main" id="{9F989499-27FD-4BBC-B0B9-4341F653FA8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896600" y="3429000"/>
          <a:ext cx="2000251" cy="200025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5773.532132870372" createdVersion="8" refreshedVersion="8" minRefreshableVersion="3" recordCount="1001" xr:uid="{640EF3CD-2BC9-4A03-B4BB-F8CB7A2C539E}">
  <cacheSource type="worksheet">
    <worksheetSource ref="A1:M1002" sheet="Tabla Base"/>
  </cacheSource>
  <cacheFields count="16">
    <cacheField name="id_fecha" numFmtId="0">
      <sharedItems containsSemiMixedTypes="0" containsString="0" containsNumber="1" containsInteger="1" minValue="1" maxValue="1001"/>
    </cacheField>
    <cacheField name="mes/ año" numFmtId="0">
      <sharedItems count="33">
        <s v="jul/22"/>
        <s v="ago/22"/>
        <s v="sep/22"/>
        <s v="oct/22"/>
        <s v="nov/22"/>
        <s v="dic/22"/>
        <s v="ene/23"/>
        <s v="feb/23"/>
        <s v="mar/23"/>
        <s v="abr/23"/>
        <s v="may/23"/>
        <s v="jun/23"/>
        <s v="jul/23"/>
        <s v="ago/23"/>
        <s v="sep/23"/>
        <s v="oct/23"/>
        <s v="nov/23"/>
        <s v="dic/23"/>
        <s v="ene/24"/>
        <s v="feb/24"/>
        <s v="mar/24"/>
        <s v="abr/24"/>
        <s v="may/24"/>
        <s v="jun/24"/>
        <s v="jul/24"/>
        <s v="ago/24"/>
        <s v="sep/24"/>
        <s v="oct/24"/>
        <s v="nov/24"/>
        <s v="dic/24"/>
        <s v="ene/25"/>
        <s v="feb/25"/>
        <s v="mar/25"/>
      </sharedItems>
    </cacheField>
    <cacheField name="fecha" numFmtId="14">
      <sharedItems containsSemiMixedTypes="0" containsNonDate="0" containsDate="1" containsString="0" minDate="2022-07-04T00:00:00" maxDate="2025-03-31T00:00:00" count="1001">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sharedItems>
      <fieldGroup par="15"/>
    </cacheField>
    <cacheField name="dia_semana" numFmtId="0">
      <sharedItems count="7">
        <s v="lunes"/>
        <s v="martes"/>
        <s v="miércoles"/>
        <s v="jueves"/>
        <s v="viernes"/>
        <s v="sábado"/>
        <s v="domingo"/>
      </sharedItems>
    </cacheField>
    <cacheField name="mercado_abierto" numFmtId="0">
      <sharedItems count="2">
        <s v="Cerrado"/>
        <s v=" Abierto"/>
      </sharedItems>
    </cacheField>
    <cacheField name="categoria" numFmtId="0">
      <sharedItems count="4">
        <s v="Miedo Extremo"/>
        <s v="Miedo"/>
        <s v="Codicia"/>
        <s v="Codicia Extrema"/>
      </sharedItems>
    </cacheField>
    <cacheField name="index" numFmtId="0">
      <sharedItems containsSemiMixedTypes="0" containsString="0" containsNumber="1" containsInteger="1" minValue="10" maxValue="94" count="76">
        <n v="14"/>
        <n v="19"/>
        <n v="18"/>
        <n v="20"/>
        <n v="24"/>
        <n v="22"/>
        <n v="16"/>
        <n v="15"/>
        <n v="21"/>
        <n v="30"/>
        <n v="31"/>
        <n v="34"/>
        <n v="33"/>
        <n v="26"/>
        <n v="28"/>
        <n v="32"/>
        <n v="39"/>
        <n v="42"/>
        <n v="41"/>
        <n v="46"/>
        <n v="47"/>
        <n v="45"/>
        <n v="44"/>
        <n v="29"/>
        <n v="27"/>
        <n v="25"/>
        <n v="23"/>
        <n v="38"/>
        <n v="40"/>
        <n v="52"/>
        <n v="51"/>
        <n v="53"/>
        <n v="50"/>
        <n v="54"/>
        <n v="55"/>
        <n v="61"/>
        <n v="56"/>
        <n v="60"/>
        <n v="58"/>
        <n v="48"/>
        <n v="49"/>
        <n v="62"/>
        <n v="59"/>
        <n v="64"/>
        <n v="63"/>
        <n v="66"/>
        <n v="68"/>
        <n v="57"/>
        <n v="65"/>
        <n v="69"/>
        <n v="37"/>
        <n v="43"/>
        <n v="72"/>
        <n v="71"/>
        <n v="70"/>
        <n v="74"/>
        <n v="73"/>
        <n v="75"/>
        <n v="67"/>
        <n v="76"/>
        <n v="79"/>
        <n v="78"/>
        <n v="82"/>
        <n v="80"/>
        <n v="83"/>
        <n v="90"/>
        <n v="81"/>
        <n v="84"/>
        <n v="88"/>
        <n v="77"/>
        <n v="17"/>
        <n v="86"/>
        <n v="94"/>
        <n v="93"/>
        <n v="87"/>
        <n v="10"/>
      </sharedItems>
    </cacheField>
    <cacheField name="id_noticia" numFmtId="0">
      <sharedItems containsMixedTypes="1" containsNumber="1" containsInteger="1" minValue="1" maxValue="20" count="21">
        <n v="1"/>
        <s v="-"/>
        <n v="2"/>
        <n v="3"/>
        <n v="4"/>
        <n v="5"/>
        <n v="6"/>
        <n v="7"/>
        <n v="8"/>
        <n v="9"/>
        <n v="10"/>
        <n v="11"/>
        <n v="12"/>
        <n v="13"/>
        <n v="14"/>
        <n v="15"/>
        <n v="16"/>
        <n v="17"/>
        <n v="18"/>
        <n v="19"/>
        <n v="20"/>
      </sharedItems>
    </cacheField>
    <cacheField name="cierre IRX" numFmtId="2">
      <sharedItems containsSemiMixedTypes="0" containsString="0" containsNumber="1" minValue="1.62999999523162" maxValue="5.34800004959106"/>
    </cacheField>
    <cacheField name="cierre GOLD" numFmtId="44">
      <sharedItems containsSemiMixedTypes="0" containsString="0" containsNumber="1" minValue="1623.30004882812" maxValue="3086.5"/>
    </cacheField>
    <cacheField name="cierre BTC" numFmtId="44">
      <sharedItems containsSemiMixedTypes="0" containsString="0" containsNumber="1" minValue="15787.28" maxValue="106146.27" count="1001">
        <n v="20231.259999999998"/>
        <n v="20190.12"/>
        <n v="20548.25"/>
        <n v="21637.59"/>
        <n v="21731.119999999999"/>
        <n v="21592.21"/>
        <n v="20860.45"/>
        <n v="19970.560000000001"/>
        <n v="19323.91"/>
        <n v="20212.07"/>
        <n v="20569.919999999998"/>
        <n v="20836.330000000002"/>
        <n v="21190.32"/>
        <n v="20779.34"/>
        <n v="22485.69"/>
        <n v="23389.43"/>
        <n v="23231.73"/>
        <n v="23164.63"/>
        <n v="22714.98"/>
        <n v="22465.48"/>
        <n v="22609.16"/>
        <n v="21361.7"/>
        <n v="21239.75"/>
        <n v="22930.55"/>
        <n v="23843.89"/>
        <n v="23804.63"/>
        <n v="23656.21"/>
        <n v="23336.9"/>
        <n v="23314.2"/>
        <n v="22978.12"/>
        <n v="22846.51"/>
        <n v="22630.959999999999"/>
        <n v="23289.31"/>
        <n v="22961.279999999999"/>
        <n v="23175.89"/>
        <n v="23809.49"/>
        <n v="23164.32"/>
        <n v="23947.64"/>
        <n v="23957.53"/>
        <n v="24402.82"/>
        <n v="24424.07"/>
        <n v="24319.33"/>
        <n v="24136.97"/>
        <n v="23883.29"/>
        <n v="23336"/>
        <n v="23212.74"/>
        <n v="20877.55"/>
        <n v="21166.06"/>
        <n v="21534.12"/>
        <n v="21398.91"/>
        <n v="21528.09"/>
        <n v="21395.02"/>
        <n v="21600.9"/>
        <n v="20260.02"/>
        <n v="20041.740000000002"/>
        <n v="19616.810000000001"/>
        <n v="20297.990000000002"/>
        <n v="19796.810000000001"/>
        <n v="20049.759999999998"/>
        <n v="20127.14"/>
        <n v="19969.77"/>
        <n v="19832.09"/>
        <n v="19986.71"/>
        <n v="19812.37"/>
        <n v="18837.669999999998"/>
        <n v="19290.32"/>
        <n v="19329.830000000002"/>
        <n v="21381.15"/>
        <n v="21680.54"/>
        <n v="21769.26"/>
        <n v="22370.45"/>
        <n v="20296.71"/>
        <n v="20241.09"/>
        <n v="19701.21"/>
        <n v="19772.580000000002"/>
        <n v="20127.580000000002"/>
        <n v="19419.509999999998"/>
        <n v="19544.13"/>
        <n v="18890.79"/>
        <n v="18547.400000000001"/>
        <n v="19413.55"/>
        <n v="19297.64"/>
        <n v="18937.009999999998"/>
        <n v="18802.099999999999"/>
        <n v="19222.669999999998"/>
        <n v="19110.55"/>
        <n v="19426.72"/>
        <n v="19573.05"/>
        <n v="19431.79"/>
        <n v="19312.099999999999"/>
        <n v="19044.11"/>
        <n v="19623.580000000002"/>
        <n v="20336.84"/>
        <n v="20160.72"/>
        <n v="19955.439999999999"/>
        <n v="19546.849999999999"/>
        <n v="19416.57"/>
        <n v="19446.43"/>
        <n v="19141.48"/>
        <n v="19051.419999999998"/>
        <n v="19157.45"/>
        <n v="19382.900000000001"/>
        <n v="19185.66"/>
        <n v="19067.63"/>
        <n v="19268.09"/>
        <n v="19550.759999999998"/>
        <n v="19334.419999999998"/>
        <n v="19139.54"/>
        <n v="19053.740000000002"/>
        <n v="19172.47"/>
        <n v="19208.189999999999"/>
        <n v="19567.009999999998"/>
        <n v="19345.57"/>
        <n v="20095.86"/>
        <n v="20770.439999999999"/>
        <n v="20285.84"/>
        <n v="20595.349999999999"/>
        <n v="20818.48"/>
        <n v="20635.599999999999"/>
        <n v="20495.77"/>
        <n v="20485.27"/>
        <n v="20159.5"/>
        <n v="20209.990000000002"/>
        <n v="21147.23"/>
        <n v="21282.69"/>
        <n v="20926.490000000002"/>
        <n v="20602.82"/>
        <n v="18541.27"/>
        <n v="15880.78"/>
        <n v="17586.77"/>
        <n v="17034.29"/>
        <n v="16799.189999999999"/>
        <n v="16353.37"/>
        <n v="16618.2"/>
        <n v="16884.61"/>
        <n v="16669.439999999999"/>
        <n v="16687.52"/>
        <n v="16697.78"/>
        <n v="16711.55"/>
        <n v="16291.83"/>
        <n v="15787.28"/>
        <n v="16189.77"/>
        <n v="16610.71"/>
        <n v="16604.46"/>
        <n v="16521.84"/>
        <n v="16464.28"/>
        <n v="16444.63"/>
        <n v="16217.32"/>
        <n v="16444.98"/>
        <n v="17168.57"/>
        <n v="16967.13"/>
        <n v="17088.66"/>
        <n v="16908.240000000002"/>
        <n v="17130.490000000002"/>
        <n v="16974.830000000002"/>
        <n v="17089.5"/>
        <n v="16848.13"/>
        <n v="17233.47"/>
        <n v="17133.150000000001"/>
        <n v="17128.72"/>
        <n v="17104.189999999999"/>
        <n v="17206.439999999999"/>
        <n v="17781.32"/>
        <n v="17815.650000000001"/>
        <n v="17364.87"/>
        <n v="16647.48"/>
        <n v="16795.09"/>
        <n v="16757.98"/>
        <n v="16439.68"/>
        <n v="16906.3"/>
        <n v="16817.54"/>
        <n v="16830.34"/>
        <n v="16796.95"/>
        <n v="16847.759999999998"/>
        <n v="16841.990000000002"/>
        <n v="16919.8"/>
        <n v="16717.169999999998"/>
        <n v="16552.57"/>
        <n v="16642.34"/>
        <n v="16602.59"/>
        <n v="16547.5"/>
        <n v="16625.080000000002"/>
        <n v="16688.47"/>
        <n v="16679.86"/>
        <n v="16863.240000000002"/>
        <n v="16836.740000000002"/>
        <n v="16951.97"/>
        <n v="16955.080000000002"/>
        <n v="17091.14"/>
        <n v="17196.55"/>
        <n v="17446.29"/>
        <n v="17934.900000000001"/>
        <n v="18869.59"/>
        <n v="19909.57"/>
        <n v="20976.3"/>
        <n v="20880.8"/>
        <n v="21169.63"/>
        <n v="21161.52"/>
        <n v="20688.78"/>
        <n v="21086.79"/>
        <n v="22676.55"/>
        <n v="22777.63"/>
        <n v="22720.42"/>
        <n v="22934.43"/>
        <n v="22636.47"/>
        <n v="23117.86"/>
        <n v="23032.78"/>
        <n v="23078.73"/>
        <n v="23031.09"/>
        <n v="23774.57"/>
        <n v="22840.14"/>
        <n v="23139.279999999999"/>
        <n v="23723.77"/>
        <n v="23471.87"/>
        <n v="23449.32"/>
        <n v="23331.85"/>
        <n v="22955.67"/>
        <n v="22760.11"/>
        <n v="23264.29"/>
        <n v="22939.4"/>
        <n v="21819.040000000001"/>
        <n v="21651.18"/>
        <n v="21870.880000000001"/>
        <n v="21788.2"/>
        <n v="21808.1"/>
        <n v="22220.799999999999"/>
        <n v="24307.84"/>
        <n v="23623.47"/>
        <n v="24565.599999999999"/>
        <n v="24641.279999999999"/>
        <n v="24327.64"/>
        <n v="24829.15"/>
        <n v="24436.35"/>
        <n v="24188.84"/>
        <n v="23947.49"/>
        <n v="23198.13"/>
        <n v="23175.38"/>
        <n v="23561.21"/>
        <n v="23522.87"/>
        <n v="23147.35"/>
        <n v="23646.55"/>
        <n v="23475.47"/>
        <n v="22362.68"/>
        <n v="22353.35"/>
        <n v="22435.51"/>
        <n v="22429.759999999998"/>
        <n v="22219.77"/>
        <n v="21718.080000000002"/>
        <n v="20363.02"/>
        <n v="20187.240000000002"/>
        <n v="20632.41"/>
        <n v="22163.95"/>
        <n v="24197.53"/>
        <n v="24746.07"/>
        <n v="24375.96"/>
        <n v="25052.79"/>
        <n v="27423.93"/>
        <n v="26965.88"/>
        <n v="28038.68"/>
        <n v="27767.24"/>
        <n v="28175.82"/>
        <n v="27307.439999999999"/>
        <n v="28333.97"/>
        <n v="27493.29"/>
        <n v="27494.71"/>
        <n v="27994.33"/>
        <n v="27139.89"/>
        <n v="27268.13"/>
        <n v="28348.44"/>
        <n v="28033.56"/>
        <n v="28478.48"/>
        <n v="28411.040000000001"/>
        <n v="28199.31"/>
        <n v="27790.22"/>
        <n v="28168.09"/>
        <n v="28177.98"/>
        <n v="28044.14"/>
        <n v="27925.86"/>
        <n v="27947.79"/>
        <n v="28333.05"/>
        <n v="29652.98"/>
        <n v="30235.06"/>
        <n v="30139.05"/>
        <n v="30399.07"/>
        <n v="30485.7"/>
        <n v="30318.5"/>
        <n v="30315.360000000001"/>
        <n v="29445.040000000001"/>
        <n v="30397.55"/>
        <n v="28822.68"/>
        <n v="28245.99"/>
        <n v="27276.91"/>
        <n v="27817.5"/>
        <n v="27591.38"/>
        <n v="27525.34"/>
        <n v="28307.599999999999"/>
        <n v="28422.7"/>
        <n v="29473.79"/>
        <n v="29340.26"/>
        <n v="29248.49"/>
        <n v="29268.81"/>
        <n v="28091.57"/>
        <n v="28680.54"/>
        <n v="29006.31"/>
        <n v="28847.71"/>
        <n v="29534.38"/>
        <n v="28904.62"/>
        <n v="28454.98"/>
        <n v="27694.27"/>
        <n v="27658.78"/>
        <n v="27621.759999999998"/>
        <n v="27000.79"/>
        <n v="26804.99"/>
        <n v="26784.080000000002"/>
        <n v="26930.639999999999"/>
        <n v="27192.69"/>
        <n v="27036.65"/>
        <n v="27398.799999999999"/>
        <n v="26832.21"/>
        <n v="26890.13"/>
        <n v="27129.59"/>
        <n v="26753.83"/>
        <n v="26851.279999999999"/>
        <n v="27225.73"/>
        <n v="26334.82"/>
        <n v="26476.21"/>
        <n v="26719.29"/>
        <n v="26868.35"/>
        <n v="28085.65"/>
        <n v="27745.88"/>
        <n v="27702.35"/>
        <n v="27219.66"/>
        <n v="26819.97"/>
        <n v="27249.59"/>
        <n v="27075.13"/>
        <n v="27119.07"/>
        <n v="25760.1"/>
        <n v="27238.78"/>
        <n v="26346"/>
        <n v="26508.22"/>
        <n v="26480.38"/>
        <n v="25851.24"/>
        <n v="25940.17"/>
        <n v="25902.5"/>
        <n v="25918.73"/>
        <n v="25124.68"/>
        <n v="25576.39"/>
        <n v="26327.46"/>
        <n v="26510.68"/>
        <n v="26336.21"/>
        <n v="26851.03"/>
        <n v="28327.49"/>
        <n v="30027.3"/>
        <n v="29912.28"/>
        <n v="30695.47"/>
        <n v="30548.7"/>
        <n v="30480.26"/>
        <n v="30271.13"/>
        <n v="30688.16"/>
        <n v="30086.25"/>
        <n v="30445.35"/>
        <n v="30477.25"/>
        <n v="30590.080000000002"/>
        <n v="30620.77"/>
        <n v="31156.44"/>
        <n v="30777.58"/>
        <n v="30514.17"/>
        <n v="29909.34"/>
        <n v="30342.27"/>
        <n v="30292.54"/>
        <n v="30171.23"/>
        <n v="30414.47"/>
        <n v="30620.95"/>
        <n v="30391.65"/>
        <n v="31476.05"/>
        <n v="30334.07"/>
        <n v="30295.81"/>
        <n v="30249.13"/>
        <n v="30145.89"/>
        <n v="29856.560000000001"/>
        <n v="29913.919999999998"/>
        <n v="29792.02"/>
        <n v="29908.74"/>
        <n v="29771.8"/>
        <n v="30084.54"/>
        <n v="29176.92"/>
        <n v="29227.39"/>
        <n v="29354.97"/>
        <n v="29210.69"/>
        <n v="29319.25"/>
        <n v="29356.92"/>
        <n v="29275.31"/>
        <n v="29230.11"/>
        <n v="29675.73"/>
        <n v="29151.96"/>
        <n v="29178.68"/>
        <n v="29074.09"/>
        <n v="29042.13"/>
        <n v="29041.86"/>
        <n v="29180.58"/>
        <n v="29765.49"/>
        <n v="29561.49"/>
        <n v="29429.59"/>
        <n v="29397.71"/>
        <n v="29415.96"/>
        <n v="29282.91"/>
        <n v="29408.44"/>
        <n v="29170.35"/>
        <n v="28701.78"/>
        <n v="26664.55"/>
        <n v="26049.56"/>
        <n v="26096.21"/>
        <n v="26189.58"/>
        <n v="26124.14"/>
        <n v="26031.66"/>
        <n v="26431.64"/>
        <n v="26162.37"/>
        <n v="26047.67"/>
        <n v="26008.46"/>
        <n v="26089.69"/>
        <n v="26106.15"/>
        <n v="27727.39"/>
        <n v="27297.27"/>
        <n v="25931.47"/>
        <n v="25800.720000000001"/>
        <n v="25868.799999999999"/>
        <n v="25969.57"/>
        <n v="25812.42"/>
        <n v="25779.98"/>
        <n v="25753.24"/>
        <n v="26240.2"/>
        <n v="25905.65"/>
        <n v="25895.68"/>
        <n v="25832.23"/>
        <n v="25162.65"/>
        <n v="25833.34"/>
        <n v="26228.32"/>
        <n v="26539.67"/>
        <n v="26608.69"/>
        <n v="26568.28"/>
        <n v="26534.19"/>
        <n v="26754.28"/>
        <n v="27211.119999999999"/>
        <n v="27132.01"/>
        <n v="26567.63"/>
        <n v="26579.57"/>
        <n v="26579.39"/>
        <n v="26256.83"/>
        <n v="26298.48"/>
        <n v="26217.25"/>
        <n v="26352.720000000001"/>
        <n v="27021.55"/>
        <n v="26911.72"/>
        <n v="26967.919999999998"/>
        <n v="27983.75"/>
        <n v="27530.79"/>
        <n v="27429.98"/>
        <n v="27799.39"/>
        <n v="27415.91"/>
        <n v="27946.6"/>
        <n v="27968.84"/>
        <n v="27935.09"/>
        <n v="27583.68"/>
        <n v="27391.02"/>
        <n v="26873.32"/>
        <n v="26756.799999999999"/>
        <n v="26862.38"/>
        <n v="26861.71"/>
        <n v="27159.65"/>
        <n v="28519.47"/>
        <n v="28415.75"/>
        <n v="28328.34"/>
        <n v="28719.81"/>
        <n v="29682.95"/>
        <n v="29918.41"/>
        <n v="29993.9"/>
        <n v="33086.230000000003"/>
        <n v="33901.53"/>
        <n v="34502.82"/>
        <n v="34156.65"/>
        <n v="33909.800000000003"/>
        <n v="34089.57"/>
        <n v="34538.480000000003"/>
        <n v="34502.36"/>
        <n v="34667.78"/>
        <n v="35437.25"/>
        <n v="34938.239999999998"/>
        <n v="34732.32"/>
        <n v="35082.199999999997"/>
        <n v="35049.360000000001"/>
        <n v="35037.370000000003"/>
        <n v="35443.56"/>
        <n v="35655.279999999999"/>
        <n v="36693.129999999997"/>
        <n v="37313.97"/>
        <n v="37138.050000000003"/>
        <n v="37054.519999999997"/>
        <n v="36502.36"/>
        <n v="35537.64"/>
        <n v="37880.58"/>
        <n v="36154.769999999997"/>
        <n v="36596.68"/>
        <n v="36585.699999999997"/>
        <n v="37386.550000000003"/>
        <n v="37476.959999999999"/>
        <n v="35813.81"/>
        <n v="37432.339999999997"/>
        <n v="37289.620000000003"/>
        <n v="37720.28"/>
        <n v="37796.79"/>
        <n v="37479.120000000003"/>
        <n v="37254.17"/>
        <n v="37831.089999999997"/>
        <n v="37858.49"/>
        <n v="37712.75"/>
        <n v="38688.75"/>
        <n v="39476.33"/>
        <n v="39978.39"/>
        <n v="41980.1"/>
        <n v="44080.65"/>
        <n v="43746.45"/>
        <n v="43292.66"/>
        <n v="44166.6"/>
        <n v="43725.98"/>
        <n v="43779.7"/>
        <n v="41243.83"/>
        <n v="41450.22"/>
        <n v="42890.74"/>
        <n v="43023.97"/>
        <n v="41929.760000000002"/>
        <n v="42240.12"/>
        <n v="41364.660000000003"/>
        <n v="42623.54"/>
        <n v="42270.53"/>
        <n v="43652.25"/>
        <n v="43869.15"/>
        <n v="43997.9"/>
        <n v="43739.54"/>
        <n v="43016.12"/>
        <n v="43613.14"/>
        <n v="42520.4"/>
        <n v="43442.86"/>
        <n v="42627.86"/>
        <n v="42099.4"/>
        <n v="42156.9"/>
        <n v="42265.19"/>
        <n v="44167.33"/>
        <n v="44957.97"/>
        <n v="42848.18"/>
        <n v="44179.92"/>
        <n v="44162.69"/>
        <n v="43989.2"/>
        <n v="43943.1"/>
        <n v="46970.5"/>
        <n v="46139.73"/>
        <n v="46627.78"/>
        <n v="46368.59"/>
        <n v="42853.17"/>
        <n v="42842.38"/>
        <n v="41796.269999999997"/>
        <n v="42511.97"/>
        <n v="43154.95"/>
        <n v="42742.65"/>
        <n v="41262.06"/>
        <n v="41618.410000000003"/>
        <n v="41665.589999999997"/>
        <n v="41545.79"/>
        <n v="39507.370000000003"/>
        <n v="39845.550000000003"/>
        <n v="40077.07"/>
        <n v="39933.81"/>
        <n v="41816.870000000003"/>
        <n v="42120.05"/>
        <n v="42035.59"/>
        <n v="43288.25"/>
        <n v="42952.61"/>
        <n v="42582.61"/>
        <n v="43075.77"/>
        <n v="43185.86"/>
        <n v="42992.25"/>
        <n v="42583.58"/>
        <n v="42658.67"/>
        <n v="43084.67"/>
        <n v="44318.22"/>
        <n v="45301.57"/>
        <n v="47147.199999999997"/>
        <n v="47771.28"/>
        <n v="48293.919999999998"/>
        <n v="49958.22"/>
        <n v="49742.44"/>
        <n v="51826.7"/>
        <n v="51938.55"/>
        <n v="52160.2"/>
        <n v="51663"/>
        <n v="52122.55"/>
        <n v="51779.14"/>
        <n v="52284.88"/>
        <n v="51839.18"/>
        <n v="51304.97"/>
        <n v="50731.95"/>
        <n v="51571.1"/>
        <n v="51733.24"/>
        <n v="54522.400000000001"/>
        <n v="57085.37"/>
        <n v="62504.79"/>
        <n v="61198.38"/>
        <n v="62440.63"/>
        <n v="62029.85"/>
        <n v="63167.37"/>
        <n v="68330.41"/>
        <n v="63801.2"/>
        <n v="66106.8"/>
        <n v="66925.48"/>
        <n v="68300.09"/>
        <n v="68498.880000000005"/>
        <n v="69019.789999999994"/>
        <n v="72123.91"/>
        <n v="71481.289999999994"/>
        <n v="73083.5"/>
        <n v="71396.59"/>
        <n v="69403.77"/>
        <n v="65315.12"/>
        <n v="68390.63"/>
        <n v="67548.59"/>
        <n v="61912.77"/>
        <n v="67913.67"/>
        <n v="65491.39"/>
        <n v="63778.76"/>
        <n v="64062.2"/>
        <n v="67234.17"/>
        <n v="69958.81"/>
        <n v="69987.839999999997"/>
        <n v="69455.34"/>
        <n v="70744.95"/>
        <n v="69892.83"/>
        <n v="69645.3"/>
        <n v="71333.649999999994"/>
        <n v="69702.149999999994"/>
        <n v="65446.97"/>
        <n v="65980.81"/>
        <n v="68508.84"/>
        <n v="67837.64"/>
        <n v="68896.11"/>
        <n v="69362.55"/>
        <n v="71631.360000000001"/>
        <n v="69139.02"/>
        <n v="70587.88"/>
        <n v="70060.61"/>
        <n v="67195.87"/>
        <n v="63821.47"/>
        <n v="65738.73"/>
        <n v="63426.21"/>
        <n v="63811.86"/>
        <n v="61276.69"/>
        <n v="63512.75"/>
        <n v="63843.57"/>
        <n v="64994.44"/>
        <n v="64926.64"/>
        <n v="66837.679999999993"/>
        <n v="66407.27"/>
        <n v="64276.9"/>
        <n v="64481.71"/>
        <n v="63755.32"/>
        <n v="63419.14"/>
        <n v="63113.23"/>
        <n v="63841.120000000003"/>
        <n v="60636.86"/>
        <n v="58254.01"/>
        <n v="59123.43"/>
        <n v="62889.84"/>
        <n v="63891.47"/>
        <n v="64031.13"/>
        <n v="63161.95"/>
        <n v="62334.82"/>
        <n v="61187.94"/>
        <n v="63049.96"/>
        <n v="60792.78"/>
        <n v="60793.71"/>
        <n v="61448.39"/>
        <n v="62901.45"/>
        <n v="61552.79"/>
        <n v="66267.490000000005"/>
        <n v="65231.58"/>
        <n v="67051.88"/>
        <n v="66940.800000000003"/>
        <n v="66278.37"/>
        <n v="71448.2"/>
        <n v="70136.53"/>
        <n v="69122.34"/>
        <n v="67929.56"/>
        <n v="68526.100000000006"/>
        <n v="69265.95"/>
        <n v="68518.09"/>
        <n v="69394.55"/>
        <n v="68296.22"/>
        <n v="67578.09"/>
        <n v="68364.990000000005"/>
        <n v="67491.41"/>
        <n v="67706.94"/>
        <n v="67751.600000000006"/>
        <n v="68804.78"/>
        <n v="70567.77"/>
        <n v="71082.820000000007"/>
        <n v="70757.16"/>
        <n v="69342.59"/>
        <n v="69305.77"/>
        <n v="69647.990000000005"/>
        <n v="69512.28"/>
        <n v="67332.03"/>
        <n v="68241.19"/>
        <n v="66756.399999999994"/>
        <n v="66011.09"/>
        <n v="66191"/>
        <n v="66639.05"/>
        <n v="66490.3"/>
        <n v="65140.75"/>
        <n v="64960.3"/>
        <n v="64828.66"/>
        <n v="64096.2"/>
        <n v="64252.58"/>
        <n v="63180.800000000003"/>
        <n v="60277.41"/>
        <n v="61804.639999999999"/>
        <n v="60811.28"/>
        <n v="61604.800000000003"/>
        <n v="60320.14"/>
        <n v="60887.38"/>
        <n v="62678.29"/>
        <n v="62851.98"/>
        <n v="62029.02"/>
        <n v="60173.919999999998"/>
        <n v="56977.7"/>
        <n v="56662.38"/>
        <n v="58303.54"/>
        <n v="55849.11"/>
        <n v="56705.1"/>
        <n v="58009.23"/>
        <n v="57742.5"/>
        <n v="57344.91"/>
        <n v="57899.46"/>
        <n v="59231.95"/>
        <n v="60787.79"/>
        <n v="64870.15"/>
        <n v="65097.15"/>
        <n v="64118.79"/>
        <n v="63974.07"/>
        <n v="66710.16"/>
        <n v="67163.649999999994"/>
        <n v="68154.52"/>
        <n v="67585.25"/>
        <n v="65927.67"/>
        <n v="65372.13"/>
        <n v="65777.23"/>
        <n v="67912.06"/>
        <n v="67813.34"/>
        <n v="68255.87"/>
        <n v="66819.91"/>
        <n v="66201.02"/>
        <n v="64619.25"/>
        <n v="65357.5"/>
        <n v="61415.07"/>
        <n v="60680.09"/>
        <n v="58116.98"/>
        <n v="53991.46"/>
        <n v="56034.32"/>
        <n v="55027.46"/>
        <n v="61710.14"/>
        <n v="60880.11"/>
        <n v="60945.81"/>
        <n v="58719.48"/>
        <n v="59354.52"/>
        <n v="60609.57"/>
        <n v="58737.27"/>
        <n v="57560.1"/>
        <n v="58894.11"/>
        <n v="59478.97"/>
        <n v="58483.96"/>
        <n v="59493.45"/>
        <n v="59012.79"/>
        <n v="61175.19"/>
        <n v="60381.91"/>
        <n v="64094.36"/>
        <n v="64178.99"/>
        <n v="64333.54"/>
        <n v="62880.66"/>
        <n v="59504.13"/>
        <n v="59027.63"/>
        <n v="59388.18"/>
        <n v="59119.48"/>
        <n v="58969.9"/>
        <n v="57325.49"/>
        <n v="59112.480000000003"/>
        <n v="57431.02"/>
        <n v="57971.54"/>
        <n v="56160.49"/>
        <n v="53948.75"/>
        <n v="54139.69"/>
        <n v="54841.57"/>
        <n v="57019.54"/>
        <n v="57648.71"/>
        <n v="57343.17"/>
        <n v="58127.01"/>
        <n v="60571.3"/>
        <n v="60005.120000000003"/>
        <n v="59182.84"/>
        <n v="58192.51"/>
        <n v="60308.54"/>
        <n v="61649.68"/>
        <n v="62940.46"/>
        <n v="63192.98"/>
        <n v="63394.84"/>
        <n v="63648.71"/>
        <n v="63329.8"/>
        <n v="64301.97"/>
        <n v="63143.14"/>
        <n v="65181.02"/>
        <n v="65790.66"/>
        <n v="65887.649999999994"/>
        <n v="65635.3"/>
        <n v="63329.5"/>
        <n v="60837.01"/>
        <n v="60632.79"/>
        <n v="60759.4"/>
        <n v="62067.48"/>
        <n v="62089.95"/>
        <n v="62818.95"/>
        <n v="62236.66"/>
        <n v="62131.97"/>
        <n v="60582.1"/>
        <n v="60274.5"/>
        <n v="62445.09"/>
        <n v="63193.02"/>
        <n v="62851.38"/>
        <n v="66046.13"/>
        <n v="67041.11"/>
        <n v="67612.72"/>
        <n v="67399.839999999997"/>
        <n v="68418.789999999994"/>
        <n v="68362.73"/>
        <n v="69001.7"/>
        <n v="67367.850000000006"/>
        <n v="67361.41"/>
        <n v="66432.2"/>
        <n v="68161.05"/>
        <n v="66642.41"/>
        <n v="67014.7"/>
        <n v="67929.3"/>
        <n v="69907.759999999995"/>
        <n v="72720.490000000005"/>
        <n v="72339.539999999994"/>
        <n v="70215.19"/>
        <n v="69482.47"/>
        <n v="69289.27"/>
        <n v="68741.119999999995"/>
        <n v="67811.509999999995"/>
        <n v="69359.56"/>
        <n v="75639.08"/>
        <n v="75904.86"/>
        <n v="76545.48"/>
        <n v="76778.87"/>
        <n v="80474.19"/>
        <n v="88701.48"/>
        <n v="87955.81"/>
        <n v="90584.16"/>
        <n v="87250.43"/>
        <n v="91066.01"/>
        <n v="90558.48"/>
        <n v="89845.85"/>
        <n v="90542.64"/>
        <n v="92343.79"/>
        <n v="94339.49"/>
        <n v="98504.73"/>
        <n v="98997.66"/>
        <n v="97777.279999999999"/>
        <n v="98013.82"/>
        <n v="93102.3"/>
        <n v="91985.32"/>
        <n v="95962.53"/>
        <n v="95652.47"/>
        <n v="97461.52"/>
        <n v="96449.05"/>
        <n v="97279.79"/>
        <n v="95865.3"/>
        <n v="96002.16"/>
        <n v="98768.53"/>
        <n v="96593.57"/>
        <n v="99920.71"/>
        <n v="99923.34"/>
        <n v="101236.02"/>
        <n v="97432.72"/>
        <n v="96675.43"/>
        <n v="101173.03"/>
        <n v="100043"/>
        <n v="101459.26"/>
        <n v="101372.97"/>
        <n v="104298.7"/>
        <n v="106029.72"/>
        <n v="106140.6"/>
        <n v="100041.54"/>
        <n v="97490.95"/>
        <n v="97755.93"/>
        <n v="97224.73"/>
        <n v="95104.94"/>
        <n v="94686.24"/>
        <n v="98676.09"/>
        <n v="99299.199999999997"/>
        <n v="95795.520000000004"/>
        <n v="94164.86"/>
        <n v="95163.93"/>
        <n v="93530.23"/>
        <n v="92643.21"/>
        <n v="93429.2"/>
        <n v="94419.76"/>
        <n v="96886.88"/>
        <n v="98107.43"/>
        <n v="98236.23"/>
        <n v="98314.96"/>
        <n v="102078.09"/>
        <n v="96922.7"/>
        <n v="95043.520000000004"/>
        <n v="92484.04"/>
        <n v="94701.45"/>
        <n v="94566.59"/>
        <n v="94488.44"/>
        <n v="94516.52"/>
        <n v="96534.05"/>
        <n v="100504.49"/>
        <n v="99756.91"/>
        <n v="104462.04"/>
        <n v="104408.07"/>
        <n v="101089.61"/>
        <n v="102016.66"/>
        <n v="106146.27"/>
        <n v="103653.07"/>
        <n v="103960.17"/>
        <n v="104819.48"/>
        <n v="104714.65"/>
        <n v="102682.5"/>
        <n v="102087.69"/>
        <n v="101332.48"/>
        <n v="103703.21"/>
        <n v="104735.3"/>
        <n v="102405.02"/>
        <n v="100655.91"/>
        <n v="97688.98"/>
        <n v="101405.42"/>
        <n v="97871.82"/>
        <n v="96615.45"/>
        <n v="96593.3"/>
        <n v="96529.09"/>
        <n v="96482.45"/>
        <n v="96500.09"/>
        <n v="97437.55"/>
        <n v="95747.43"/>
        <n v="97885.86"/>
        <n v="96623.87"/>
        <n v="97508.97"/>
        <n v="97580.35"/>
        <n v="96175.03"/>
        <n v="95773.38"/>
        <n v="95539.55"/>
        <n v="96635.61"/>
        <n v="98333.94"/>
        <n v="96125.55"/>
        <n v="96577.76"/>
        <n v="96273.919999999998"/>
        <n v="91418.17"/>
        <n v="88736.17"/>
        <n v="84347.02"/>
        <n v="84704.23"/>
        <n v="84373.01"/>
        <n v="86031.91"/>
        <n v="94248.35"/>
        <n v="86065.67"/>
        <n v="87222.2"/>
        <n v="90623.56"/>
        <n v="89961.73"/>
        <n v="86742.67"/>
        <n v="86154.59"/>
        <n v="80601.039999999994"/>
        <n v="78532"/>
        <n v="82862.210000000006"/>
        <n v="83722.36"/>
        <n v="81066.7"/>
        <n v="83969.1"/>
        <n v="84343.11"/>
        <n v="82579.69"/>
        <n v="84075.69"/>
        <n v="82718.5"/>
        <n v="86854.23"/>
        <n v="84167.2"/>
        <n v="84043.24"/>
        <n v="83832.479999999996"/>
        <n v="86054.38"/>
        <n v="87498.91"/>
        <n v="87471.7"/>
        <n v="86900.88"/>
        <n v="87177.1"/>
        <n v="84353.15"/>
        <n v="82597.59"/>
        <n v="81817.41"/>
      </sharedItems>
    </cacheField>
    <cacheField name="volumen" numFmtId="44">
      <sharedItems containsSemiMixedTypes="0" containsString="0" containsNumber="1" containsInteger="1" minValue="5331172801" maxValue="149218945580"/>
    </cacheField>
    <cacheField name="cierra % btc" numFmtId="0">
      <sharedItems containsSemiMixedTypes="0" containsString="0" containsNumber="1" minValue="-14.35" maxValue="12.14"/>
    </cacheField>
    <cacheField name="Meses (fecha)" numFmtId="0" databaseField="0">
      <fieldGroup base="2">
        <rangePr groupBy="months" startDate="2022-07-04T00:00:00" endDate="2025-03-31T00:00:00"/>
        <groupItems count="14">
          <s v="&lt;4/7/2022"/>
          <s v="ene"/>
          <s v="feb"/>
          <s v="mar"/>
          <s v="abr"/>
          <s v="may"/>
          <s v="jun"/>
          <s v="jul"/>
          <s v="ago"/>
          <s v="sep"/>
          <s v="oct"/>
          <s v="nov"/>
          <s v="dic"/>
          <s v="&gt;31/3/2025"/>
        </groupItems>
      </fieldGroup>
    </cacheField>
    <cacheField name="Trimestres (fecha)" numFmtId="0" databaseField="0">
      <fieldGroup base="2">
        <rangePr groupBy="quarters" startDate="2022-07-04T00:00:00" endDate="2025-03-31T00:00:00"/>
        <groupItems count="6">
          <s v="&lt;4/7/2022"/>
          <s v="Trim.1"/>
          <s v="Trim.2"/>
          <s v="Trim.3"/>
          <s v="Trim.4"/>
          <s v="&gt;31/3/2025"/>
        </groupItems>
      </fieldGroup>
    </cacheField>
    <cacheField name="Años (fecha)" numFmtId="0" databaseField="0">
      <fieldGroup base="2">
        <rangePr groupBy="years" startDate="2022-07-04T00:00:00" endDate="2025-03-31T00:00:00"/>
        <groupItems count="6">
          <s v="&lt;4/7/2022"/>
          <s v="2022"/>
          <s v="2023"/>
          <s v="2024"/>
          <s v="2025"/>
          <s v="&gt;31/3/2025"/>
        </groupItems>
      </fieldGroup>
    </cacheField>
  </cacheFields>
  <extLst>
    <ext xmlns:x14="http://schemas.microsoft.com/office/spreadsheetml/2009/9/main" uri="{725AE2AE-9491-48be-B2B4-4EB974FC3084}">
      <x14:pivotCacheDefinition pivotCacheId="107781490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5815.245053472223" createdVersion="8" refreshedVersion="8" minRefreshableVersion="3" recordCount="1001" xr:uid="{461CDB7E-B140-40F5-A2F9-B864C0FEC144}">
  <cacheSource type="worksheet">
    <worksheetSource name="Tabla1"/>
  </cacheSource>
  <cacheFields count="13">
    <cacheField name="id_fecha" numFmtId="0">
      <sharedItems containsSemiMixedTypes="0" containsString="0" containsNumber="1" containsInteger="1" minValue="1" maxValue="1001" count="100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sharedItems>
    </cacheField>
    <cacheField name="mes/ año" numFmtId="0">
      <sharedItems/>
    </cacheField>
    <cacheField name="fecha" numFmtId="14">
      <sharedItems containsSemiMixedTypes="0" containsNonDate="0" containsDate="1" containsString="0" minDate="2022-07-04T00:00:00" maxDate="2025-03-31T00:00:00"/>
    </cacheField>
    <cacheField name="dia_semana" numFmtId="0">
      <sharedItems/>
    </cacheField>
    <cacheField name="mercado_abierto" numFmtId="0">
      <sharedItems/>
    </cacheField>
    <cacheField name="categoria" numFmtId="0">
      <sharedItems count="4">
        <s v="Miedo Extremo"/>
        <s v="Miedo"/>
        <s v="Codicia"/>
        <s v="Codicia Extrema"/>
      </sharedItems>
    </cacheField>
    <cacheField name="index" numFmtId="0">
      <sharedItems containsSemiMixedTypes="0" containsString="0" containsNumber="1" containsInteger="1" minValue="10" maxValue="94" count="76">
        <n v="14"/>
        <n v="19"/>
        <n v="18"/>
        <n v="20"/>
        <n v="24"/>
        <n v="22"/>
        <n v="16"/>
        <n v="15"/>
        <n v="21"/>
        <n v="30"/>
        <n v="31"/>
        <n v="34"/>
        <n v="33"/>
        <n v="26"/>
        <n v="28"/>
        <n v="32"/>
        <n v="39"/>
        <n v="42"/>
        <n v="41"/>
        <n v="46"/>
        <n v="47"/>
        <n v="45"/>
        <n v="44"/>
        <n v="29"/>
        <n v="27"/>
        <n v="25"/>
        <n v="23"/>
        <n v="38"/>
        <n v="40"/>
        <n v="52"/>
        <n v="51"/>
        <n v="53"/>
        <n v="50"/>
        <n v="54"/>
        <n v="55"/>
        <n v="61"/>
        <n v="56"/>
        <n v="60"/>
        <n v="58"/>
        <n v="48"/>
        <n v="49"/>
        <n v="62"/>
        <n v="59"/>
        <n v="64"/>
        <n v="63"/>
        <n v="66"/>
        <n v="68"/>
        <n v="57"/>
        <n v="65"/>
        <n v="69"/>
        <n v="37"/>
        <n v="43"/>
        <n v="72"/>
        <n v="71"/>
        <n v="70"/>
        <n v="74"/>
        <n v="73"/>
        <n v="75"/>
        <n v="67"/>
        <n v="76"/>
        <n v="79"/>
        <n v="78"/>
        <n v="82"/>
        <n v="80"/>
        <n v="83"/>
        <n v="90"/>
        <n v="81"/>
        <n v="84"/>
        <n v="88"/>
        <n v="77"/>
        <n v="17"/>
        <n v="86"/>
        <n v="94"/>
        <n v="93"/>
        <n v="87"/>
        <n v="10"/>
      </sharedItems>
    </cacheField>
    <cacheField name="id_noticia" numFmtId="0">
      <sharedItems containsMixedTypes="1" containsNumber="1" containsInteger="1" minValue="1" maxValue="20"/>
    </cacheField>
    <cacheField name="cierre IRX" numFmtId="2">
      <sharedItems containsSemiMixedTypes="0" containsString="0" containsNumber="1" minValue="1.62999999523162" maxValue="5.34800004959106"/>
    </cacheField>
    <cacheField name="cierre GOLD" numFmtId="44">
      <sharedItems containsSemiMixedTypes="0" containsString="0" containsNumber="1" minValue="1623.30004882812" maxValue="3086.5"/>
    </cacheField>
    <cacheField name="cierre BTC" numFmtId="44">
      <sharedItems containsSemiMixedTypes="0" containsString="0" containsNumber="1" minValue="15787.28" maxValue="106146.27" count="1001">
        <n v="20231.259999999998"/>
        <n v="20190.12"/>
        <n v="20548.25"/>
        <n v="21637.59"/>
        <n v="21731.119999999999"/>
        <n v="21592.21"/>
        <n v="20860.45"/>
        <n v="19970.560000000001"/>
        <n v="19323.91"/>
        <n v="20212.07"/>
        <n v="20569.919999999998"/>
        <n v="20836.330000000002"/>
        <n v="21190.32"/>
        <n v="20779.34"/>
        <n v="22485.69"/>
        <n v="23389.43"/>
        <n v="23231.73"/>
        <n v="23164.63"/>
        <n v="22714.98"/>
        <n v="22465.48"/>
        <n v="22609.16"/>
        <n v="21361.7"/>
        <n v="21239.75"/>
        <n v="22930.55"/>
        <n v="23843.89"/>
        <n v="23804.63"/>
        <n v="23656.21"/>
        <n v="23336.9"/>
        <n v="23314.2"/>
        <n v="22978.12"/>
        <n v="22846.51"/>
        <n v="22630.959999999999"/>
        <n v="23289.31"/>
        <n v="22961.279999999999"/>
        <n v="23175.89"/>
        <n v="23809.49"/>
        <n v="23164.32"/>
        <n v="23947.64"/>
        <n v="23957.53"/>
        <n v="24402.82"/>
        <n v="24424.07"/>
        <n v="24319.33"/>
        <n v="24136.97"/>
        <n v="23883.29"/>
        <n v="23336"/>
        <n v="23212.74"/>
        <n v="20877.55"/>
        <n v="21166.06"/>
        <n v="21534.12"/>
        <n v="21398.91"/>
        <n v="21528.09"/>
        <n v="21395.02"/>
        <n v="21600.9"/>
        <n v="20260.02"/>
        <n v="20041.740000000002"/>
        <n v="19616.810000000001"/>
        <n v="20297.990000000002"/>
        <n v="19796.810000000001"/>
        <n v="20049.759999999998"/>
        <n v="20127.14"/>
        <n v="19969.77"/>
        <n v="19832.09"/>
        <n v="19986.71"/>
        <n v="19812.37"/>
        <n v="18837.669999999998"/>
        <n v="19290.32"/>
        <n v="19329.830000000002"/>
        <n v="21381.15"/>
        <n v="21680.54"/>
        <n v="21769.26"/>
        <n v="22370.45"/>
        <n v="20296.71"/>
        <n v="20241.09"/>
        <n v="19701.21"/>
        <n v="19772.580000000002"/>
        <n v="20127.580000000002"/>
        <n v="19419.509999999998"/>
        <n v="19544.13"/>
        <n v="18890.79"/>
        <n v="18547.400000000001"/>
        <n v="19413.55"/>
        <n v="19297.64"/>
        <n v="18937.009999999998"/>
        <n v="18802.099999999999"/>
        <n v="19222.669999999998"/>
        <n v="19110.55"/>
        <n v="19426.72"/>
        <n v="19573.05"/>
        <n v="19431.79"/>
        <n v="19312.099999999999"/>
        <n v="19044.11"/>
        <n v="19623.580000000002"/>
        <n v="20336.84"/>
        <n v="20160.72"/>
        <n v="19955.439999999999"/>
        <n v="19546.849999999999"/>
        <n v="19416.57"/>
        <n v="19446.43"/>
        <n v="19141.48"/>
        <n v="19051.419999999998"/>
        <n v="19157.45"/>
        <n v="19382.900000000001"/>
        <n v="19185.66"/>
        <n v="19067.63"/>
        <n v="19268.09"/>
        <n v="19550.759999999998"/>
        <n v="19334.419999999998"/>
        <n v="19139.54"/>
        <n v="19053.740000000002"/>
        <n v="19172.47"/>
        <n v="19208.189999999999"/>
        <n v="19567.009999999998"/>
        <n v="19345.57"/>
        <n v="20095.86"/>
        <n v="20770.439999999999"/>
        <n v="20285.84"/>
        <n v="20595.349999999999"/>
        <n v="20818.48"/>
        <n v="20635.599999999999"/>
        <n v="20495.77"/>
        <n v="20485.27"/>
        <n v="20159.5"/>
        <n v="20209.990000000002"/>
        <n v="21147.23"/>
        <n v="21282.69"/>
        <n v="20926.490000000002"/>
        <n v="20602.82"/>
        <n v="18541.27"/>
        <n v="15880.78"/>
        <n v="17586.77"/>
        <n v="17034.29"/>
        <n v="16799.189999999999"/>
        <n v="16353.37"/>
        <n v="16618.2"/>
        <n v="16884.61"/>
        <n v="16669.439999999999"/>
        <n v="16687.52"/>
        <n v="16697.78"/>
        <n v="16711.55"/>
        <n v="16291.83"/>
        <n v="15787.28"/>
        <n v="16189.77"/>
        <n v="16610.71"/>
        <n v="16604.46"/>
        <n v="16521.84"/>
        <n v="16464.28"/>
        <n v="16444.63"/>
        <n v="16217.32"/>
        <n v="16444.98"/>
        <n v="17168.57"/>
        <n v="16967.13"/>
        <n v="17088.66"/>
        <n v="16908.240000000002"/>
        <n v="17130.490000000002"/>
        <n v="16974.830000000002"/>
        <n v="17089.5"/>
        <n v="16848.13"/>
        <n v="17233.47"/>
        <n v="17133.150000000001"/>
        <n v="17128.72"/>
        <n v="17104.189999999999"/>
        <n v="17206.439999999999"/>
        <n v="17781.32"/>
        <n v="17815.650000000001"/>
        <n v="17364.87"/>
        <n v="16647.48"/>
        <n v="16795.09"/>
        <n v="16757.98"/>
        <n v="16439.68"/>
        <n v="16906.3"/>
        <n v="16817.54"/>
        <n v="16830.34"/>
        <n v="16796.95"/>
        <n v="16847.759999999998"/>
        <n v="16841.990000000002"/>
        <n v="16919.8"/>
        <n v="16717.169999999998"/>
        <n v="16552.57"/>
        <n v="16642.34"/>
        <n v="16602.59"/>
        <n v="16547.5"/>
        <n v="16625.080000000002"/>
        <n v="16688.47"/>
        <n v="16679.86"/>
        <n v="16863.240000000002"/>
        <n v="16836.740000000002"/>
        <n v="16951.97"/>
        <n v="16955.080000000002"/>
        <n v="17091.14"/>
        <n v="17196.55"/>
        <n v="17446.29"/>
        <n v="17934.900000000001"/>
        <n v="18869.59"/>
        <n v="19909.57"/>
        <n v="20976.3"/>
        <n v="20880.8"/>
        <n v="21169.63"/>
        <n v="21161.52"/>
        <n v="20688.78"/>
        <n v="21086.79"/>
        <n v="22676.55"/>
        <n v="22777.63"/>
        <n v="22720.42"/>
        <n v="22934.43"/>
        <n v="22636.47"/>
        <n v="23117.86"/>
        <n v="23032.78"/>
        <n v="23078.73"/>
        <n v="23031.09"/>
        <n v="23774.57"/>
        <n v="22840.14"/>
        <n v="23139.279999999999"/>
        <n v="23723.77"/>
        <n v="23471.87"/>
        <n v="23449.32"/>
        <n v="23331.85"/>
        <n v="22955.67"/>
        <n v="22760.11"/>
        <n v="23264.29"/>
        <n v="22939.4"/>
        <n v="21819.040000000001"/>
        <n v="21651.18"/>
        <n v="21870.880000000001"/>
        <n v="21788.2"/>
        <n v="21808.1"/>
        <n v="22220.799999999999"/>
        <n v="24307.84"/>
        <n v="23623.47"/>
        <n v="24565.599999999999"/>
        <n v="24641.279999999999"/>
        <n v="24327.64"/>
        <n v="24829.15"/>
        <n v="24436.35"/>
        <n v="24188.84"/>
        <n v="23947.49"/>
        <n v="23198.13"/>
        <n v="23175.38"/>
        <n v="23561.21"/>
        <n v="23522.87"/>
        <n v="23147.35"/>
        <n v="23646.55"/>
        <n v="23475.47"/>
        <n v="22362.68"/>
        <n v="22353.35"/>
        <n v="22435.51"/>
        <n v="22429.759999999998"/>
        <n v="22219.77"/>
        <n v="21718.080000000002"/>
        <n v="20363.02"/>
        <n v="20187.240000000002"/>
        <n v="20632.41"/>
        <n v="22163.95"/>
        <n v="24197.53"/>
        <n v="24746.07"/>
        <n v="24375.96"/>
        <n v="25052.79"/>
        <n v="27423.93"/>
        <n v="26965.88"/>
        <n v="28038.68"/>
        <n v="27767.24"/>
        <n v="28175.82"/>
        <n v="27307.439999999999"/>
        <n v="28333.97"/>
        <n v="27493.29"/>
        <n v="27494.71"/>
        <n v="27994.33"/>
        <n v="27139.89"/>
        <n v="27268.13"/>
        <n v="28348.44"/>
        <n v="28033.56"/>
        <n v="28478.48"/>
        <n v="28411.040000000001"/>
        <n v="28199.31"/>
        <n v="27790.22"/>
        <n v="28168.09"/>
        <n v="28177.98"/>
        <n v="28044.14"/>
        <n v="27925.86"/>
        <n v="27947.79"/>
        <n v="28333.05"/>
        <n v="29652.98"/>
        <n v="30235.06"/>
        <n v="30139.05"/>
        <n v="30399.07"/>
        <n v="30485.7"/>
        <n v="30318.5"/>
        <n v="30315.360000000001"/>
        <n v="29445.040000000001"/>
        <n v="30397.55"/>
        <n v="28822.68"/>
        <n v="28245.99"/>
        <n v="27276.91"/>
        <n v="27817.5"/>
        <n v="27591.38"/>
        <n v="27525.34"/>
        <n v="28307.599999999999"/>
        <n v="28422.7"/>
        <n v="29473.79"/>
        <n v="29340.26"/>
        <n v="29248.49"/>
        <n v="29268.81"/>
        <n v="28091.57"/>
        <n v="28680.54"/>
        <n v="29006.31"/>
        <n v="28847.71"/>
        <n v="29534.38"/>
        <n v="28904.62"/>
        <n v="28454.98"/>
        <n v="27694.27"/>
        <n v="27658.78"/>
        <n v="27621.759999999998"/>
        <n v="27000.79"/>
        <n v="26804.99"/>
        <n v="26784.080000000002"/>
        <n v="26930.639999999999"/>
        <n v="27192.69"/>
        <n v="27036.65"/>
        <n v="27398.799999999999"/>
        <n v="26832.21"/>
        <n v="26890.13"/>
        <n v="27129.59"/>
        <n v="26753.83"/>
        <n v="26851.279999999999"/>
        <n v="27225.73"/>
        <n v="26334.82"/>
        <n v="26476.21"/>
        <n v="26719.29"/>
        <n v="26868.35"/>
        <n v="28085.65"/>
        <n v="27745.88"/>
        <n v="27702.35"/>
        <n v="27219.66"/>
        <n v="26819.97"/>
        <n v="27249.59"/>
        <n v="27075.13"/>
        <n v="27119.07"/>
        <n v="25760.1"/>
        <n v="27238.78"/>
        <n v="26346"/>
        <n v="26508.22"/>
        <n v="26480.38"/>
        <n v="25851.24"/>
        <n v="25940.17"/>
        <n v="25902.5"/>
        <n v="25918.73"/>
        <n v="25124.68"/>
        <n v="25576.39"/>
        <n v="26327.46"/>
        <n v="26510.68"/>
        <n v="26336.21"/>
        <n v="26851.03"/>
        <n v="28327.49"/>
        <n v="30027.3"/>
        <n v="29912.28"/>
        <n v="30695.47"/>
        <n v="30548.7"/>
        <n v="30480.26"/>
        <n v="30271.13"/>
        <n v="30688.16"/>
        <n v="30086.25"/>
        <n v="30445.35"/>
        <n v="30477.25"/>
        <n v="30590.080000000002"/>
        <n v="30620.77"/>
        <n v="31156.44"/>
        <n v="30777.58"/>
        <n v="30514.17"/>
        <n v="29909.34"/>
        <n v="30342.27"/>
        <n v="30292.54"/>
        <n v="30171.23"/>
        <n v="30414.47"/>
        <n v="30620.95"/>
        <n v="30391.65"/>
        <n v="31476.05"/>
        <n v="30334.07"/>
        <n v="30295.81"/>
        <n v="30249.13"/>
        <n v="30145.89"/>
        <n v="29856.560000000001"/>
        <n v="29913.919999999998"/>
        <n v="29792.02"/>
        <n v="29908.74"/>
        <n v="29771.8"/>
        <n v="30084.54"/>
        <n v="29176.92"/>
        <n v="29227.39"/>
        <n v="29354.97"/>
        <n v="29210.69"/>
        <n v="29319.25"/>
        <n v="29356.92"/>
        <n v="29275.31"/>
        <n v="29230.11"/>
        <n v="29675.73"/>
        <n v="29151.96"/>
        <n v="29178.68"/>
        <n v="29074.09"/>
        <n v="29042.13"/>
        <n v="29041.86"/>
        <n v="29180.58"/>
        <n v="29765.49"/>
        <n v="29561.49"/>
        <n v="29429.59"/>
        <n v="29397.71"/>
        <n v="29415.96"/>
        <n v="29282.91"/>
        <n v="29408.44"/>
        <n v="29170.35"/>
        <n v="28701.78"/>
        <n v="26664.55"/>
        <n v="26049.56"/>
        <n v="26096.21"/>
        <n v="26189.58"/>
        <n v="26124.14"/>
        <n v="26031.66"/>
        <n v="26431.64"/>
        <n v="26162.37"/>
        <n v="26047.67"/>
        <n v="26008.46"/>
        <n v="26089.69"/>
        <n v="26106.15"/>
        <n v="27727.39"/>
        <n v="27297.27"/>
        <n v="25931.47"/>
        <n v="25800.720000000001"/>
        <n v="25868.799999999999"/>
        <n v="25969.57"/>
        <n v="25812.42"/>
        <n v="25779.98"/>
        <n v="25753.24"/>
        <n v="26240.2"/>
        <n v="25905.65"/>
        <n v="25895.68"/>
        <n v="25832.23"/>
        <n v="25162.65"/>
        <n v="25833.34"/>
        <n v="26228.32"/>
        <n v="26539.67"/>
        <n v="26608.69"/>
        <n v="26568.28"/>
        <n v="26534.19"/>
        <n v="26754.28"/>
        <n v="27211.119999999999"/>
        <n v="27132.01"/>
        <n v="26567.63"/>
        <n v="26579.57"/>
        <n v="26579.39"/>
        <n v="26256.83"/>
        <n v="26298.48"/>
        <n v="26217.25"/>
        <n v="26352.720000000001"/>
        <n v="27021.55"/>
        <n v="26911.72"/>
        <n v="26967.919999999998"/>
        <n v="27983.75"/>
        <n v="27530.79"/>
        <n v="27429.98"/>
        <n v="27799.39"/>
        <n v="27415.91"/>
        <n v="27946.6"/>
        <n v="27968.84"/>
        <n v="27935.09"/>
        <n v="27583.68"/>
        <n v="27391.02"/>
        <n v="26873.32"/>
        <n v="26756.799999999999"/>
        <n v="26862.38"/>
        <n v="26861.71"/>
        <n v="27159.65"/>
        <n v="28519.47"/>
        <n v="28415.75"/>
        <n v="28328.34"/>
        <n v="28719.81"/>
        <n v="29682.95"/>
        <n v="29918.41"/>
        <n v="29993.9"/>
        <n v="33086.230000000003"/>
        <n v="33901.53"/>
        <n v="34502.82"/>
        <n v="34156.65"/>
        <n v="33909.800000000003"/>
        <n v="34089.57"/>
        <n v="34538.480000000003"/>
        <n v="34502.36"/>
        <n v="34667.78"/>
        <n v="35437.25"/>
        <n v="34938.239999999998"/>
        <n v="34732.32"/>
        <n v="35082.199999999997"/>
        <n v="35049.360000000001"/>
        <n v="35037.370000000003"/>
        <n v="35443.56"/>
        <n v="35655.279999999999"/>
        <n v="36693.129999999997"/>
        <n v="37313.97"/>
        <n v="37138.050000000003"/>
        <n v="37054.519999999997"/>
        <n v="36502.36"/>
        <n v="35537.64"/>
        <n v="37880.58"/>
        <n v="36154.769999999997"/>
        <n v="36596.68"/>
        <n v="36585.699999999997"/>
        <n v="37386.550000000003"/>
        <n v="37476.959999999999"/>
        <n v="35813.81"/>
        <n v="37432.339999999997"/>
        <n v="37289.620000000003"/>
        <n v="37720.28"/>
        <n v="37796.79"/>
        <n v="37479.120000000003"/>
        <n v="37254.17"/>
        <n v="37831.089999999997"/>
        <n v="37858.49"/>
        <n v="37712.75"/>
        <n v="38688.75"/>
        <n v="39476.33"/>
        <n v="39978.39"/>
        <n v="41980.1"/>
        <n v="44080.65"/>
        <n v="43746.45"/>
        <n v="43292.66"/>
        <n v="44166.6"/>
        <n v="43725.98"/>
        <n v="43779.7"/>
        <n v="41243.83"/>
        <n v="41450.22"/>
        <n v="42890.74"/>
        <n v="43023.97"/>
        <n v="41929.760000000002"/>
        <n v="42240.12"/>
        <n v="41364.660000000003"/>
        <n v="42623.54"/>
        <n v="42270.53"/>
        <n v="43652.25"/>
        <n v="43869.15"/>
        <n v="43997.9"/>
        <n v="43739.54"/>
        <n v="43016.12"/>
        <n v="43613.14"/>
        <n v="42520.4"/>
        <n v="43442.86"/>
        <n v="42627.86"/>
        <n v="42099.4"/>
        <n v="42156.9"/>
        <n v="42265.19"/>
        <n v="44167.33"/>
        <n v="44957.97"/>
        <n v="42848.18"/>
        <n v="44179.92"/>
        <n v="44162.69"/>
        <n v="43989.2"/>
        <n v="43943.1"/>
        <n v="46970.5"/>
        <n v="46139.73"/>
        <n v="46627.78"/>
        <n v="46368.59"/>
        <n v="42853.17"/>
        <n v="42842.38"/>
        <n v="41796.269999999997"/>
        <n v="42511.97"/>
        <n v="43154.95"/>
        <n v="42742.65"/>
        <n v="41262.06"/>
        <n v="41618.410000000003"/>
        <n v="41665.589999999997"/>
        <n v="41545.79"/>
        <n v="39507.370000000003"/>
        <n v="39845.550000000003"/>
        <n v="40077.07"/>
        <n v="39933.81"/>
        <n v="41816.870000000003"/>
        <n v="42120.05"/>
        <n v="42035.59"/>
        <n v="43288.25"/>
        <n v="42952.61"/>
        <n v="42582.61"/>
        <n v="43075.77"/>
        <n v="43185.86"/>
        <n v="42992.25"/>
        <n v="42583.58"/>
        <n v="42658.67"/>
        <n v="43084.67"/>
        <n v="44318.22"/>
        <n v="45301.57"/>
        <n v="47147.199999999997"/>
        <n v="47771.28"/>
        <n v="48293.919999999998"/>
        <n v="49958.22"/>
        <n v="49742.44"/>
        <n v="51826.7"/>
        <n v="51938.55"/>
        <n v="52160.2"/>
        <n v="51663"/>
        <n v="52122.55"/>
        <n v="51779.14"/>
        <n v="52284.88"/>
        <n v="51839.18"/>
        <n v="51304.97"/>
        <n v="50731.95"/>
        <n v="51571.1"/>
        <n v="51733.24"/>
        <n v="54522.400000000001"/>
        <n v="57085.37"/>
        <n v="62504.79"/>
        <n v="61198.38"/>
        <n v="62440.63"/>
        <n v="62029.85"/>
        <n v="63167.37"/>
        <n v="68330.41"/>
        <n v="63801.2"/>
        <n v="66106.8"/>
        <n v="66925.48"/>
        <n v="68300.09"/>
        <n v="68498.880000000005"/>
        <n v="69019.789999999994"/>
        <n v="72123.91"/>
        <n v="71481.289999999994"/>
        <n v="73083.5"/>
        <n v="71396.59"/>
        <n v="69403.77"/>
        <n v="65315.12"/>
        <n v="68390.63"/>
        <n v="67548.59"/>
        <n v="61912.77"/>
        <n v="67913.67"/>
        <n v="65491.39"/>
        <n v="63778.76"/>
        <n v="64062.2"/>
        <n v="67234.17"/>
        <n v="69958.81"/>
        <n v="69987.839999999997"/>
        <n v="69455.34"/>
        <n v="70744.95"/>
        <n v="69892.83"/>
        <n v="69645.3"/>
        <n v="71333.649999999994"/>
        <n v="69702.149999999994"/>
        <n v="65446.97"/>
        <n v="65980.81"/>
        <n v="68508.84"/>
        <n v="67837.64"/>
        <n v="68896.11"/>
        <n v="69362.55"/>
        <n v="71631.360000000001"/>
        <n v="69139.02"/>
        <n v="70587.88"/>
        <n v="70060.61"/>
        <n v="67195.87"/>
        <n v="63821.47"/>
        <n v="65738.73"/>
        <n v="63426.21"/>
        <n v="63811.86"/>
        <n v="61276.69"/>
        <n v="63512.75"/>
        <n v="63843.57"/>
        <n v="64994.44"/>
        <n v="64926.64"/>
        <n v="66837.679999999993"/>
        <n v="66407.27"/>
        <n v="64276.9"/>
        <n v="64481.71"/>
        <n v="63755.32"/>
        <n v="63419.14"/>
        <n v="63113.23"/>
        <n v="63841.120000000003"/>
        <n v="60636.86"/>
        <n v="58254.01"/>
        <n v="59123.43"/>
        <n v="62889.84"/>
        <n v="63891.47"/>
        <n v="64031.13"/>
        <n v="63161.95"/>
        <n v="62334.82"/>
        <n v="61187.94"/>
        <n v="63049.96"/>
        <n v="60792.78"/>
        <n v="60793.71"/>
        <n v="61448.39"/>
        <n v="62901.45"/>
        <n v="61552.79"/>
        <n v="66267.490000000005"/>
        <n v="65231.58"/>
        <n v="67051.88"/>
        <n v="66940.800000000003"/>
        <n v="66278.37"/>
        <n v="71448.2"/>
        <n v="70136.53"/>
        <n v="69122.34"/>
        <n v="67929.56"/>
        <n v="68526.100000000006"/>
        <n v="69265.95"/>
        <n v="68518.09"/>
        <n v="69394.55"/>
        <n v="68296.22"/>
        <n v="67578.09"/>
        <n v="68364.990000000005"/>
        <n v="67491.41"/>
        <n v="67706.94"/>
        <n v="67751.600000000006"/>
        <n v="68804.78"/>
        <n v="70567.77"/>
        <n v="71082.820000000007"/>
        <n v="70757.16"/>
        <n v="69342.59"/>
        <n v="69305.77"/>
        <n v="69647.990000000005"/>
        <n v="69512.28"/>
        <n v="67332.03"/>
        <n v="68241.19"/>
        <n v="66756.399999999994"/>
        <n v="66011.09"/>
        <n v="66191"/>
        <n v="66639.05"/>
        <n v="66490.3"/>
        <n v="65140.75"/>
        <n v="64960.3"/>
        <n v="64828.66"/>
        <n v="64096.2"/>
        <n v="64252.58"/>
        <n v="63180.800000000003"/>
        <n v="60277.41"/>
        <n v="61804.639999999999"/>
        <n v="60811.28"/>
        <n v="61604.800000000003"/>
        <n v="60320.14"/>
        <n v="60887.38"/>
        <n v="62678.29"/>
        <n v="62851.98"/>
        <n v="62029.02"/>
        <n v="60173.919999999998"/>
        <n v="56977.7"/>
        <n v="56662.38"/>
        <n v="58303.54"/>
        <n v="55849.11"/>
        <n v="56705.1"/>
        <n v="58009.23"/>
        <n v="57742.5"/>
        <n v="57344.91"/>
        <n v="57899.46"/>
        <n v="59231.95"/>
        <n v="60787.79"/>
        <n v="64870.15"/>
        <n v="65097.15"/>
        <n v="64118.79"/>
        <n v="63974.07"/>
        <n v="66710.16"/>
        <n v="67163.649999999994"/>
        <n v="68154.52"/>
        <n v="67585.25"/>
        <n v="65927.67"/>
        <n v="65372.13"/>
        <n v="65777.23"/>
        <n v="67912.06"/>
        <n v="67813.34"/>
        <n v="68255.87"/>
        <n v="66819.91"/>
        <n v="66201.02"/>
        <n v="64619.25"/>
        <n v="65357.5"/>
        <n v="61415.07"/>
        <n v="60680.09"/>
        <n v="58116.98"/>
        <n v="53991.46"/>
        <n v="56034.32"/>
        <n v="55027.46"/>
        <n v="61710.14"/>
        <n v="60880.11"/>
        <n v="60945.81"/>
        <n v="58719.48"/>
        <n v="59354.52"/>
        <n v="60609.57"/>
        <n v="58737.27"/>
        <n v="57560.1"/>
        <n v="58894.11"/>
        <n v="59478.97"/>
        <n v="58483.96"/>
        <n v="59493.45"/>
        <n v="59012.79"/>
        <n v="61175.19"/>
        <n v="60381.91"/>
        <n v="64094.36"/>
        <n v="64178.99"/>
        <n v="64333.54"/>
        <n v="62880.66"/>
        <n v="59504.13"/>
        <n v="59027.63"/>
        <n v="59388.18"/>
        <n v="59119.48"/>
        <n v="58969.9"/>
        <n v="57325.49"/>
        <n v="59112.480000000003"/>
        <n v="57431.02"/>
        <n v="57971.54"/>
        <n v="56160.49"/>
        <n v="53948.75"/>
        <n v="54139.69"/>
        <n v="54841.57"/>
        <n v="57019.54"/>
        <n v="57648.71"/>
        <n v="57343.17"/>
        <n v="58127.01"/>
        <n v="60571.3"/>
        <n v="60005.120000000003"/>
        <n v="59182.84"/>
        <n v="58192.51"/>
        <n v="60308.54"/>
        <n v="61649.68"/>
        <n v="62940.46"/>
        <n v="63192.98"/>
        <n v="63394.84"/>
        <n v="63648.71"/>
        <n v="63329.8"/>
        <n v="64301.97"/>
        <n v="63143.14"/>
        <n v="65181.02"/>
        <n v="65790.66"/>
        <n v="65887.649999999994"/>
        <n v="65635.3"/>
        <n v="63329.5"/>
        <n v="60837.01"/>
        <n v="60632.79"/>
        <n v="60759.4"/>
        <n v="62067.48"/>
        <n v="62089.95"/>
        <n v="62818.95"/>
        <n v="62236.66"/>
        <n v="62131.97"/>
        <n v="60582.1"/>
        <n v="60274.5"/>
        <n v="62445.09"/>
        <n v="63193.02"/>
        <n v="62851.38"/>
        <n v="66046.13"/>
        <n v="67041.11"/>
        <n v="67612.72"/>
        <n v="67399.839999999997"/>
        <n v="68418.789999999994"/>
        <n v="68362.73"/>
        <n v="69001.7"/>
        <n v="67367.850000000006"/>
        <n v="67361.41"/>
        <n v="66432.2"/>
        <n v="68161.05"/>
        <n v="66642.41"/>
        <n v="67014.7"/>
        <n v="67929.3"/>
        <n v="69907.759999999995"/>
        <n v="72720.490000000005"/>
        <n v="72339.539999999994"/>
        <n v="70215.19"/>
        <n v="69482.47"/>
        <n v="69289.27"/>
        <n v="68741.119999999995"/>
        <n v="67811.509999999995"/>
        <n v="69359.56"/>
        <n v="75639.08"/>
        <n v="75904.86"/>
        <n v="76545.48"/>
        <n v="76778.87"/>
        <n v="80474.19"/>
        <n v="88701.48"/>
        <n v="87955.81"/>
        <n v="90584.16"/>
        <n v="87250.43"/>
        <n v="91066.01"/>
        <n v="90558.48"/>
        <n v="89845.85"/>
        <n v="90542.64"/>
        <n v="92343.79"/>
        <n v="94339.49"/>
        <n v="98504.73"/>
        <n v="98997.66"/>
        <n v="97777.279999999999"/>
        <n v="98013.82"/>
        <n v="93102.3"/>
        <n v="91985.32"/>
        <n v="95962.53"/>
        <n v="95652.47"/>
        <n v="97461.52"/>
        <n v="96449.05"/>
        <n v="97279.79"/>
        <n v="95865.3"/>
        <n v="96002.16"/>
        <n v="98768.53"/>
        <n v="96593.57"/>
        <n v="99920.71"/>
        <n v="99923.34"/>
        <n v="101236.02"/>
        <n v="97432.72"/>
        <n v="96675.43"/>
        <n v="101173.03"/>
        <n v="100043"/>
        <n v="101459.26"/>
        <n v="101372.97"/>
        <n v="104298.7"/>
        <n v="106029.72"/>
        <n v="106140.6"/>
        <n v="100041.54"/>
        <n v="97490.95"/>
        <n v="97755.93"/>
        <n v="97224.73"/>
        <n v="95104.94"/>
        <n v="94686.24"/>
        <n v="98676.09"/>
        <n v="99299.199999999997"/>
        <n v="95795.520000000004"/>
        <n v="94164.86"/>
        <n v="95163.93"/>
        <n v="93530.23"/>
        <n v="92643.21"/>
        <n v="93429.2"/>
        <n v="94419.76"/>
        <n v="96886.88"/>
        <n v="98107.43"/>
        <n v="98236.23"/>
        <n v="98314.96"/>
        <n v="102078.09"/>
        <n v="96922.7"/>
        <n v="95043.520000000004"/>
        <n v="92484.04"/>
        <n v="94701.45"/>
        <n v="94566.59"/>
        <n v="94488.44"/>
        <n v="94516.52"/>
        <n v="96534.05"/>
        <n v="100504.49"/>
        <n v="99756.91"/>
        <n v="104462.04"/>
        <n v="104408.07"/>
        <n v="101089.61"/>
        <n v="102016.66"/>
        <n v="106146.27"/>
        <n v="103653.07"/>
        <n v="103960.17"/>
        <n v="104819.48"/>
        <n v="104714.65"/>
        <n v="102682.5"/>
        <n v="102087.69"/>
        <n v="101332.48"/>
        <n v="103703.21"/>
        <n v="104735.3"/>
        <n v="102405.02"/>
        <n v="100655.91"/>
        <n v="97688.98"/>
        <n v="101405.42"/>
        <n v="97871.82"/>
        <n v="96615.45"/>
        <n v="96593.3"/>
        <n v="96529.09"/>
        <n v="96482.45"/>
        <n v="96500.09"/>
        <n v="97437.55"/>
        <n v="95747.43"/>
        <n v="97885.86"/>
        <n v="96623.87"/>
        <n v="97508.97"/>
        <n v="97580.35"/>
        <n v="96175.03"/>
        <n v="95773.38"/>
        <n v="95539.55"/>
        <n v="96635.61"/>
        <n v="98333.94"/>
        <n v="96125.55"/>
        <n v="96577.76"/>
        <n v="96273.919999999998"/>
        <n v="91418.17"/>
        <n v="88736.17"/>
        <n v="84347.02"/>
        <n v="84704.23"/>
        <n v="84373.01"/>
        <n v="86031.91"/>
        <n v="94248.35"/>
        <n v="86065.67"/>
        <n v="87222.2"/>
        <n v="90623.56"/>
        <n v="89961.73"/>
        <n v="86742.67"/>
        <n v="86154.59"/>
        <n v="80601.039999999994"/>
        <n v="78532"/>
        <n v="82862.210000000006"/>
        <n v="83722.36"/>
        <n v="81066.7"/>
        <n v="83969.1"/>
        <n v="84343.11"/>
        <n v="82579.69"/>
        <n v="84075.69"/>
        <n v="82718.5"/>
        <n v="86854.23"/>
        <n v="84167.2"/>
        <n v="84043.24"/>
        <n v="83832.479999999996"/>
        <n v="86054.38"/>
        <n v="87498.91"/>
        <n v="87471.7"/>
        <n v="86900.88"/>
        <n v="87177.1"/>
        <n v="84353.15"/>
        <n v="82597.59"/>
        <n v="81817.41"/>
      </sharedItems>
    </cacheField>
    <cacheField name="volumen" numFmtId="44">
      <sharedItems containsSemiMixedTypes="0" containsString="0" containsNumber="1" containsInteger="1" minValue="5331172801" maxValue="149218945580"/>
    </cacheField>
    <cacheField name="cierra % btc" numFmtId="0">
      <sharedItems containsSemiMixedTypes="0" containsString="0" containsNumber="1" minValue="-14.35" maxValue="12.14"/>
    </cacheField>
  </cacheFields>
  <extLst>
    <ext xmlns:x14="http://schemas.microsoft.com/office/spreadsheetml/2009/9/main" uri="{725AE2AE-9491-48be-B2B4-4EB974FC3084}">
      <x14:pivotCacheDefinition pivotCacheId="18677252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n v="1"/>
    <x v="0"/>
    <x v="0"/>
    <x v="0"/>
    <x v="0"/>
    <x v="0"/>
    <x v="0"/>
    <x v="0"/>
    <n v="1.62999999523162"/>
    <n v="1761.80004882812"/>
    <x v="0"/>
    <n v="21594638208"/>
    <n v="0.34"/>
  </r>
  <r>
    <n v="2"/>
    <x v="0"/>
    <x v="1"/>
    <x v="1"/>
    <x v="1"/>
    <x v="0"/>
    <x v="1"/>
    <x v="1"/>
    <n v="1.62999999523162"/>
    <n v="1761.80004882812"/>
    <x v="1"/>
    <n v="26715546990"/>
    <n v="-0.2"/>
  </r>
  <r>
    <n v="3"/>
    <x v="0"/>
    <x v="2"/>
    <x v="2"/>
    <x v="1"/>
    <x v="0"/>
    <x v="2"/>
    <x v="1"/>
    <n v="1.8400000333786"/>
    <n v="1761.80004882812"/>
    <x v="2"/>
    <n v="24598943708"/>
    <n v="1.77"/>
  </r>
  <r>
    <n v="4"/>
    <x v="0"/>
    <x v="3"/>
    <x v="3"/>
    <x v="1"/>
    <x v="0"/>
    <x v="2"/>
    <x v="1"/>
    <n v="1.85300004482269"/>
    <n v="1734.90002441406"/>
    <x v="3"/>
    <n v="25814972520"/>
    <n v="5.3"/>
  </r>
  <r>
    <n v="5"/>
    <x v="0"/>
    <x v="4"/>
    <x v="4"/>
    <x v="1"/>
    <x v="0"/>
    <x v="3"/>
    <x v="1"/>
    <n v="1.84300005435943"/>
    <n v="1737.90002441406"/>
    <x v="4"/>
    <n v="49899834488"/>
    <n v="0.43"/>
  </r>
  <r>
    <n v="6"/>
    <x v="0"/>
    <x v="5"/>
    <x v="5"/>
    <x v="0"/>
    <x v="0"/>
    <x v="4"/>
    <x v="1"/>
    <n v="1.84300005435943"/>
    <n v="1740.59997558593"/>
    <x v="5"/>
    <n v="29641127858"/>
    <n v="-0.64"/>
  </r>
  <r>
    <n v="7"/>
    <x v="0"/>
    <x v="6"/>
    <x v="6"/>
    <x v="0"/>
    <x v="0"/>
    <x v="4"/>
    <x v="1"/>
    <n v="1.84300005435943"/>
    <n v="1737.90002441406"/>
    <x v="6"/>
    <n v="28688807249"/>
    <n v="-3.39"/>
  </r>
  <r>
    <n v="8"/>
    <x v="0"/>
    <x v="7"/>
    <x v="0"/>
    <x v="1"/>
    <x v="0"/>
    <x v="5"/>
    <x v="1"/>
    <n v="1.9529999494552599"/>
    <n v="1740.59997558593"/>
    <x v="7"/>
    <n v="24150249025"/>
    <n v="-4.2699999999999996"/>
  </r>
  <r>
    <n v="9"/>
    <x v="0"/>
    <x v="8"/>
    <x v="1"/>
    <x v="1"/>
    <x v="0"/>
    <x v="6"/>
    <x v="1"/>
    <n v="2.1129999160766602"/>
    <n v="1730"/>
    <x v="8"/>
    <n v="25810220018"/>
    <n v="-3.24"/>
  </r>
  <r>
    <n v="10"/>
    <x v="0"/>
    <x v="9"/>
    <x v="2"/>
    <x v="1"/>
    <x v="0"/>
    <x v="7"/>
    <x v="1"/>
    <n v="2.3229999542236301"/>
    <n v="1723.30004882812"/>
    <x v="9"/>
    <n v="33042430345"/>
    <n v="4.5999999999999996"/>
  </r>
  <r>
    <n v="11"/>
    <x v="0"/>
    <x v="10"/>
    <x v="3"/>
    <x v="1"/>
    <x v="0"/>
    <x v="2"/>
    <x v="1"/>
    <n v="2.2730000019073402"/>
    <n v="1734.19995117187"/>
    <x v="10"/>
    <n v="31158743333"/>
    <n v="1.77"/>
  </r>
  <r>
    <n v="12"/>
    <x v="0"/>
    <x v="11"/>
    <x v="4"/>
    <x v="1"/>
    <x v="0"/>
    <x v="7"/>
    <x v="1"/>
    <n v="2.2400000095367401"/>
    <n v="1704.5"/>
    <x v="11"/>
    <n v="25905575359"/>
    <n v="1.3"/>
  </r>
  <r>
    <n v="13"/>
    <x v="0"/>
    <x v="12"/>
    <x v="5"/>
    <x v="0"/>
    <x v="0"/>
    <x v="8"/>
    <x v="1"/>
    <n v="2.2400000095367401"/>
    <n v="1702.40002441406"/>
    <x v="12"/>
    <n v="24302954056"/>
    <n v="1.7"/>
  </r>
  <r>
    <n v="14"/>
    <x v="0"/>
    <x v="13"/>
    <x v="6"/>
    <x v="0"/>
    <x v="0"/>
    <x v="4"/>
    <x v="1"/>
    <n v="2.2400000095367401"/>
    <n v="1704.5"/>
    <x v="13"/>
    <n v="22927802083"/>
    <n v="-1.94"/>
  </r>
  <r>
    <n v="15"/>
    <x v="0"/>
    <x v="14"/>
    <x v="0"/>
    <x v="1"/>
    <x v="0"/>
    <x v="3"/>
    <x v="1"/>
    <n v="2.2599999904632502"/>
    <n v="1702.40002441406"/>
    <x v="14"/>
    <n v="39974475562"/>
    <n v="8.2100000000000009"/>
  </r>
  <r>
    <n v="16"/>
    <x v="0"/>
    <x v="15"/>
    <x v="1"/>
    <x v="1"/>
    <x v="1"/>
    <x v="9"/>
    <x v="1"/>
    <n v="2.45000004768371"/>
    <n v="1709.19995117187"/>
    <x v="15"/>
    <n v="48765202697"/>
    <n v="4.0199999999999996"/>
  </r>
  <r>
    <n v="17"/>
    <x v="0"/>
    <x v="16"/>
    <x v="2"/>
    <x v="1"/>
    <x v="1"/>
    <x v="10"/>
    <x v="1"/>
    <n v="2.3780000209808301"/>
    <n v="1710"/>
    <x v="16"/>
    <n v="42932549127"/>
    <n v="-0.67"/>
  </r>
  <r>
    <n v="18"/>
    <x v="0"/>
    <x v="17"/>
    <x v="3"/>
    <x v="1"/>
    <x v="1"/>
    <x v="11"/>
    <x v="1"/>
    <n v="2.3599998950958199"/>
    <n v="1699.5"/>
    <x v="17"/>
    <n v="33631012204"/>
    <n v="-0.28999999999999998"/>
  </r>
  <r>
    <n v="19"/>
    <x v="0"/>
    <x v="18"/>
    <x v="4"/>
    <x v="1"/>
    <x v="1"/>
    <x v="12"/>
    <x v="1"/>
    <n v="2.3550000190734801"/>
    <n v="1712.69995117187"/>
    <x v="18"/>
    <n v="31421555646"/>
    <n v="-1.94"/>
  </r>
  <r>
    <n v="20"/>
    <x v="0"/>
    <x v="19"/>
    <x v="5"/>
    <x v="0"/>
    <x v="1"/>
    <x v="10"/>
    <x v="1"/>
    <n v="2.3550000190734801"/>
    <n v="1727.09997558593"/>
    <x v="19"/>
    <n v="24021799169"/>
    <n v="-1.1000000000000001"/>
  </r>
  <r>
    <n v="21"/>
    <x v="0"/>
    <x v="20"/>
    <x v="6"/>
    <x v="0"/>
    <x v="1"/>
    <x v="9"/>
    <x v="1"/>
    <n v="2.3550000190734801"/>
    <n v="1712.69995117187"/>
    <x v="20"/>
    <n v="23565495303"/>
    <n v="0.64"/>
  </r>
  <r>
    <n v="22"/>
    <x v="0"/>
    <x v="21"/>
    <x v="0"/>
    <x v="1"/>
    <x v="1"/>
    <x v="9"/>
    <x v="1"/>
    <n v="2.3929998874664302"/>
    <n v="1727.09997558593"/>
    <x v="21"/>
    <n v="35574561406"/>
    <n v="-5.52"/>
  </r>
  <r>
    <n v="23"/>
    <x v="0"/>
    <x v="22"/>
    <x v="1"/>
    <x v="1"/>
    <x v="1"/>
    <x v="13"/>
    <x v="1"/>
    <n v="2.4749999046325599"/>
    <n v="1719"/>
    <x v="22"/>
    <n v="28624673855"/>
    <n v="-0.56999999999999995"/>
  </r>
  <r>
    <n v="24"/>
    <x v="0"/>
    <x v="23"/>
    <x v="2"/>
    <x v="1"/>
    <x v="1"/>
    <x v="14"/>
    <x v="1"/>
    <n v="2.3829998970031698"/>
    <n v="1717.69995117187"/>
    <x v="23"/>
    <n v="31758955233"/>
    <n v="7.96"/>
  </r>
  <r>
    <n v="25"/>
    <x v="0"/>
    <x v="24"/>
    <x v="3"/>
    <x v="1"/>
    <x v="1"/>
    <x v="15"/>
    <x v="1"/>
    <n v="2.30800008773803"/>
    <n v="1719.09997558593"/>
    <x v="24"/>
    <n v="40212386158"/>
    <n v="3.98"/>
  </r>
  <r>
    <n v="26"/>
    <x v="0"/>
    <x v="25"/>
    <x v="4"/>
    <x v="1"/>
    <x v="1"/>
    <x v="16"/>
    <x v="1"/>
    <n v="2.2980000972747798"/>
    <n v="1750.30004882812"/>
    <x v="25"/>
    <n v="35887249746"/>
    <n v="-0.16"/>
  </r>
  <r>
    <n v="27"/>
    <x v="0"/>
    <x v="26"/>
    <x v="5"/>
    <x v="0"/>
    <x v="1"/>
    <x v="17"/>
    <x v="1"/>
    <n v="2.2980000972747798"/>
    <n v="1762.90002441406"/>
    <x v="26"/>
    <n v="28148218301"/>
    <n v="-0.62"/>
  </r>
  <r>
    <n v="28"/>
    <x v="0"/>
    <x v="27"/>
    <x v="6"/>
    <x v="0"/>
    <x v="1"/>
    <x v="16"/>
    <x v="1"/>
    <n v="2.2980000972747798"/>
    <n v="1750.30004882812"/>
    <x v="27"/>
    <n v="23553591896"/>
    <n v="-1.35"/>
  </r>
  <r>
    <n v="29"/>
    <x v="1"/>
    <x v="28"/>
    <x v="0"/>
    <x v="1"/>
    <x v="1"/>
    <x v="12"/>
    <x v="1"/>
    <n v="2.2650001049041699"/>
    <n v="1762.90002441406"/>
    <x v="28"/>
    <n v="25849159141"/>
    <n v="-0.1"/>
  </r>
  <r>
    <n v="30"/>
    <x v="1"/>
    <x v="29"/>
    <x v="1"/>
    <x v="1"/>
    <x v="1"/>
    <x v="10"/>
    <x v="1"/>
    <n v="2.4630000591278001"/>
    <n v="1769"/>
    <x v="29"/>
    <n v="28389250717"/>
    <n v="-1.44"/>
  </r>
  <r>
    <n v="31"/>
    <x v="1"/>
    <x v="30"/>
    <x v="2"/>
    <x v="1"/>
    <x v="1"/>
    <x v="11"/>
    <x v="1"/>
    <n v="2.4279999732971098"/>
    <n v="1771.09997558593"/>
    <x v="30"/>
    <n v="26288169966"/>
    <n v="-0.56999999999999995"/>
  </r>
  <r>
    <n v="32"/>
    <x v="1"/>
    <x v="31"/>
    <x v="3"/>
    <x v="1"/>
    <x v="1"/>
    <x v="9"/>
    <x v="1"/>
    <n v="2.3780000209808301"/>
    <n v="1758"/>
    <x v="31"/>
    <n v="25120229769"/>
    <n v="-0.94"/>
  </r>
  <r>
    <n v="33"/>
    <x v="1"/>
    <x v="32"/>
    <x v="4"/>
    <x v="1"/>
    <x v="1"/>
    <x v="10"/>
    <x v="1"/>
    <n v="2.41000008583068"/>
    <n v="1788.5"/>
    <x v="32"/>
    <n v="28881249043"/>
    <n v="2.91"/>
  </r>
  <r>
    <n v="34"/>
    <x v="1"/>
    <x v="33"/>
    <x v="5"/>
    <x v="0"/>
    <x v="1"/>
    <x v="10"/>
    <x v="1"/>
    <n v="2.41000008583068"/>
    <n v="1772.90002441406"/>
    <x v="33"/>
    <n v="15978259885"/>
    <n v="-1.41"/>
  </r>
  <r>
    <n v="35"/>
    <x v="1"/>
    <x v="34"/>
    <x v="6"/>
    <x v="0"/>
    <x v="1"/>
    <x v="9"/>
    <x v="1"/>
    <n v="2.41000008583068"/>
    <n v="1788.5"/>
    <x v="34"/>
    <n v="15886817043"/>
    <n v="0.93"/>
  </r>
  <r>
    <n v="36"/>
    <x v="1"/>
    <x v="35"/>
    <x v="0"/>
    <x v="1"/>
    <x v="1"/>
    <x v="9"/>
    <x v="1"/>
    <n v="2.46000003814697"/>
    <n v="1772.90002441406"/>
    <x v="35"/>
    <n v="28575544847"/>
    <n v="2.73"/>
  </r>
  <r>
    <n v="37"/>
    <x v="1"/>
    <x v="36"/>
    <x v="1"/>
    <x v="1"/>
    <x v="1"/>
    <x v="17"/>
    <x v="1"/>
    <n v="2.5699999332427899"/>
    <n v="1786.80004882812"/>
    <x v="36"/>
    <n v="23555719219"/>
    <n v="-2.71"/>
  </r>
  <r>
    <n v="38"/>
    <x v="1"/>
    <x v="37"/>
    <x v="2"/>
    <x v="1"/>
    <x v="1"/>
    <x v="10"/>
    <x v="1"/>
    <n v="2.53500008583068"/>
    <n v="1794"/>
    <x v="37"/>
    <n v="32837431722"/>
    <n v="3.38"/>
  </r>
  <r>
    <n v="39"/>
    <x v="1"/>
    <x v="38"/>
    <x v="3"/>
    <x v="1"/>
    <x v="1"/>
    <x v="18"/>
    <x v="1"/>
    <n v="2.4900000095367401"/>
    <n v="1795.59997558593"/>
    <x v="38"/>
    <n v="37127036580"/>
    <n v="0.04"/>
  </r>
  <r>
    <n v="40"/>
    <x v="1"/>
    <x v="39"/>
    <x v="4"/>
    <x v="1"/>
    <x v="1"/>
    <x v="17"/>
    <x v="2"/>
    <n v="2.5"/>
    <n v="1789.69995117187"/>
    <x v="39"/>
    <n v="27265804688"/>
    <n v="1.86"/>
  </r>
  <r>
    <n v="41"/>
    <x v="1"/>
    <x v="40"/>
    <x v="5"/>
    <x v="0"/>
    <x v="1"/>
    <x v="19"/>
    <x v="1"/>
    <n v="2.5"/>
    <n v="1798.59997558593"/>
    <x v="40"/>
    <n v="22987346289"/>
    <n v="0.09"/>
  </r>
  <r>
    <n v="42"/>
    <x v="1"/>
    <x v="41"/>
    <x v="6"/>
    <x v="0"/>
    <x v="1"/>
    <x v="20"/>
    <x v="1"/>
    <n v="2.5"/>
    <n v="1789.69995117187"/>
    <x v="41"/>
    <n v="22994133555"/>
    <n v="-0.43"/>
  </r>
  <r>
    <n v="43"/>
    <x v="1"/>
    <x v="42"/>
    <x v="0"/>
    <x v="1"/>
    <x v="1"/>
    <x v="21"/>
    <x v="1"/>
    <n v="2.51300001144409"/>
    <n v="1798.59997558593"/>
    <x v="42"/>
    <n v="35123501685"/>
    <n v="-0.75"/>
  </r>
  <r>
    <n v="44"/>
    <x v="1"/>
    <x v="43"/>
    <x v="1"/>
    <x v="1"/>
    <x v="1"/>
    <x v="22"/>
    <x v="1"/>
    <n v="2.59800004959106"/>
    <n v="1781.40002441406"/>
    <x v="43"/>
    <n v="27753685646"/>
    <n v="-1.05"/>
  </r>
  <r>
    <n v="45"/>
    <x v="1"/>
    <x v="44"/>
    <x v="2"/>
    <x v="1"/>
    <x v="1"/>
    <x v="18"/>
    <x v="1"/>
    <n v="2.5680000782012899"/>
    <n v="1773.19995117187"/>
    <x v="44"/>
    <n v="30931623076"/>
    <n v="-2.29"/>
  </r>
  <r>
    <n v="46"/>
    <x v="1"/>
    <x v="45"/>
    <x v="3"/>
    <x v="1"/>
    <x v="1"/>
    <x v="9"/>
    <x v="1"/>
    <n v="2.5650000572204501"/>
    <n v="1760.30004882812"/>
    <x v="45"/>
    <n v="23747613147"/>
    <n v="-0.53"/>
  </r>
  <r>
    <n v="47"/>
    <x v="1"/>
    <x v="46"/>
    <x v="4"/>
    <x v="1"/>
    <x v="1"/>
    <x v="12"/>
    <x v="1"/>
    <n v="2.5799999237060498"/>
    <n v="1755.30004882812"/>
    <x v="46"/>
    <n v="40509610260"/>
    <n v="-10.06"/>
  </r>
  <r>
    <n v="48"/>
    <x v="1"/>
    <x v="47"/>
    <x v="5"/>
    <x v="0"/>
    <x v="1"/>
    <x v="23"/>
    <x v="1"/>
    <n v="2.5799999237060498"/>
    <n v="1747.59997558593"/>
    <x v="47"/>
    <n v="27595671000"/>
    <n v="1.38"/>
  </r>
  <r>
    <n v="49"/>
    <x v="1"/>
    <x v="48"/>
    <x v="6"/>
    <x v="0"/>
    <x v="1"/>
    <x v="24"/>
    <x v="1"/>
    <n v="2.5799999237060498"/>
    <n v="1755.30004882812"/>
    <x v="48"/>
    <n v="23102307723"/>
    <n v="1.74"/>
  </r>
  <r>
    <n v="50"/>
    <x v="1"/>
    <x v="49"/>
    <x v="0"/>
    <x v="1"/>
    <x v="1"/>
    <x v="23"/>
    <x v="1"/>
    <n v="2.6480000019073402"/>
    <n v="1747.59997558593"/>
    <x v="49"/>
    <n v="31666498758"/>
    <n v="-0.63"/>
  </r>
  <r>
    <n v="51"/>
    <x v="1"/>
    <x v="50"/>
    <x v="1"/>
    <x v="1"/>
    <x v="1"/>
    <x v="14"/>
    <x v="1"/>
    <n v="2.7030000686645499"/>
    <n v="1734"/>
    <x v="50"/>
    <n v="31878280659"/>
    <n v="0.6"/>
  </r>
  <r>
    <n v="52"/>
    <x v="1"/>
    <x v="51"/>
    <x v="2"/>
    <x v="1"/>
    <x v="1"/>
    <x v="25"/>
    <x v="1"/>
    <n v="2.7130000591278001"/>
    <n v="1746.80004882812"/>
    <x v="51"/>
    <n v="31962253368"/>
    <n v="-0.62"/>
  </r>
  <r>
    <n v="53"/>
    <x v="1"/>
    <x v="52"/>
    <x v="3"/>
    <x v="1"/>
    <x v="1"/>
    <x v="25"/>
    <x v="1"/>
    <n v="2.7300000190734801"/>
    <n v="1747.80004882812"/>
    <x v="52"/>
    <n v="31028679593"/>
    <n v="0.96"/>
  </r>
  <r>
    <n v="54"/>
    <x v="1"/>
    <x v="53"/>
    <x v="4"/>
    <x v="1"/>
    <x v="1"/>
    <x v="24"/>
    <x v="1"/>
    <n v="2.75500011444091"/>
    <n v="1757.69995117187"/>
    <x v="53"/>
    <n v="42326789564"/>
    <n v="-6.21"/>
  </r>
  <r>
    <n v="55"/>
    <x v="1"/>
    <x v="54"/>
    <x v="5"/>
    <x v="0"/>
    <x v="1"/>
    <x v="14"/>
    <x v="1"/>
    <n v="2.75500011444091"/>
    <n v="1736.09997558593"/>
    <x v="54"/>
    <n v="30116729776"/>
    <n v="-1.08"/>
  </r>
  <r>
    <n v="56"/>
    <x v="1"/>
    <x v="55"/>
    <x v="6"/>
    <x v="0"/>
    <x v="1"/>
    <x v="14"/>
    <x v="1"/>
    <n v="2.75500011444091"/>
    <n v="1757.69995117187"/>
    <x v="55"/>
    <n v="24366810591"/>
    <n v="-2.12"/>
  </r>
  <r>
    <n v="57"/>
    <x v="1"/>
    <x v="56"/>
    <x v="0"/>
    <x v="1"/>
    <x v="0"/>
    <x v="4"/>
    <x v="1"/>
    <n v="2.7980000972747798"/>
    <n v="1736.09997558593"/>
    <x v="56"/>
    <n v="32637854078"/>
    <n v="3.47"/>
  </r>
  <r>
    <n v="58"/>
    <x v="1"/>
    <x v="57"/>
    <x v="1"/>
    <x v="1"/>
    <x v="1"/>
    <x v="24"/>
    <x v="1"/>
    <n v="2.8729999065399099"/>
    <n v="1736.59997558593"/>
    <x v="57"/>
    <n v="34483360283"/>
    <n v="-2.4700000000000002"/>
  </r>
  <r>
    <n v="59"/>
    <x v="1"/>
    <x v="58"/>
    <x v="2"/>
    <x v="1"/>
    <x v="0"/>
    <x v="26"/>
    <x v="1"/>
    <n v="2.8599998950958199"/>
    <n v="1723.19995117187"/>
    <x v="58"/>
    <n v="33225232872"/>
    <n v="1.28"/>
  </r>
  <r>
    <n v="60"/>
    <x v="2"/>
    <x v="59"/>
    <x v="3"/>
    <x v="1"/>
    <x v="0"/>
    <x v="3"/>
    <x v="1"/>
    <n v="2.8629999160766602"/>
    <n v="1712.80004882812"/>
    <x v="59"/>
    <n v="30182031010"/>
    <n v="0.39"/>
  </r>
  <r>
    <n v="61"/>
    <x v="2"/>
    <x v="60"/>
    <x v="4"/>
    <x v="1"/>
    <x v="1"/>
    <x v="25"/>
    <x v="1"/>
    <n v="2.8199999332427899"/>
    <n v="1696.59997558593"/>
    <x v="60"/>
    <n v="29123998928"/>
    <n v="-0.78"/>
  </r>
  <r>
    <n v="62"/>
    <x v="2"/>
    <x v="61"/>
    <x v="5"/>
    <x v="0"/>
    <x v="0"/>
    <x v="8"/>
    <x v="1"/>
    <n v="2.8199999332427899"/>
    <n v="1709.80004882812"/>
    <x v="61"/>
    <n v="23613051457"/>
    <n v="-0.69"/>
  </r>
  <r>
    <n v="63"/>
    <x v="2"/>
    <x v="62"/>
    <x v="6"/>
    <x v="0"/>
    <x v="0"/>
    <x v="3"/>
    <x v="1"/>
    <n v="2.8199999332427899"/>
    <n v="1696.59997558593"/>
    <x v="62"/>
    <n v="25245861652"/>
    <n v="0.78"/>
  </r>
  <r>
    <n v="64"/>
    <x v="2"/>
    <x v="63"/>
    <x v="0"/>
    <x v="1"/>
    <x v="0"/>
    <x v="26"/>
    <x v="1"/>
    <n v="2.8199999332427899"/>
    <n v="1709.80004882812"/>
    <x v="63"/>
    <n v="28813460025"/>
    <n v="-0.87"/>
  </r>
  <r>
    <n v="65"/>
    <x v="2"/>
    <x v="64"/>
    <x v="1"/>
    <x v="1"/>
    <x v="0"/>
    <x v="5"/>
    <x v="1"/>
    <n v="2.8450000286102202"/>
    <n v="1696.59997558593"/>
    <x v="64"/>
    <n v="43403978910"/>
    <n v="-4.92"/>
  </r>
  <r>
    <n v="66"/>
    <x v="2"/>
    <x v="65"/>
    <x v="2"/>
    <x v="1"/>
    <x v="0"/>
    <x v="4"/>
    <x v="1"/>
    <n v="2.93300008773803"/>
    <n v="1700.40002441406"/>
    <x v="65"/>
    <n v="35239757134"/>
    <n v="2.4"/>
  </r>
  <r>
    <n v="67"/>
    <x v="2"/>
    <x v="66"/>
    <x v="3"/>
    <x v="1"/>
    <x v="0"/>
    <x v="3"/>
    <x v="1"/>
    <n v="2.95000004768371"/>
    <n v="1715.30004882812"/>
    <x v="66"/>
    <n v="32194477850"/>
    <n v="0.2"/>
  </r>
  <r>
    <n v="68"/>
    <x v="2"/>
    <x v="67"/>
    <x v="4"/>
    <x v="1"/>
    <x v="0"/>
    <x v="5"/>
    <x v="1"/>
    <n v="2.9679999351501398"/>
    <n v="1708"/>
    <x v="67"/>
    <n v="48469528171"/>
    <n v="10.61"/>
  </r>
  <r>
    <n v="69"/>
    <x v="2"/>
    <x v="68"/>
    <x v="5"/>
    <x v="0"/>
    <x v="1"/>
    <x v="14"/>
    <x v="1"/>
    <n v="2.9679999351501398"/>
    <n v="1716.19995117187"/>
    <x v="68"/>
    <n v="36913738894"/>
    <n v="1.4"/>
  </r>
  <r>
    <n v="70"/>
    <x v="2"/>
    <x v="69"/>
    <x v="6"/>
    <x v="0"/>
    <x v="1"/>
    <x v="13"/>
    <x v="1"/>
    <n v="2.9679999351501398"/>
    <n v="1708"/>
    <x v="69"/>
    <n v="34493951963"/>
    <n v="0.41"/>
  </r>
  <r>
    <n v="71"/>
    <x v="2"/>
    <x v="70"/>
    <x v="0"/>
    <x v="1"/>
    <x v="1"/>
    <x v="25"/>
    <x v="1"/>
    <n v="2.9949998855590798"/>
    <n v="1716.19995117187"/>
    <x v="70"/>
    <n v="50212088965"/>
    <n v="2.76"/>
  </r>
  <r>
    <n v="72"/>
    <x v="2"/>
    <x v="71"/>
    <x v="1"/>
    <x v="1"/>
    <x v="1"/>
    <x v="11"/>
    <x v="1"/>
    <n v="3.1530001163482599"/>
    <n v="1728.09997558593"/>
    <x v="71"/>
    <n v="51091116622"/>
    <n v="-9.27"/>
  </r>
  <r>
    <n v="73"/>
    <x v="2"/>
    <x v="72"/>
    <x v="2"/>
    <x v="1"/>
    <x v="1"/>
    <x v="24"/>
    <x v="1"/>
    <n v="3.1280000209808301"/>
    <n v="1705"/>
    <x v="72"/>
    <n v="37872380889"/>
    <n v="-0.27"/>
  </r>
  <r>
    <n v="74"/>
    <x v="2"/>
    <x v="73"/>
    <x v="3"/>
    <x v="1"/>
    <x v="1"/>
    <x v="14"/>
    <x v="1"/>
    <n v="3.0950000286102202"/>
    <n v="1696.5"/>
    <x v="73"/>
    <n v="36389011503"/>
    <n v="-2.67"/>
  </r>
  <r>
    <n v="75"/>
    <x v="2"/>
    <x v="74"/>
    <x v="4"/>
    <x v="1"/>
    <x v="0"/>
    <x v="3"/>
    <x v="1"/>
    <n v="3.0699999332427899"/>
    <n v="1665.40002441406"/>
    <x v="74"/>
    <n v="30123362273"/>
    <n v="0.36"/>
  </r>
  <r>
    <n v="76"/>
    <x v="2"/>
    <x v="75"/>
    <x v="5"/>
    <x v="0"/>
    <x v="0"/>
    <x v="5"/>
    <x v="1"/>
    <n v="3.0699999332427899"/>
    <n v="1671.69995117187"/>
    <x v="75"/>
    <n v="24957448100"/>
    <n v="1.8"/>
  </r>
  <r>
    <n v="77"/>
    <x v="2"/>
    <x v="76"/>
    <x v="6"/>
    <x v="0"/>
    <x v="1"/>
    <x v="24"/>
    <x v="1"/>
    <n v="3.0699999332427899"/>
    <n v="1665.40002441406"/>
    <x v="76"/>
    <n v="31254779144"/>
    <n v="-3.52"/>
  </r>
  <r>
    <n v="78"/>
    <x v="2"/>
    <x v="77"/>
    <x v="0"/>
    <x v="1"/>
    <x v="0"/>
    <x v="8"/>
    <x v="1"/>
    <n v="3.03500008583068"/>
    <n v="1671.69995117187"/>
    <x v="77"/>
    <n v="40177002624"/>
    <n v="0.64"/>
  </r>
  <r>
    <n v="79"/>
    <x v="2"/>
    <x v="78"/>
    <x v="1"/>
    <x v="1"/>
    <x v="0"/>
    <x v="26"/>
    <x v="1"/>
    <n v="3.2430000305175701"/>
    <n v="1666.19995117187"/>
    <x v="78"/>
    <n v="36791346508"/>
    <n v="-3.34"/>
  </r>
  <r>
    <n v="80"/>
    <x v="2"/>
    <x v="79"/>
    <x v="2"/>
    <x v="1"/>
    <x v="0"/>
    <x v="26"/>
    <x v="1"/>
    <n v="3.1900000572204501"/>
    <n v="1659.69995117187"/>
    <x v="79"/>
    <n v="46363793975"/>
    <n v="-1.82"/>
  </r>
  <r>
    <n v="81"/>
    <x v="2"/>
    <x v="80"/>
    <x v="3"/>
    <x v="1"/>
    <x v="0"/>
    <x v="5"/>
    <x v="1"/>
    <n v="3.13000011444091"/>
    <n v="1664.59997558593"/>
    <x v="80"/>
    <n v="41135767926"/>
    <n v="4.67"/>
  </r>
  <r>
    <n v="82"/>
    <x v="2"/>
    <x v="81"/>
    <x v="4"/>
    <x v="1"/>
    <x v="0"/>
    <x v="3"/>
    <x v="1"/>
    <n v="3.10800004005432"/>
    <n v="1670.80004882812"/>
    <x v="81"/>
    <n v="38896078052"/>
    <n v="-0.6"/>
  </r>
  <r>
    <n v="83"/>
    <x v="2"/>
    <x v="82"/>
    <x v="5"/>
    <x v="0"/>
    <x v="0"/>
    <x v="4"/>
    <x v="1"/>
    <n v="3.10800004005432"/>
    <n v="1645.30004882812"/>
    <x v="82"/>
    <n v="26149643168"/>
    <n v="-1.87"/>
  </r>
  <r>
    <n v="84"/>
    <x v="2"/>
    <x v="83"/>
    <x v="6"/>
    <x v="0"/>
    <x v="0"/>
    <x v="4"/>
    <x v="1"/>
    <n v="3.10800004005432"/>
    <n v="1670.80004882812"/>
    <x v="83"/>
    <n v="23359966112"/>
    <n v="-0.71"/>
  </r>
  <r>
    <n v="85"/>
    <x v="2"/>
    <x v="84"/>
    <x v="0"/>
    <x v="1"/>
    <x v="0"/>
    <x v="8"/>
    <x v="1"/>
    <n v="3.1649999618530198"/>
    <n v="1645.30004882812"/>
    <x v="84"/>
    <n v="44148798321"/>
    <n v="2.2400000000000002"/>
  </r>
  <r>
    <n v="86"/>
    <x v="2"/>
    <x v="85"/>
    <x v="1"/>
    <x v="1"/>
    <x v="0"/>
    <x v="3"/>
    <x v="1"/>
    <n v="3.25"/>
    <n v="1623.30004882812"/>
    <x v="85"/>
    <n v="58571439619"/>
    <n v="-0.57999999999999996"/>
  </r>
  <r>
    <n v="87"/>
    <x v="2"/>
    <x v="86"/>
    <x v="2"/>
    <x v="1"/>
    <x v="0"/>
    <x v="3"/>
    <x v="1"/>
    <n v="3.2300000190734801"/>
    <n v="1626.69995117187"/>
    <x v="86"/>
    <n v="53071298734"/>
    <n v="1.65"/>
  </r>
  <r>
    <n v="88"/>
    <x v="2"/>
    <x v="87"/>
    <x v="3"/>
    <x v="1"/>
    <x v="0"/>
    <x v="5"/>
    <x v="1"/>
    <n v="3.2179999351501398"/>
    <n v="1660.40002441406"/>
    <x v="87"/>
    <n v="41037843771"/>
    <n v="0.75"/>
  </r>
  <r>
    <n v="89"/>
    <x v="2"/>
    <x v="88"/>
    <x v="4"/>
    <x v="1"/>
    <x v="0"/>
    <x v="8"/>
    <x v="1"/>
    <n v="3.1800000667571999"/>
    <n v="1658.5"/>
    <x v="88"/>
    <n v="43975248085"/>
    <n v="-0.72"/>
  </r>
  <r>
    <n v="90"/>
    <x v="3"/>
    <x v="89"/>
    <x v="5"/>
    <x v="0"/>
    <x v="0"/>
    <x v="3"/>
    <x v="1"/>
    <n v="3.1800000667571999"/>
    <n v="1662.40002441406"/>
    <x v="89"/>
    <n v="18719537670"/>
    <n v="-0.62"/>
  </r>
  <r>
    <n v="91"/>
    <x v="3"/>
    <x v="90"/>
    <x v="6"/>
    <x v="0"/>
    <x v="0"/>
    <x v="4"/>
    <x v="1"/>
    <n v="3.1800000667571999"/>
    <n v="1658.5"/>
    <x v="90"/>
    <n v="20765955327"/>
    <n v="-1.39"/>
  </r>
  <r>
    <n v="92"/>
    <x v="3"/>
    <x v="91"/>
    <x v="0"/>
    <x v="1"/>
    <x v="0"/>
    <x v="4"/>
    <x v="1"/>
    <n v="3.1500000953674299"/>
    <n v="1662.40002441406"/>
    <x v="91"/>
    <n v="30484729489"/>
    <n v="3.04"/>
  </r>
  <r>
    <n v="93"/>
    <x v="3"/>
    <x v="92"/>
    <x v="1"/>
    <x v="1"/>
    <x v="0"/>
    <x v="3"/>
    <x v="1"/>
    <n v="3.3150000572204501"/>
    <n v="1692.90002441406"/>
    <x v="92"/>
    <n v="35887278685"/>
    <n v="3.63"/>
  </r>
  <r>
    <n v="94"/>
    <x v="3"/>
    <x v="93"/>
    <x v="2"/>
    <x v="1"/>
    <x v="1"/>
    <x v="25"/>
    <x v="1"/>
    <n v="3.2929999828338601"/>
    <n v="1721.09997558593"/>
    <x v="93"/>
    <n v="33223790572"/>
    <n v="-0.87"/>
  </r>
  <r>
    <n v="95"/>
    <x v="3"/>
    <x v="94"/>
    <x v="3"/>
    <x v="1"/>
    <x v="1"/>
    <x v="13"/>
    <x v="1"/>
    <n v="3.2880001068115199"/>
    <n v="1711.40002441406"/>
    <x v="94"/>
    <n v="34711412966"/>
    <n v="-1.02"/>
  </r>
  <r>
    <n v="96"/>
    <x v="3"/>
    <x v="95"/>
    <x v="4"/>
    <x v="1"/>
    <x v="0"/>
    <x v="26"/>
    <x v="1"/>
    <n v="3.2929999828338601"/>
    <n v="1711.69995117187"/>
    <x v="95"/>
    <n v="29227315390"/>
    <n v="-2.0499999999999998"/>
  </r>
  <r>
    <n v="97"/>
    <x v="3"/>
    <x v="96"/>
    <x v="5"/>
    <x v="0"/>
    <x v="0"/>
    <x v="4"/>
    <x v="1"/>
    <n v="3.2929999828338601"/>
    <n v="1700.5"/>
    <x v="96"/>
    <n v="16437423167"/>
    <n v="-0.67"/>
  </r>
  <r>
    <n v="98"/>
    <x v="3"/>
    <x v="97"/>
    <x v="6"/>
    <x v="0"/>
    <x v="0"/>
    <x v="5"/>
    <x v="1"/>
    <n v="3.2929999828338601"/>
    <n v="1711.69995117187"/>
    <x v="97"/>
    <n v="16837262532"/>
    <n v="0.15"/>
  </r>
  <r>
    <n v="99"/>
    <x v="3"/>
    <x v="98"/>
    <x v="0"/>
    <x v="1"/>
    <x v="0"/>
    <x v="5"/>
    <x v="1"/>
    <n v="3.28500008583068"/>
    <n v="1700.5"/>
    <x v="98"/>
    <n v="27425022774"/>
    <n v="-1.57"/>
  </r>
  <r>
    <n v="100"/>
    <x v="3"/>
    <x v="99"/>
    <x v="1"/>
    <x v="1"/>
    <x v="0"/>
    <x v="4"/>
    <x v="1"/>
    <n v="3.3399999141693102"/>
    <n v="1667.30004882812"/>
    <x v="99"/>
    <n v="28711532910"/>
    <n v="-0.47"/>
  </r>
  <r>
    <n v="101"/>
    <x v="3"/>
    <x v="100"/>
    <x v="2"/>
    <x v="1"/>
    <x v="0"/>
    <x v="3"/>
    <x v="1"/>
    <n v="3.5329999923706001"/>
    <n v="1678.69995117187"/>
    <x v="100"/>
    <n v="24950173846"/>
    <n v="0.56000000000000005"/>
  </r>
  <r>
    <n v="102"/>
    <x v="3"/>
    <x v="101"/>
    <x v="3"/>
    <x v="1"/>
    <x v="0"/>
    <x v="3"/>
    <x v="1"/>
    <n v="3.5829999446868799"/>
    <n v="1670.30004882812"/>
    <x v="101"/>
    <n v="44219840004"/>
    <n v="1.18"/>
  </r>
  <r>
    <n v="103"/>
    <x v="3"/>
    <x v="102"/>
    <x v="4"/>
    <x v="1"/>
    <x v="0"/>
    <x v="4"/>
    <x v="1"/>
    <n v="3.6280000209808301"/>
    <n v="1670"/>
    <x v="102"/>
    <n v="38452356727"/>
    <n v="-1.02"/>
  </r>
  <r>
    <n v="104"/>
    <x v="3"/>
    <x v="103"/>
    <x v="5"/>
    <x v="0"/>
    <x v="0"/>
    <x v="4"/>
    <x v="1"/>
    <n v="3.6280000209808301"/>
    <n v="1641.69995117187"/>
    <x v="103"/>
    <n v="16192235532"/>
    <n v="-0.62"/>
  </r>
  <r>
    <n v="105"/>
    <x v="3"/>
    <x v="104"/>
    <x v="6"/>
    <x v="0"/>
    <x v="0"/>
    <x v="4"/>
    <x v="1"/>
    <n v="3.6280000209808301"/>
    <n v="1670"/>
    <x v="104"/>
    <n v="17988916650"/>
    <n v="1.05"/>
  </r>
  <r>
    <n v="106"/>
    <x v="3"/>
    <x v="105"/>
    <x v="0"/>
    <x v="1"/>
    <x v="0"/>
    <x v="3"/>
    <x v="1"/>
    <n v="3.6879999637603702"/>
    <n v="1641.69995117187"/>
    <x v="105"/>
    <n v="27472552998"/>
    <n v="1.47"/>
  </r>
  <r>
    <n v="107"/>
    <x v="3"/>
    <x v="106"/>
    <x v="1"/>
    <x v="1"/>
    <x v="0"/>
    <x v="5"/>
    <x v="1"/>
    <n v="3.8329999446868799"/>
    <n v="1657"/>
    <x v="106"/>
    <n v="30580012344"/>
    <n v="-1.1100000000000001"/>
  </r>
  <r>
    <n v="108"/>
    <x v="3"/>
    <x v="107"/>
    <x v="2"/>
    <x v="1"/>
    <x v="0"/>
    <x v="26"/>
    <x v="1"/>
    <n v="3.8929998874664302"/>
    <n v="1649"/>
    <x v="107"/>
    <n v="22425387184"/>
    <n v="-1.01"/>
  </r>
  <r>
    <n v="109"/>
    <x v="3"/>
    <x v="108"/>
    <x v="3"/>
    <x v="1"/>
    <x v="0"/>
    <x v="26"/>
    <x v="1"/>
    <n v="3.8900001049041699"/>
    <n v="1627.5"/>
    <x v="108"/>
    <n v="24493974420"/>
    <n v="-0.45"/>
  </r>
  <r>
    <n v="110"/>
    <x v="3"/>
    <x v="109"/>
    <x v="4"/>
    <x v="1"/>
    <x v="0"/>
    <x v="26"/>
    <x v="1"/>
    <n v="3.8849999904632502"/>
    <n v="1630.80004882812"/>
    <x v="109"/>
    <n v="32459287866"/>
    <n v="0.62"/>
  </r>
  <r>
    <n v="111"/>
    <x v="3"/>
    <x v="110"/>
    <x v="5"/>
    <x v="0"/>
    <x v="0"/>
    <x v="3"/>
    <x v="1"/>
    <n v="3.8849999904632502"/>
    <n v="1651"/>
    <x v="110"/>
    <n v="16104440957"/>
    <n v="0.19"/>
  </r>
  <r>
    <n v="112"/>
    <x v="3"/>
    <x v="111"/>
    <x v="6"/>
    <x v="0"/>
    <x v="0"/>
    <x v="26"/>
    <x v="1"/>
    <n v="3.8849999904632502"/>
    <n v="1630.80004882812"/>
    <x v="111"/>
    <n v="22128794335"/>
    <n v="1.87"/>
  </r>
  <r>
    <n v="113"/>
    <x v="3"/>
    <x v="112"/>
    <x v="0"/>
    <x v="1"/>
    <x v="0"/>
    <x v="5"/>
    <x v="1"/>
    <n v="3.9130001068115199"/>
    <n v="1651"/>
    <x v="112"/>
    <n v="30202235805"/>
    <n v="-1.1299999999999999"/>
  </r>
  <r>
    <n v="114"/>
    <x v="3"/>
    <x v="113"/>
    <x v="1"/>
    <x v="1"/>
    <x v="0"/>
    <x v="3"/>
    <x v="1"/>
    <n v="3.9649999141693102"/>
    <n v="1648.69995117187"/>
    <x v="113"/>
    <n v="47761524910"/>
    <n v="3.88"/>
  </r>
  <r>
    <n v="115"/>
    <x v="3"/>
    <x v="114"/>
    <x v="2"/>
    <x v="1"/>
    <x v="1"/>
    <x v="12"/>
    <x v="1"/>
    <n v="3.9300000667571999"/>
    <n v="1652.80004882812"/>
    <x v="114"/>
    <n v="58895950537"/>
    <n v="3.36"/>
  </r>
  <r>
    <n v="116"/>
    <x v="3"/>
    <x v="115"/>
    <x v="3"/>
    <x v="1"/>
    <x v="1"/>
    <x v="15"/>
    <x v="1"/>
    <n v="3.9300000667571999"/>
    <n v="1664"/>
    <x v="115"/>
    <n v="49625110402"/>
    <n v="-2.33"/>
  </r>
  <r>
    <n v="117"/>
    <x v="3"/>
    <x v="116"/>
    <x v="4"/>
    <x v="1"/>
    <x v="1"/>
    <x v="9"/>
    <x v="1"/>
    <n v="3.9700000286102202"/>
    <n v="1660.69995117187"/>
    <x v="116"/>
    <n v="43994715910"/>
    <n v="1.53"/>
  </r>
  <r>
    <n v="118"/>
    <x v="3"/>
    <x v="117"/>
    <x v="5"/>
    <x v="0"/>
    <x v="1"/>
    <x v="11"/>
    <x v="1"/>
    <n v="3.9700000286102202"/>
    <n v="1639.59997558593"/>
    <x v="117"/>
    <n v="40369840645"/>
    <n v="1.08"/>
  </r>
  <r>
    <n v="119"/>
    <x v="3"/>
    <x v="118"/>
    <x v="6"/>
    <x v="0"/>
    <x v="1"/>
    <x v="11"/>
    <x v="1"/>
    <n v="3.9700000286102202"/>
    <n v="1660.69995117187"/>
    <x v="118"/>
    <n v="31486345556"/>
    <n v="-0.88"/>
  </r>
  <r>
    <n v="120"/>
    <x v="3"/>
    <x v="119"/>
    <x v="0"/>
    <x v="1"/>
    <x v="1"/>
    <x v="10"/>
    <x v="1"/>
    <n v="3.9749999046325599"/>
    <n v="1639.59997558593"/>
    <x v="119"/>
    <n v="45668466815"/>
    <n v="-0.68"/>
  </r>
  <r>
    <n v="121"/>
    <x v="4"/>
    <x v="120"/>
    <x v="1"/>
    <x v="1"/>
    <x v="1"/>
    <x v="9"/>
    <x v="1"/>
    <n v="4.0500001907348597"/>
    <n v="1635.90002441406"/>
    <x v="120"/>
    <n v="39819303159"/>
    <n v="-0.05"/>
  </r>
  <r>
    <n v="122"/>
    <x v="4"/>
    <x v="121"/>
    <x v="2"/>
    <x v="1"/>
    <x v="1"/>
    <x v="9"/>
    <x v="3"/>
    <n v="4.0250000953674299"/>
    <n v="1645"/>
    <x v="121"/>
    <n v="55552169483"/>
    <n v="-1.59"/>
  </r>
  <r>
    <n v="123"/>
    <x v="4"/>
    <x v="122"/>
    <x v="3"/>
    <x v="1"/>
    <x v="1"/>
    <x v="9"/>
    <x v="1"/>
    <n v="4.0250000953674299"/>
    <n v="1645.69995117187"/>
    <x v="122"/>
    <n v="43228750179"/>
    <n v="0.25"/>
  </r>
  <r>
    <n v="124"/>
    <x v="4"/>
    <x v="123"/>
    <x v="4"/>
    <x v="1"/>
    <x v="1"/>
    <x v="9"/>
    <x v="1"/>
    <n v="4.01300001144409"/>
    <n v="1627.30004882812"/>
    <x v="123"/>
    <n v="64072727950"/>
    <n v="4.6399999999999997"/>
  </r>
  <r>
    <n v="125"/>
    <x v="4"/>
    <x v="124"/>
    <x v="5"/>
    <x v="0"/>
    <x v="1"/>
    <x v="27"/>
    <x v="1"/>
    <n v="4.01300001144409"/>
    <n v="1672.5"/>
    <x v="124"/>
    <n v="37846047609"/>
    <n v="0.64"/>
  </r>
  <r>
    <n v="126"/>
    <x v="4"/>
    <x v="125"/>
    <x v="6"/>
    <x v="0"/>
    <x v="1"/>
    <x v="28"/>
    <x v="1"/>
    <n v="4.01300001144409"/>
    <n v="1627.30004882812"/>
    <x v="125"/>
    <n v="35082693210"/>
    <n v="-1.67"/>
  </r>
  <r>
    <n v="127"/>
    <x v="4"/>
    <x v="126"/>
    <x v="0"/>
    <x v="1"/>
    <x v="1"/>
    <x v="12"/>
    <x v="1"/>
    <n v="3.98300004005432"/>
    <n v="1672.5"/>
    <x v="126"/>
    <n v="53510852236"/>
    <n v="-1.55"/>
  </r>
  <r>
    <n v="128"/>
    <x v="4"/>
    <x v="127"/>
    <x v="1"/>
    <x v="1"/>
    <x v="1"/>
    <x v="10"/>
    <x v="1"/>
    <n v="4.0900001525878897"/>
    <n v="1676.5"/>
    <x v="127"/>
    <n v="118992465607"/>
    <n v="-10.01"/>
  </r>
  <r>
    <n v="129"/>
    <x v="4"/>
    <x v="128"/>
    <x v="2"/>
    <x v="1"/>
    <x v="1"/>
    <x v="23"/>
    <x v="1"/>
    <n v="4.0929999351501403"/>
    <n v="1712.09997558593"/>
    <x v="128"/>
    <n v="102905151606"/>
    <n v="-14.35"/>
  </r>
  <r>
    <n v="130"/>
    <x v="4"/>
    <x v="129"/>
    <x v="3"/>
    <x v="1"/>
    <x v="0"/>
    <x v="5"/>
    <x v="1"/>
    <n v="4.0549998283386204"/>
    <n v="1710.09997558593"/>
    <x v="129"/>
    <n v="83202283721"/>
    <n v="10.74"/>
  </r>
  <r>
    <n v="131"/>
    <x v="4"/>
    <x v="130"/>
    <x v="4"/>
    <x v="1"/>
    <x v="1"/>
    <x v="25"/>
    <x v="1"/>
    <n v="4.0630002021789497"/>
    <n v="1750.30004882812"/>
    <x v="130"/>
    <n v="55871616488"/>
    <n v="-3.14"/>
  </r>
  <r>
    <n v="132"/>
    <x v="4"/>
    <x v="131"/>
    <x v="5"/>
    <x v="0"/>
    <x v="0"/>
    <x v="8"/>
    <x v="1"/>
    <n v="4.0630002021789497"/>
    <n v="1766"/>
    <x v="131"/>
    <n v="29717699419"/>
    <n v="-1.38"/>
  </r>
  <r>
    <n v="133"/>
    <x v="4"/>
    <x v="132"/>
    <x v="6"/>
    <x v="0"/>
    <x v="0"/>
    <x v="5"/>
    <x v="1"/>
    <n v="4.0630002021789497"/>
    <n v="1750.30004882812"/>
    <x v="132"/>
    <n v="27209183682"/>
    <n v="-2.65"/>
  </r>
  <r>
    <n v="134"/>
    <x v="4"/>
    <x v="133"/>
    <x v="0"/>
    <x v="1"/>
    <x v="0"/>
    <x v="4"/>
    <x v="1"/>
    <n v="4.0679998397827104"/>
    <n v="1766"/>
    <x v="133"/>
    <n v="49630243054"/>
    <n v="1.62"/>
  </r>
  <r>
    <n v="135"/>
    <x v="4"/>
    <x v="134"/>
    <x v="1"/>
    <x v="1"/>
    <x v="0"/>
    <x v="5"/>
    <x v="1"/>
    <n v="4.13000011444091"/>
    <n v="1773.59997558593"/>
    <x v="134"/>
    <n v="36599436183"/>
    <n v="1.6"/>
  </r>
  <r>
    <n v="136"/>
    <x v="4"/>
    <x v="135"/>
    <x v="2"/>
    <x v="1"/>
    <x v="0"/>
    <x v="26"/>
    <x v="1"/>
    <n v="4.125"/>
    <n v="1773.80004882812"/>
    <x v="135"/>
    <n v="33925512989"/>
    <n v="-1.27"/>
  </r>
  <r>
    <n v="137"/>
    <x v="4"/>
    <x v="136"/>
    <x v="3"/>
    <x v="1"/>
    <x v="0"/>
    <x v="3"/>
    <x v="1"/>
    <n v="4.1129999160766602"/>
    <n v="1773"/>
    <x v="136"/>
    <n v="27868914022"/>
    <n v="0.11"/>
  </r>
  <r>
    <n v="138"/>
    <x v="4"/>
    <x v="137"/>
    <x v="4"/>
    <x v="1"/>
    <x v="0"/>
    <x v="26"/>
    <x v="1"/>
    <n v="4.1350002288818297"/>
    <n v="1760.80004882812"/>
    <x v="137"/>
    <n v="26862218609"/>
    <n v="0.06"/>
  </r>
  <r>
    <n v="139"/>
    <x v="4"/>
    <x v="138"/>
    <x v="5"/>
    <x v="0"/>
    <x v="0"/>
    <x v="26"/>
    <x v="1"/>
    <n v="4.1350002288818297"/>
    <n v="1751.90002441406"/>
    <x v="138"/>
    <n v="16106223492"/>
    <n v="0.08"/>
  </r>
  <r>
    <n v="140"/>
    <x v="4"/>
    <x v="139"/>
    <x v="6"/>
    <x v="0"/>
    <x v="0"/>
    <x v="4"/>
    <x v="1"/>
    <n v="4.1350002288818297"/>
    <n v="1760.80004882812"/>
    <x v="139"/>
    <n v="21313378652"/>
    <n v="-2.5099999999999998"/>
  </r>
  <r>
    <n v="141"/>
    <x v="4"/>
    <x v="140"/>
    <x v="0"/>
    <x v="1"/>
    <x v="0"/>
    <x v="8"/>
    <x v="1"/>
    <n v="4.09800004959106"/>
    <n v="1751.90002441406"/>
    <x v="140"/>
    <n v="37429485518"/>
    <n v="-3.1"/>
  </r>
  <r>
    <n v="142"/>
    <x v="4"/>
    <x v="141"/>
    <x v="1"/>
    <x v="1"/>
    <x v="0"/>
    <x v="5"/>
    <x v="1"/>
    <n v="4.1979999542236301"/>
    <n v="1737.40002441406"/>
    <x v="141"/>
    <n v="30726828760"/>
    <n v="2.5499999999999998"/>
  </r>
  <r>
    <n v="143"/>
    <x v="4"/>
    <x v="142"/>
    <x v="2"/>
    <x v="1"/>
    <x v="0"/>
    <x v="5"/>
    <x v="1"/>
    <n v="4.1999998092651296"/>
    <n v="1738.30004882812"/>
    <x v="142"/>
    <n v="32958875628"/>
    <n v="2.6"/>
  </r>
  <r>
    <n v="144"/>
    <x v="4"/>
    <x v="143"/>
    <x v="3"/>
    <x v="1"/>
    <x v="0"/>
    <x v="3"/>
    <x v="1"/>
    <n v="4.1999998092651296"/>
    <n v="1744.90002441406"/>
    <x v="143"/>
    <n v="26129037414"/>
    <n v="-0.04"/>
  </r>
  <r>
    <n v="145"/>
    <x v="4"/>
    <x v="144"/>
    <x v="4"/>
    <x v="1"/>
    <x v="0"/>
    <x v="3"/>
    <x v="1"/>
    <n v="4.1750001907348597"/>
    <n v="1738.30004882812"/>
    <x v="144"/>
    <n v="18678255976"/>
    <n v="-0.5"/>
  </r>
  <r>
    <n v="146"/>
    <x v="4"/>
    <x v="145"/>
    <x v="5"/>
    <x v="0"/>
    <x v="0"/>
    <x v="5"/>
    <x v="1"/>
    <n v="4.1750001907348597"/>
    <n v="1753.30004882812"/>
    <x v="145"/>
    <n v="18000008764"/>
    <n v="-0.35"/>
  </r>
  <r>
    <n v="147"/>
    <x v="4"/>
    <x v="146"/>
    <x v="6"/>
    <x v="0"/>
    <x v="1"/>
    <x v="13"/>
    <x v="1"/>
    <n v="4.1750001907348597"/>
    <n v="1738.30004882812"/>
    <x v="146"/>
    <n v="20443898509"/>
    <n v="-0.12"/>
  </r>
  <r>
    <n v="148"/>
    <x v="4"/>
    <x v="147"/>
    <x v="0"/>
    <x v="1"/>
    <x v="1"/>
    <x v="14"/>
    <x v="1"/>
    <n v="4.18300008773803"/>
    <n v="1753.30004882812"/>
    <x v="147"/>
    <n v="27743025156"/>
    <n v="-1.38"/>
  </r>
  <r>
    <n v="149"/>
    <x v="4"/>
    <x v="148"/>
    <x v="1"/>
    <x v="1"/>
    <x v="1"/>
    <x v="13"/>
    <x v="1"/>
    <n v="4.2529997825622496"/>
    <n v="1740.09997558593"/>
    <x v="148"/>
    <n v="23581685468"/>
    <n v="1.4"/>
  </r>
  <r>
    <n v="150"/>
    <x v="4"/>
    <x v="149"/>
    <x v="2"/>
    <x v="1"/>
    <x v="1"/>
    <x v="23"/>
    <x v="1"/>
    <n v="4.2529997825622496"/>
    <n v="1748.40002441406"/>
    <x v="149"/>
    <n v="29523576583"/>
    <n v="4.4000000000000004"/>
  </r>
  <r>
    <n v="151"/>
    <x v="5"/>
    <x v="150"/>
    <x v="3"/>
    <x v="1"/>
    <x v="1"/>
    <x v="24"/>
    <x v="1"/>
    <n v="4.1929998397827104"/>
    <n v="1746"/>
    <x v="150"/>
    <n v="22895392882"/>
    <n v="-1.17"/>
  </r>
  <r>
    <n v="152"/>
    <x v="5"/>
    <x v="151"/>
    <x v="4"/>
    <x v="1"/>
    <x v="1"/>
    <x v="24"/>
    <x v="1"/>
    <n v="4.2080001831054599"/>
    <n v="1801.09997558593"/>
    <x v="151"/>
    <n v="19539705127"/>
    <n v="0.72"/>
  </r>
  <r>
    <n v="153"/>
    <x v="5"/>
    <x v="152"/>
    <x v="5"/>
    <x v="0"/>
    <x v="1"/>
    <x v="24"/>
    <x v="1"/>
    <n v="4.2080001831054599"/>
    <n v="1795.90002441406"/>
    <x v="152"/>
    <n v="16217776704"/>
    <n v="-1.06"/>
  </r>
  <r>
    <n v="154"/>
    <x v="5"/>
    <x v="153"/>
    <x v="6"/>
    <x v="0"/>
    <x v="1"/>
    <x v="13"/>
    <x v="1"/>
    <n v="4.2080001831054599"/>
    <n v="1801.09997558593"/>
    <x v="153"/>
    <n v="16824520830"/>
    <n v="1.31"/>
  </r>
  <r>
    <n v="155"/>
    <x v="5"/>
    <x v="154"/>
    <x v="0"/>
    <x v="1"/>
    <x v="1"/>
    <x v="13"/>
    <x v="1"/>
    <n v="4.1579999923706001"/>
    <n v="1795.90002441406"/>
    <x v="154"/>
    <n v="22209086834"/>
    <n v="-0.91"/>
  </r>
  <r>
    <n v="156"/>
    <x v="5"/>
    <x v="155"/>
    <x v="1"/>
    <x v="1"/>
    <x v="1"/>
    <x v="25"/>
    <x v="1"/>
    <n v="4.2199997901916504"/>
    <n v="1767.40002441406"/>
    <x v="155"/>
    <n v="19889922369"/>
    <n v="0.68"/>
  </r>
  <r>
    <n v="157"/>
    <x v="5"/>
    <x v="156"/>
    <x v="2"/>
    <x v="1"/>
    <x v="1"/>
    <x v="23"/>
    <x v="1"/>
    <n v="4.18300008773803"/>
    <n v="1769.30004882812"/>
    <x v="156"/>
    <n v="19675404389"/>
    <n v="-1.41"/>
  </r>
  <r>
    <n v="158"/>
    <x v="5"/>
    <x v="157"/>
    <x v="3"/>
    <x v="1"/>
    <x v="1"/>
    <x v="25"/>
    <x v="1"/>
    <n v="4.1500000953674299"/>
    <n v="1785.5"/>
    <x v="157"/>
    <n v="20496603770"/>
    <n v="2.29"/>
  </r>
  <r>
    <n v="159"/>
    <x v="5"/>
    <x v="158"/>
    <x v="4"/>
    <x v="1"/>
    <x v="1"/>
    <x v="13"/>
    <x v="1"/>
    <n v="4.1729998588562003"/>
    <n v="1788.69995117187"/>
    <x v="158"/>
    <n v="20328426366"/>
    <n v="-0.57999999999999996"/>
  </r>
  <r>
    <n v="160"/>
    <x v="5"/>
    <x v="159"/>
    <x v="5"/>
    <x v="0"/>
    <x v="1"/>
    <x v="24"/>
    <x v="1"/>
    <n v="4.1729998588562003"/>
    <n v="1798.09997558593"/>
    <x v="159"/>
    <n v="12706781969"/>
    <n v="-0.03"/>
  </r>
  <r>
    <n v="161"/>
    <x v="5"/>
    <x v="160"/>
    <x v="6"/>
    <x v="0"/>
    <x v="1"/>
    <x v="13"/>
    <x v="1"/>
    <n v="4.1729998588562003"/>
    <n v="1788.69995117187"/>
    <x v="160"/>
    <n v="14122486832"/>
    <n v="-0.14000000000000001"/>
  </r>
  <r>
    <n v="162"/>
    <x v="5"/>
    <x v="161"/>
    <x v="0"/>
    <x v="1"/>
    <x v="1"/>
    <x v="24"/>
    <x v="4"/>
    <n v="4.1680002212524396"/>
    <n v="1798.09997558593"/>
    <x v="161"/>
    <n v="19617581341"/>
    <n v="0.6"/>
  </r>
  <r>
    <n v="163"/>
    <x v="5"/>
    <x v="162"/>
    <x v="1"/>
    <x v="1"/>
    <x v="1"/>
    <x v="24"/>
    <x v="1"/>
    <n v="4.2480001449584899"/>
    <n v="1780.5"/>
    <x v="162"/>
    <n v="26634741631"/>
    <n v="3.34"/>
  </r>
  <r>
    <n v="164"/>
    <x v="5"/>
    <x v="163"/>
    <x v="2"/>
    <x v="1"/>
    <x v="1"/>
    <x v="9"/>
    <x v="1"/>
    <n v="4.2199997901916504"/>
    <n v="1813.90002441406"/>
    <x v="163"/>
    <n v="25534481470"/>
    <n v="0.19"/>
  </r>
  <r>
    <n v="165"/>
    <x v="5"/>
    <x v="164"/>
    <x v="3"/>
    <x v="1"/>
    <x v="1"/>
    <x v="10"/>
    <x v="1"/>
    <n v="4.2129998207092196"/>
    <n v="1807.5"/>
    <x v="164"/>
    <n v="20964448341"/>
    <n v="-2.5299999999999998"/>
  </r>
  <r>
    <n v="166"/>
    <x v="5"/>
    <x v="165"/>
    <x v="4"/>
    <x v="1"/>
    <x v="1"/>
    <x v="23"/>
    <x v="1"/>
    <n v="4.1630001068115199"/>
    <n v="1777.19995117187"/>
    <x v="165"/>
    <n v="24031608960"/>
    <n v="-4.13"/>
  </r>
  <r>
    <n v="167"/>
    <x v="5"/>
    <x v="166"/>
    <x v="5"/>
    <x v="0"/>
    <x v="1"/>
    <x v="14"/>
    <x v="1"/>
    <n v="4.1630001068115199"/>
    <n v="1790"/>
    <x v="166"/>
    <n v="14463581825"/>
    <n v="0.89"/>
  </r>
  <r>
    <n v="168"/>
    <x v="5"/>
    <x v="167"/>
    <x v="6"/>
    <x v="0"/>
    <x v="1"/>
    <x v="13"/>
    <x v="1"/>
    <n v="4.1630001068115199"/>
    <n v="1777.19995117187"/>
    <x v="167"/>
    <n v="10924354698"/>
    <n v="-0.22"/>
  </r>
  <r>
    <n v="169"/>
    <x v="5"/>
    <x v="168"/>
    <x v="0"/>
    <x v="1"/>
    <x v="1"/>
    <x v="23"/>
    <x v="1"/>
    <n v="4.1630001068115199"/>
    <n v="1790"/>
    <x v="168"/>
    <n v="17221074814"/>
    <n v="-1.9"/>
  </r>
  <r>
    <n v="170"/>
    <x v="5"/>
    <x v="169"/>
    <x v="1"/>
    <x v="1"/>
    <x v="1"/>
    <x v="23"/>
    <x v="1"/>
    <n v="4.2300000190734801"/>
    <n v="1787.69995117187"/>
    <x v="169"/>
    <n v="22722096615"/>
    <n v="2.84"/>
  </r>
  <r>
    <n v="171"/>
    <x v="5"/>
    <x v="170"/>
    <x v="2"/>
    <x v="1"/>
    <x v="1"/>
    <x v="13"/>
    <x v="1"/>
    <n v="4.2049999237060502"/>
    <n v="1815.90002441406"/>
    <x v="170"/>
    <n v="14882945045"/>
    <n v="-0.53"/>
  </r>
  <r>
    <n v="172"/>
    <x v="5"/>
    <x v="171"/>
    <x v="3"/>
    <x v="1"/>
    <x v="1"/>
    <x v="14"/>
    <x v="1"/>
    <n v="4.2080001831054599"/>
    <n v="1815.90002441406"/>
    <x v="171"/>
    <n v="16441573050"/>
    <n v="0.08"/>
  </r>
  <r>
    <n v="173"/>
    <x v="5"/>
    <x v="172"/>
    <x v="4"/>
    <x v="1"/>
    <x v="1"/>
    <x v="24"/>
    <x v="1"/>
    <n v="4.1929998397827104"/>
    <n v="1787"/>
    <x v="172"/>
    <n v="15329265213"/>
    <n v="-0.2"/>
  </r>
  <r>
    <n v="174"/>
    <x v="5"/>
    <x v="173"/>
    <x v="5"/>
    <x v="0"/>
    <x v="1"/>
    <x v="23"/>
    <x v="1"/>
    <n v="4.1929998397827104"/>
    <n v="1795.90002441406"/>
    <x v="173"/>
    <n v="9744636213"/>
    <n v="0.3"/>
  </r>
  <r>
    <n v="175"/>
    <x v="5"/>
    <x v="174"/>
    <x v="6"/>
    <x v="0"/>
    <x v="1"/>
    <x v="23"/>
    <x v="1"/>
    <n v="4.1929998397827104"/>
    <n v="1787"/>
    <x v="174"/>
    <n v="11656379938"/>
    <n v="-0.03"/>
  </r>
  <r>
    <n v="176"/>
    <x v="5"/>
    <x v="175"/>
    <x v="0"/>
    <x v="1"/>
    <x v="1"/>
    <x v="14"/>
    <x v="1"/>
    <n v="4.1929998397827104"/>
    <n v="1795.90002441406"/>
    <x v="175"/>
    <n v="11886957804"/>
    <n v="0.46"/>
  </r>
  <r>
    <n v="177"/>
    <x v="5"/>
    <x v="176"/>
    <x v="1"/>
    <x v="1"/>
    <x v="1"/>
    <x v="24"/>
    <x v="1"/>
    <n v="4.1950001716613698"/>
    <n v="1787"/>
    <x v="176"/>
    <n v="15748580239"/>
    <n v="-1.2"/>
  </r>
  <r>
    <n v="178"/>
    <x v="5"/>
    <x v="177"/>
    <x v="2"/>
    <x v="1"/>
    <x v="1"/>
    <x v="14"/>
    <x v="1"/>
    <n v="4.3379998207092196"/>
    <n v="1814.80004882812"/>
    <x v="177"/>
    <n v="17005713920"/>
    <n v="-0.98"/>
  </r>
  <r>
    <n v="179"/>
    <x v="5"/>
    <x v="178"/>
    <x v="3"/>
    <x v="1"/>
    <x v="1"/>
    <x v="14"/>
    <x v="1"/>
    <n v="4.29500007629394"/>
    <n v="1807.90002441406"/>
    <x v="178"/>
    <n v="14472237479"/>
    <n v="0.54"/>
  </r>
  <r>
    <n v="180"/>
    <x v="5"/>
    <x v="179"/>
    <x v="4"/>
    <x v="1"/>
    <x v="1"/>
    <x v="14"/>
    <x v="1"/>
    <n v="4.2600002288818297"/>
    <n v="1819.5"/>
    <x v="179"/>
    <n v="15929162910"/>
    <n v="-0.24"/>
  </r>
  <r>
    <n v="181"/>
    <x v="5"/>
    <x v="180"/>
    <x v="5"/>
    <x v="0"/>
    <x v="1"/>
    <x v="25"/>
    <x v="1"/>
    <n v="4.2600002288818297"/>
    <n v="1819.69995117187"/>
    <x v="180"/>
    <n v="11239186456"/>
    <n v="-0.33"/>
  </r>
  <r>
    <n v="182"/>
    <x v="6"/>
    <x v="181"/>
    <x v="6"/>
    <x v="0"/>
    <x v="1"/>
    <x v="13"/>
    <x v="1"/>
    <n v="4.2600002288818297"/>
    <n v="1819.5"/>
    <x v="181"/>
    <n v="9244361700"/>
    <n v="0.47"/>
  </r>
  <r>
    <n v="183"/>
    <x v="6"/>
    <x v="182"/>
    <x v="0"/>
    <x v="1"/>
    <x v="1"/>
    <x v="24"/>
    <x v="1"/>
    <n v="4.2600002288818297"/>
    <n v="1819.69995117187"/>
    <x v="182"/>
    <n v="12097775227"/>
    <n v="0.38"/>
  </r>
  <r>
    <n v="184"/>
    <x v="6"/>
    <x v="183"/>
    <x v="1"/>
    <x v="1"/>
    <x v="1"/>
    <x v="13"/>
    <x v="1"/>
    <n v="4.25500011444091"/>
    <n v="1819.5"/>
    <x v="183"/>
    <n v="13903079207"/>
    <n v="-0.05"/>
  </r>
  <r>
    <n v="185"/>
    <x v="6"/>
    <x v="184"/>
    <x v="2"/>
    <x v="1"/>
    <x v="1"/>
    <x v="23"/>
    <x v="1"/>
    <n v="4.4000000953674299"/>
    <n v="1839.69995117187"/>
    <x v="184"/>
    <n v="18421743322"/>
    <n v="1.1000000000000001"/>
  </r>
  <r>
    <n v="186"/>
    <x v="6"/>
    <x v="185"/>
    <x v="3"/>
    <x v="1"/>
    <x v="1"/>
    <x v="23"/>
    <x v="1"/>
    <n v="4.4980001449584899"/>
    <n v="1852.80004882812"/>
    <x v="185"/>
    <n v="13692758566"/>
    <n v="-0.16"/>
  </r>
  <r>
    <n v="187"/>
    <x v="6"/>
    <x v="186"/>
    <x v="4"/>
    <x v="1"/>
    <x v="1"/>
    <x v="13"/>
    <x v="1"/>
    <n v="4.4930000305175701"/>
    <n v="1834.80004882812"/>
    <x v="186"/>
    <n v="14413662913"/>
    <n v="0.68"/>
  </r>
  <r>
    <n v="188"/>
    <x v="6"/>
    <x v="187"/>
    <x v="5"/>
    <x v="0"/>
    <x v="1"/>
    <x v="25"/>
    <x v="1"/>
    <n v="4.4930000305175701"/>
    <n v="1864.19995117187"/>
    <x v="187"/>
    <n v="7714767174"/>
    <n v="0.02"/>
  </r>
  <r>
    <n v="189"/>
    <x v="6"/>
    <x v="188"/>
    <x v="6"/>
    <x v="0"/>
    <x v="1"/>
    <x v="25"/>
    <x v="1"/>
    <n v="4.4930000305175701"/>
    <n v="1834.80004882812"/>
    <x v="188"/>
    <n v="9768827914"/>
    <n v="0.8"/>
  </r>
  <r>
    <n v="190"/>
    <x v="6"/>
    <x v="189"/>
    <x v="0"/>
    <x v="1"/>
    <x v="1"/>
    <x v="25"/>
    <x v="1"/>
    <n v="4.4829998016357404"/>
    <n v="1864.19995117187"/>
    <x v="189"/>
    <n v="18624736866"/>
    <n v="0.62"/>
  </r>
  <r>
    <n v="191"/>
    <x v="6"/>
    <x v="190"/>
    <x v="1"/>
    <x v="1"/>
    <x v="1"/>
    <x v="13"/>
    <x v="1"/>
    <n v="4.5650000572204501"/>
    <n v="1872.69995117187"/>
    <x v="190"/>
    <n v="15808338949"/>
    <n v="1.45"/>
  </r>
  <r>
    <n v="192"/>
    <x v="6"/>
    <x v="191"/>
    <x v="2"/>
    <x v="1"/>
    <x v="1"/>
    <x v="13"/>
    <x v="1"/>
    <n v="4.5549998283386204"/>
    <n v="1871.59997558593"/>
    <x v="191"/>
    <n v="18372283782"/>
    <n v="2.8"/>
  </r>
  <r>
    <n v="193"/>
    <x v="6"/>
    <x v="192"/>
    <x v="3"/>
    <x v="1"/>
    <x v="1"/>
    <x v="9"/>
    <x v="1"/>
    <n v="4.4749999046325604"/>
    <n v="1874.59997558593"/>
    <x v="192"/>
    <n v="34971338710"/>
    <n v="5.21"/>
  </r>
  <r>
    <n v="194"/>
    <x v="6"/>
    <x v="193"/>
    <x v="4"/>
    <x v="1"/>
    <x v="1"/>
    <x v="10"/>
    <x v="1"/>
    <n v="4.4879999160766602"/>
    <n v="1895.5"/>
    <x v="193"/>
    <n v="29225029694"/>
    <n v="5.51"/>
  </r>
  <r>
    <n v="195"/>
    <x v="6"/>
    <x v="194"/>
    <x v="5"/>
    <x v="0"/>
    <x v="1"/>
    <x v="19"/>
    <x v="1"/>
    <n v="4.4879999160766602"/>
    <n v="1918.40002441406"/>
    <x v="194"/>
    <n v="38967784639"/>
    <n v="5.36"/>
  </r>
  <r>
    <n v="196"/>
    <x v="6"/>
    <x v="195"/>
    <x v="6"/>
    <x v="0"/>
    <x v="2"/>
    <x v="29"/>
    <x v="1"/>
    <n v="4.4879999160766602"/>
    <n v="1895.5"/>
    <x v="195"/>
    <n v="19298407543"/>
    <n v="-0.46"/>
  </r>
  <r>
    <n v="197"/>
    <x v="6"/>
    <x v="196"/>
    <x v="0"/>
    <x v="1"/>
    <x v="1"/>
    <x v="21"/>
    <x v="1"/>
    <n v="4.4879999160766602"/>
    <n v="1918.40002441406"/>
    <x v="196"/>
    <n v="26792494050"/>
    <n v="1.38"/>
  </r>
  <r>
    <n v="198"/>
    <x v="6"/>
    <x v="197"/>
    <x v="1"/>
    <x v="1"/>
    <x v="2"/>
    <x v="30"/>
    <x v="1"/>
    <n v="4.4930000305175701"/>
    <n v="1895.5"/>
    <x v="197"/>
    <n v="24999983362"/>
    <n v="-0.04"/>
  </r>
  <r>
    <n v="199"/>
    <x v="6"/>
    <x v="198"/>
    <x v="2"/>
    <x v="1"/>
    <x v="2"/>
    <x v="29"/>
    <x v="1"/>
    <n v="4.5300002098083496"/>
    <n v="1907.19995117187"/>
    <x v="198"/>
    <n v="30005625418"/>
    <n v="-2.23"/>
  </r>
  <r>
    <n v="200"/>
    <x v="6"/>
    <x v="199"/>
    <x v="3"/>
    <x v="1"/>
    <x v="1"/>
    <x v="21"/>
    <x v="1"/>
    <n v="4.5250000953674299"/>
    <n v="1904.40002441406"/>
    <x v="199"/>
    <n v="21152848261"/>
    <n v="1.92"/>
  </r>
  <r>
    <n v="201"/>
    <x v="6"/>
    <x v="200"/>
    <x v="4"/>
    <x v="1"/>
    <x v="2"/>
    <x v="30"/>
    <x v="1"/>
    <n v="4.5380001068115199"/>
    <n v="1922.09997558593"/>
    <x v="200"/>
    <n v="28799154319"/>
    <n v="7.54"/>
  </r>
  <r>
    <n v="202"/>
    <x v="6"/>
    <x v="201"/>
    <x v="5"/>
    <x v="0"/>
    <x v="2"/>
    <x v="31"/>
    <x v="1"/>
    <n v="4.5380001068115199"/>
    <n v="1926.40002441406"/>
    <x v="201"/>
    <n v="32442278429"/>
    <n v="0.45"/>
  </r>
  <r>
    <n v="203"/>
    <x v="6"/>
    <x v="202"/>
    <x v="6"/>
    <x v="0"/>
    <x v="2"/>
    <x v="31"/>
    <x v="1"/>
    <n v="4.5380001068115199"/>
    <n v="1922.09997558593"/>
    <x v="202"/>
    <n v="24746386230"/>
    <n v="-0.25"/>
  </r>
  <r>
    <n v="204"/>
    <x v="6"/>
    <x v="203"/>
    <x v="0"/>
    <x v="1"/>
    <x v="2"/>
    <x v="32"/>
    <x v="1"/>
    <n v="4.5349998474120996"/>
    <n v="1926.40002441406"/>
    <x v="203"/>
    <n v="26518700512"/>
    <n v="0.94"/>
  </r>
  <r>
    <n v="205"/>
    <x v="6"/>
    <x v="204"/>
    <x v="1"/>
    <x v="1"/>
    <x v="2"/>
    <x v="29"/>
    <x v="1"/>
    <n v="4.5729999542236301"/>
    <n v="1927.09997558593"/>
    <x v="204"/>
    <n v="26405069715"/>
    <n v="-1.3"/>
  </r>
  <r>
    <n v="206"/>
    <x v="6"/>
    <x v="205"/>
    <x v="2"/>
    <x v="1"/>
    <x v="2"/>
    <x v="30"/>
    <x v="5"/>
    <n v="4.54500007629394"/>
    <n v="1933.90002441406"/>
    <x v="205"/>
    <n v="30685366709"/>
    <n v="2.13"/>
  </r>
  <r>
    <n v="207"/>
    <x v="6"/>
    <x v="206"/>
    <x v="3"/>
    <x v="1"/>
    <x v="2"/>
    <x v="33"/>
    <x v="1"/>
    <n v="4.5430002212524396"/>
    <n v="1941.19995117187"/>
    <x v="206"/>
    <n v="26357839322"/>
    <n v="-0.37"/>
  </r>
  <r>
    <n v="208"/>
    <x v="6"/>
    <x v="207"/>
    <x v="4"/>
    <x v="1"/>
    <x v="2"/>
    <x v="34"/>
    <x v="1"/>
    <n v="4.5479998588562003"/>
    <n v="1929.09997558593"/>
    <x v="207"/>
    <n v="25383335641"/>
    <n v="0.2"/>
  </r>
  <r>
    <n v="209"/>
    <x v="6"/>
    <x v="208"/>
    <x v="5"/>
    <x v="0"/>
    <x v="2"/>
    <x v="29"/>
    <x v="1"/>
    <n v="4.5479998588562003"/>
    <n v="1928.59997558593"/>
    <x v="208"/>
    <n v="14712928379"/>
    <n v="-0.21"/>
  </r>
  <r>
    <n v="210"/>
    <x v="6"/>
    <x v="209"/>
    <x v="6"/>
    <x v="0"/>
    <x v="2"/>
    <x v="34"/>
    <x v="1"/>
    <n v="4.5479998588562003"/>
    <n v="1929.09997558593"/>
    <x v="209"/>
    <n v="27423687259"/>
    <n v="3.23"/>
  </r>
  <r>
    <n v="211"/>
    <x v="6"/>
    <x v="210"/>
    <x v="0"/>
    <x v="1"/>
    <x v="2"/>
    <x v="35"/>
    <x v="1"/>
    <n v="4.5349998474120996"/>
    <n v="1928.59997558593"/>
    <x v="210"/>
    <n v="27205595568"/>
    <n v="-3.93"/>
  </r>
  <r>
    <n v="212"/>
    <x v="6"/>
    <x v="211"/>
    <x v="1"/>
    <x v="1"/>
    <x v="2"/>
    <x v="30"/>
    <x v="1"/>
    <n v="4.5700001716613698"/>
    <n v="1922.90002441406"/>
    <x v="211"/>
    <n v="22837828665"/>
    <n v="1.31"/>
  </r>
  <r>
    <n v="213"/>
    <x v="7"/>
    <x v="212"/>
    <x v="2"/>
    <x v="1"/>
    <x v="2"/>
    <x v="36"/>
    <x v="1"/>
    <n v="4.5199999809265101"/>
    <n v="1929.5"/>
    <x v="212"/>
    <n v="26683255504"/>
    <n v="2.5299999999999998"/>
  </r>
  <r>
    <n v="214"/>
    <x v="7"/>
    <x v="213"/>
    <x v="3"/>
    <x v="1"/>
    <x v="2"/>
    <x v="37"/>
    <x v="1"/>
    <n v="4.5100002288818297"/>
    <n v="1927.80004882812"/>
    <x v="213"/>
    <n v="32066936882"/>
    <n v="-1.06"/>
  </r>
  <r>
    <n v="215"/>
    <x v="7"/>
    <x v="214"/>
    <x v="4"/>
    <x v="1"/>
    <x v="2"/>
    <x v="37"/>
    <x v="1"/>
    <n v="4.5229997634887598"/>
    <n v="1916.30004882812"/>
    <x v="214"/>
    <n v="27083066007"/>
    <n v="-0.1"/>
  </r>
  <r>
    <n v="216"/>
    <x v="7"/>
    <x v="215"/>
    <x v="5"/>
    <x v="0"/>
    <x v="2"/>
    <x v="38"/>
    <x v="1"/>
    <n v="4.5229997634887598"/>
    <n v="1862.90002441406"/>
    <x v="215"/>
    <n v="15639298538"/>
    <n v="-0.5"/>
  </r>
  <r>
    <n v="217"/>
    <x v="7"/>
    <x v="216"/>
    <x v="6"/>
    <x v="0"/>
    <x v="2"/>
    <x v="38"/>
    <x v="1"/>
    <n v="4.5229997634887598"/>
    <n v="1916.30004882812"/>
    <x v="216"/>
    <n v="19564262605"/>
    <n v="-1.61"/>
  </r>
  <r>
    <n v="218"/>
    <x v="7"/>
    <x v="217"/>
    <x v="0"/>
    <x v="1"/>
    <x v="2"/>
    <x v="36"/>
    <x v="1"/>
    <n v="4.5329999923706001"/>
    <n v="1862.90002441406"/>
    <x v="217"/>
    <n v="23825006542"/>
    <n v="-0.85"/>
  </r>
  <r>
    <n v="219"/>
    <x v="7"/>
    <x v="218"/>
    <x v="1"/>
    <x v="1"/>
    <x v="2"/>
    <x v="33"/>
    <x v="1"/>
    <n v="4.5700001716613698"/>
    <n v="1866.19995117187"/>
    <x v="218"/>
    <n v="27187964471"/>
    <n v="2.2200000000000002"/>
  </r>
  <r>
    <n v="220"/>
    <x v="7"/>
    <x v="219"/>
    <x v="2"/>
    <x v="1"/>
    <x v="2"/>
    <x v="38"/>
    <x v="1"/>
    <n v="4.58500003814697"/>
    <n v="1871.69995117187"/>
    <x v="219"/>
    <n v="25371367758"/>
    <n v="-1.4"/>
  </r>
  <r>
    <n v="221"/>
    <x v="7"/>
    <x v="220"/>
    <x v="3"/>
    <x v="1"/>
    <x v="2"/>
    <x v="34"/>
    <x v="1"/>
    <n v="4.6129999160766602"/>
    <n v="1877.40002441406"/>
    <x v="220"/>
    <n v="32572572185"/>
    <n v="-4.88"/>
  </r>
  <r>
    <n v="222"/>
    <x v="7"/>
    <x v="221"/>
    <x v="4"/>
    <x v="1"/>
    <x v="1"/>
    <x v="39"/>
    <x v="1"/>
    <n v="4.6350002288818297"/>
    <n v="1866.19995117187"/>
    <x v="221"/>
    <n v="27078406594"/>
    <n v="-0.77"/>
  </r>
  <r>
    <n v="223"/>
    <x v="7"/>
    <x v="222"/>
    <x v="5"/>
    <x v="0"/>
    <x v="1"/>
    <x v="40"/>
    <x v="1"/>
    <n v="4.6350002288818297"/>
    <n v="1862.80004882812"/>
    <x v="222"/>
    <n v="16356226232"/>
    <n v="1.01"/>
  </r>
  <r>
    <n v="224"/>
    <x v="7"/>
    <x v="223"/>
    <x v="6"/>
    <x v="0"/>
    <x v="2"/>
    <x v="32"/>
    <x v="1"/>
    <n v="4.6350002288818297"/>
    <n v="1866.19995117187"/>
    <x v="223"/>
    <n v="17821046406"/>
    <n v="-0.38"/>
  </r>
  <r>
    <n v="225"/>
    <x v="7"/>
    <x v="224"/>
    <x v="0"/>
    <x v="1"/>
    <x v="1"/>
    <x v="39"/>
    <x v="1"/>
    <n v="4.6449999809265101"/>
    <n v="1862.80004882812"/>
    <x v="224"/>
    <n v="23918742607"/>
    <n v="0.09"/>
  </r>
  <r>
    <n v="226"/>
    <x v="7"/>
    <x v="225"/>
    <x v="1"/>
    <x v="1"/>
    <x v="2"/>
    <x v="32"/>
    <x v="1"/>
    <n v="4.6599998474120996"/>
    <n v="1851.90002441406"/>
    <x v="225"/>
    <n v="26792596581"/>
    <n v="1.89"/>
  </r>
  <r>
    <n v="227"/>
    <x v="7"/>
    <x v="226"/>
    <x v="2"/>
    <x v="1"/>
    <x v="2"/>
    <x v="31"/>
    <x v="1"/>
    <n v="4.6430001258850098"/>
    <n v="1854"/>
    <x v="226"/>
    <n v="32483312909"/>
    <n v="9.39"/>
  </r>
  <r>
    <n v="228"/>
    <x v="7"/>
    <x v="227"/>
    <x v="3"/>
    <x v="1"/>
    <x v="2"/>
    <x v="41"/>
    <x v="1"/>
    <n v="4.6649999618530202"/>
    <n v="1834.19995117187"/>
    <x v="227"/>
    <n v="39316664596"/>
    <n v="-2.82"/>
  </r>
  <r>
    <n v="229"/>
    <x v="7"/>
    <x v="228"/>
    <x v="4"/>
    <x v="1"/>
    <x v="2"/>
    <x v="35"/>
    <x v="1"/>
    <n v="4.6799998283386204"/>
    <n v="1842"/>
    <x v="228"/>
    <n v="41358451255"/>
    <n v="3.99"/>
  </r>
  <r>
    <n v="230"/>
    <x v="7"/>
    <x v="229"/>
    <x v="5"/>
    <x v="0"/>
    <x v="2"/>
    <x v="37"/>
    <x v="1"/>
    <n v="4.6799998283386204"/>
    <n v="1840.40002441406"/>
    <x v="229"/>
    <n v="19625427158"/>
    <n v="0.31"/>
  </r>
  <r>
    <n v="231"/>
    <x v="7"/>
    <x v="230"/>
    <x v="6"/>
    <x v="0"/>
    <x v="2"/>
    <x v="37"/>
    <x v="1"/>
    <n v="4.6799998283386204"/>
    <n v="1842"/>
    <x v="230"/>
    <n v="25555105670"/>
    <n v="-1.27"/>
  </r>
  <r>
    <n v="232"/>
    <x v="7"/>
    <x v="231"/>
    <x v="0"/>
    <x v="1"/>
    <x v="2"/>
    <x v="38"/>
    <x v="1"/>
    <n v="4.6799998283386204"/>
    <n v="1840.40002441406"/>
    <x v="231"/>
    <n v="28987376573"/>
    <n v="2.06"/>
  </r>
  <r>
    <n v="233"/>
    <x v="7"/>
    <x v="232"/>
    <x v="1"/>
    <x v="1"/>
    <x v="2"/>
    <x v="37"/>
    <x v="1"/>
    <n v="4.6880002021789497"/>
    <n v="1842"/>
    <x v="232"/>
    <n v="31252098714"/>
    <n v="-1.58"/>
  </r>
  <r>
    <n v="234"/>
    <x v="7"/>
    <x v="233"/>
    <x v="2"/>
    <x v="1"/>
    <x v="2"/>
    <x v="42"/>
    <x v="1"/>
    <n v="4.6950001716613698"/>
    <n v="1833"/>
    <x v="233"/>
    <n v="30199996781"/>
    <n v="-1.01"/>
  </r>
  <r>
    <n v="235"/>
    <x v="7"/>
    <x v="234"/>
    <x v="3"/>
    <x v="1"/>
    <x v="2"/>
    <x v="36"/>
    <x v="1"/>
    <n v="4.6900000572204501"/>
    <n v="1832"/>
    <x v="234"/>
    <n v="30476264066"/>
    <n v="-1"/>
  </r>
  <r>
    <n v="236"/>
    <x v="7"/>
    <x v="235"/>
    <x v="4"/>
    <x v="1"/>
    <x v="2"/>
    <x v="31"/>
    <x v="1"/>
    <n v="4.7030000686645499"/>
    <n v="1818"/>
    <x v="235"/>
    <n v="26811744928"/>
    <n v="-3.13"/>
  </r>
  <r>
    <n v="237"/>
    <x v="7"/>
    <x v="236"/>
    <x v="5"/>
    <x v="0"/>
    <x v="2"/>
    <x v="29"/>
    <x v="1"/>
    <n v="4.7030000686645499"/>
    <n v="1808.80004882812"/>
    <x v="236"/>
    <n v="16100721565"/>
    <n v="-0.1"/>
  </r>
  <r>
    <n v="238"/>
    <x v="7"/>
    <x v="237"/>
    <x v="6"/>
    <x v="0"/>
    <x v="2"/>
    <x v="30"/>
    <x v="1"/>
    <n v="4.7030000686645499"/>
    <n v="1818"/>
    <x v="237"/>
    <n v="16644534842"/>
    <n v="1.66"/>
  </r>
  <r>
    <n v="239"/>
    <x v="7"/>
    <x v="238"/>
    <x v="0"/>
    <x v="1"/>
    <x v="2"/>
    <x v="32"/>
    <x v="1"/>
    <n v="4.6649999618530202"/>
    <n v="1808.80004882812"/>
    <x v="238"/>
    <n v="22660763494"/>
    <n v="-0.16"/>
  </r>
  <r>
    <n v="240"/>
    <x v="7"/>
    <x v="239"/>
    <x v="1"/>
    <x v="1"/>
    <x v="2"/>
    <x v="31"/>
    <x v="1"/>
    <n v="4.71000003814697"/>
    <n v="1817"/>
    <x v="239"/>
    <n v="20535363434"/>
    <n v="-1.6"/>
  </r>
  <r>
    <n v="241"/>
    <x v="8"/>
    <x v="240"/>
    <x v="2"/>
    <x v="1"/>
    <x v="2"/>
    <x v="32"/>
    <x v="1"/>
    <n v="4.7249999046325604"/>
    <n v="1828.90002441406"/>
    <x v="240"/>
    <n v="24662841200"/>
    <n v="2.16"/>
  </r>
  <r>
    <n v="242"/>
    <x v="8"/>
    <x v="241"/>
    <x v="3"/>
    <x v="1"/>
    <x v="2"/>
    <x v="30"/>
    <x v="1"/>
    <n v="4.72300004959106"/>
    <n v="1837.69995117187"/>
    <x v="241"/>
    <n v="20386398516"/>
    <n v="-0.72"/>
  </r>
  <r>
    <n v="243"/>
    <x v="8"/>
    <x v="242"/>
    <x v="4"/>
    <x v="1"/>
    <x v="2"/>
    <x v="32"/>
    <x v="1"/>
    <n v="4.7179999351501403"/>
    <n v="1833.5"/>
    <x v="242"/>
    <n v="26062404610"/>
    <n v="-4.74"/>
  </r>
  <r>
    <n v="244"/>
    <x v="8"/>
    <x v="243"/>
    <x v="5"/>
    <x v="0"/>
    <x v="2"/>
    <x v="32"/>
    <x v="1"/>
    <n v="4.7179999351501403"/>
    <n v="1847.69995117187"/>
    <x v="243"/>
    <n v="11166012913"/>
    <n v="-0.04"/>
  </r>
  <r>
    <n v="245"/>
    <x v="8"/>
    <x v="244"/>
    <x v="6"/>
    <x v="0"/>
    <x v="1"/>
    <x v="20"/>
    <x v="1"/>
    <n v="4.7179999351501403"/>
    <n v="1833.5"/>
    <x v="244"/>
    <n v="13317001733"/>
    <n v="0.37"/>
  </r>
  <r>
    <n v="246"/>
    <x v="8"/>
    <x v="245"/>
    <x v="0"/>
    <x v="1"/>
    <x v="1"/>
    <x v="39"/>
    <x v="1"/>
    <n v="4.7280001640319798"/>
    <n v="1847.69995117187"/>
    <x v="245"/>
    <n v="17353192895"/>
    <n v="-0.03"/>
  </r>
  <r>
    <n v="247"/>
    <x v="8"/>
    <x v="246"/>
    <x v="1"/>
    <x v="1"/>
    <x v="1"/>
    <x v="40"/>
    <x v="1"/>
    <n v="4.8449997901916504"/>
    <n v="1847.90002441406"/>
    <x v="246"/>
    <n v="22765452204"/>
    <n v="-0.94"/>
  </r>
  <r>
    <n v="248"/>
    <x v="8"/>
    <x v="247"/>
    <x v="2"/>
    <x v="1"/>
    <x v="2"/>
    <x v="32"/>
    <x v="1"/>
    <n v="4.8829998970031703"/>
    <n v="1813.90002441406"/>
    <x v="247"/>
    <n v="22536575684"/>
    <n v="-2.2599999999999998"/>
  </r>
  <r>
    <n v="249"/>
    <x v="8"/>
    <x v="248"/>
    <x v="3"/>
    <x v="1"/>
    <x v="1"/>
    <x v="22"/>
    <x v="1"/>
    <n v="4.84800004959106"/>
    <n v="1812.69995117187"/>
    <x v="248"/>
    <n v="30364664171"/>
    <n v="-6.24"/>
  </r>
  <r>
    <n v="250"/>
    <x v="8"/>
    <x v="249"/>
    <x v="4"/>
    <x v="1"/>
    <x v="1"/>
    <x v="11"/>
    <x v="1"/>
    <n v="4.8029999732971103"/>
    <n v="1829.30004882812"/>
    <x v="249"/>
    <n v="39578257695"/>
    <n v="-0.86"/>
  </r>
  <r>
    <n v="251"/>
    <x v="8"/>
    <x v="250"/>
    <x v="5"/>
    <x v="0"/>
    <x v="1"/>
    <x v="12"/>
    <x v="1"/>
    <n v="4.8029999732971103"/>
    <n v="1862"/>
    <x v="250"/>
    <n v="30180288176"/>
    <n v="2.21"/>
  </r>
  <r>
    <n v="252"/>
    <x v="8"/>
    <x v="251"/>
    <x v="6"/>
    <x v="0"/>
    <x v="1"/>
    <x v="12"/>
    <x v="1"/>
    <n v="4.8029999732971103"/>
    <n v="1829.30004882812"/>
    <x v="251"/>
    <n v="29279035521"/>
    <n v="7.42"/>
  </r>
  <r>
    <n v="253"/>
    <x v="8"/>
    <x v="252"/>
    <x v="0"/>
    <x v="1"/>
    <x v="1"/>
    <x v="40"/>
    <x v="1"/>
    <n v="4.6579999923706001"/>
    <n v="1862"/>
    <x v="252"/>
    <n v="49466362688"/>
    <n v="9.18"/>
  </r>
  <r>
    <n v="254"/>
    <x v="8"/>
    <x v="253"/>
    <x v="1"/>
    <x v="1"/>
    <x v="2"/>
    <x v="36"/>
    <x v="1"/>
    <n v="4.6799998283386204"/>
    <n v="1911.69995117187"/>
    <x v="253"/>
    <n v="54622230164"/>
    <n v="2.27"/>
  </r>
  <r>
    <n v="255"/>
    <x v="8"/>
    <x v="254"/>
    <x v="2"/>
    <x v="1"/>
    <x v="2"/>
    <x v="32"/>
    <x v="1"/>
    <n v="4.55800008773803"/>
    <n v="1906.19995117187"/>
    <x v="254"/>
    <n v="43655701450"/>
    <n v="-1.5"/>
  </r>
  <r>
    <n v="256"/>
    <x v="8"/>
    <x v="255"/>
    <x v="3"/>
    <x v="1"/>
    <x v="2"/>
    <x v="29"/>
    <x v="1"/>
    <n v="4.5300002098083496"/>
    <n v="1926.59997558593"/>
    <x v="255"/>
    <n v="33866061747"/>
    <n v="2.78"/>
  </r>
  <r>
    <n v="257"/>
    <x v="8"/>
    <x v="256"/>
    <x v="4"/>
    <x v="1"/>
    <x v="2"/>
    <x v="30"/>
    <x v="1"/>
    <n v="4.2930002212524396"/>
    <n v="1919"/>
    <x v="256"/>
    <n v="50730261335"/>
    <n v="9.4600000000000009"/>
  </r>
  <r>
    <n v="258"/>
    <x v="8"/>
    <x v="257"/>
    <x v="5"/>
    <x v="0"/>
    <x v="2"/>
    <x v="43"/>
    <x v="1"/>
    <n v="4.2930002212524396"/>
    <n v="1969.80004882812"/>
    <x v="257"/>
    <n v="35723036817"/>
    <n v="-1.67"/>
  </r>
  <r>
    <n v="259"/>
    <x v="8"/>
    <x v="258"/>
    <x v="6"/>
    <x v="0"/>
    <x v="2"/>
    <x v="44"/>
    <x v="1"/>
    <n v="4.2930002212524396"/>
    <n v="1919"/>
    <x v="258"/>
    <n v="37769448859"/>
    <n v="3.98"/>
  </r>
  <r>
    <n v="260"/>
    <x v="8"/>
    <x v="259"/>
    <x v="0"/>
    <x v="1"/>
    <x v="2"/>
    <x v="45"/>
    <x v="1"/>
    <n v="4.4650001525878897"/>
    <n v="1969.80004882812"/>
    <x v="259"/>
    <n v="44774027664"/>
    <n v="-0.97"/>
  </r>
  <r>
    <n v="261"/>
    <x v="8"/>
    <x v="260"/>
    <x v="1"/>
    <x v="1"/>
    <x v="2"/>
    <x v="46"/>
    <x v="1"/>
    <n v="4.6050000190734801"/>
    <n v="1979.19995117187"/>
    <x v="260"/>
    <n v="36102192830"/>
    <n v="1.47"/>
  </r>
  <r>
    <n v="262"/>
    <x v="8"/>
    <x v="261"/>
    <x v="2"/>
    <x v="1"/>
    <x v="2"/>
    <x v="41"/>
    <x v="6"/>
    <n v="4.5630002021789497"/>
    <n v="1938"/>
    <x v="261"/>
    <n v="33382021890"/>
    <n v="-3.08"/>
  </r>
  <r>
    <n v="263"/>
    <x v="8"/>
    <x v="262"/>
    <x v="3"/>
    <x v="1"/>
    <x v="2"/>
    <x v="47"/>
    <x v="1"/>
    <n v="4.5029997825622496"/>
    <n v="1946.80004882812"/>
    <x v="262"/>
    <n v="24220433689"/>
    <n v="3.76"/>
  </r>
  <r>
    <n v="264"/>
    <x v="8"/>
    <x v="263"/>
    <x v="4"/>
    <x v="1"/>
    <x v="2"/>
    <x v="35"/>
    <x v="1"/>
    <n v="4.5029997825622496"/>
    <n v="1993.80004882812"/>
    <x v="263"/>
    <n v="25980310960"/>
    <n v="-2.97"/>
  </r>
  <r>
    <n v="265"/>
    <x v="8"/>
    <x v="264"/>
    <x v="5"/>
    <x v="0"/>
    <x v="2"/>
    <x v="43"/>
    <x v="1"/>
    <n v="4.5029997825622496"/>
    <n v="1982.09997558593"/>
    <x v="264"/>
    <n v="13383005987"/>
    <n v="0.01"/>
  </r>
  <r>
    <n v="266"/>
    <x v="8"/>
    <x v="265"/>
    <x v="6"/>
    <x v="0"/>
    <x v="2"/>
    <x v="43"/>
    <x v="1"/>
    <n v="4.5029997825622496"/>
    <n v="1993.80004882812"/>
    <x v="265"/>
    <n v="13878363192"/>
    <n v="1.82"/>
  </r>
  <r>
    <n v="267"/>
    <x v="8"/>
    <x v="266"/>
    <x v="0"/>
    <x v="1"/>
    <x v="2"/>
    <x v="43"/>
    <x v="1"/>
    <n v="4.5830001831054599"/>
    <n v="1982.09997558593"/>
    <x v="266"/>
    <n v="18188895178"/>
    <n v="-3.05"/>
  </r>
  <r>
    <n v="268"/>
    <x v="8"/>
    <x v="267"/>
    <x v="1"/>
    <x v="1"/>
    <x v="2"/>
    <x v="42"/>
    <x v="1"/>
    <n v="4.6279997825622496"/>
    <n v="1952.40002441406"/>
    <x v="267"/>
    <n v="17783600385"/>
    <n v="0.47"/>
  </r>
  <r>
    <n v="269"/>
    <x v="8"/>
    <x v="268"/>
    <x v="2"/>
    <x v="1"/>
    <x v="2"/>
    <x v="47"/>
    <x v="1"/>
    <n v="4.63000011444091"/>
    <n v="1972.40002441406"/>
    <x v="268"/>
    <n v="20684945906"/>
    <n v="3.96"/>
  </r>
  <r>
    <n v="270"/>
    <x v="8"/>
    <x v="269"/>
    <x v="3"/>
    <x v="1"/>
    <x v="2"/>
    <x v="37"/>
    <x v="1"/>
    <n v="4.6649999618530202"/>
    <n v="1966.09997558593"/>
    <x v="269"/>
    <n v="22435349951"/>
    <n v="-1.1100000000000001"/>
  </r>
  <r>
    <n v="271"/>
    <x v="8"/>
    <x v="270"/>
    <x v="4"/>
    <x v="1"/>
    <x v="2"/>
    <x v="44"/>
    <x v="1"/>
    <n v="4.58500003814697"/>
    <n v="1980.30004882812"/>
    <x v="270"/>
    <n v="19001327598"/>
    <n v="1.59"/>
  </r>
  <r>
    <n v="272"/>
    <x v="9"/>
    <x v="271"/>
    <x v="5"/>
    <x v="0"/>
    <x v="2"/>
    <x v="35"/>
    <x v="1"/>
    <n v="4.58500003814697"/>
    <n v="1969"/>
    <x v="271"/>
    <n v="10876469901"/>
    <n v="-0.24"/>
  </r>
  <r>
    <n v="273"/>
    <x v="9"/>
    <x v="272"/>
    <x v="6"/>
    <x v="0"/>
    <x v="2"/>
    <x v="44"/>
    <x v="1"/>
    <n v="4.58500003814697"/>
    <n v="1980.30004882812"/>
    <x v="272"/>
    <n v="12284641999"/>
    <n v="-0.75"/>
  </r>
  <r>
    <n v="274"/>
    <x v="9"/>
    <x v="273"/>
    <x v="0"/>
    <x v="1"/>
    <x v="2"/>
    <x v="44"/>
    <x v="1"/>
    <n v="4.5700001716613698"/>
    <n v="1969"/>
    <x v="273"/>
    <n v="19556501327"/>
    <n v="-1.45"/>
  </r>
  <r>
    <n v="275"/>
    <x v="9"/>
    <x v="274"/>
    <x v="1"/>
    <x v="1"/>
    <x v="2"/>
    <x v="41"/>
    <x v="1"/>
    <n v="4.7280001640319798"/>
    <n v="1983.90002441406"/>
    <x v="274"/>
    <n v="15284538859"/>
    <n v="1.36"/>
  </r>
  <r>
    <n v="276"/>
    <x v="9"/>
    <x v="275"/>
    <x v="2"/>
    <x v="1"/>
    <x v="2"/>
    <x v="41"/>
    <x v="1"/>
    <n v="4.7049999237060502"/>
    <n v="2022.19995117187"/>
    <x v="275"/>
    <n v="17052315986"/>
    <n v="0.04"/>
  </r>
  <r>
    <n v="277"/>
    <x v="9"/>
    <x v="276"/>
    <x v="3"/>
    <x v="1"/>
    <x v="2"/>
    <x v="44"/>
    <x v="1"/>
    <n v="4.71000003814697"/>
    <n v="2020.90002441406"/>
    <x v="276"/>
    <n v="13837809380"/>
    <n v="-0.47"/>
  </r>
  <r>
    <n v="278"/>
    <x v="9"/>
    <x v="277"/>
    <x v="4"/>
    <x v="1"/>
    <x v="2"/>
    <x v="43"/>
    <x v="1"/>
    <n v="4.71000003814697"/>
    <n v="2011.90002441406"/>
    <x v="277"/>
    <n v="10861680497"/>
    <n v="-0.42"/>
  </r>
  <r>
    <n v="279"/>
    <x v="9"/>
    <x v="278"/>
    <x v="5"/>
    <x v="0"/>
    <x v="2"/>
    <x v="35"/>
    <x v="1"/>
    <n v="4.71000003814697"/>
    <n v="2020.90002441406"/>
    <x v="278"/>
    <n v="9373255556"/>
    <n v="0.08"/>
  </r>
  <r>
    <n v="280"/>
    <x v="9"/>
    <x v="279"/>
    <x v="6"/>
    <x v="0"/>
    <x v="2"/>
    <x v="35"/>
    <x v="1"/>
    <n v="4.71000003814697"/>
    <n v="2011.90002441406"/>
    <x v="279"/>
    <n v="12175322951"/>
    <n v="1.38"/>
  </r>
  <r>
    <n v="281"/>
    <x v="9"/>
    <x v="280"/>
    <x v="0"/>
    <x v="1"/>
    <x v="2"/>
    <x v="41"/>
    <x v="1"/>
    <n v="4.8379998207092196"/>
    <n v="2020.90002441406"/>
    <x v="280"/>
    <n v="19282400094"/>
    <n v="4.66"/>
  </r>
  <r>
    <n v="282"/>
    <x v="9"/>
    <x v="281"/>
    <x v="1"/>
    <x v="1"/>
    <x v="2"/>
    <x v="46"/>
    <x v="1"/>
    <n v="4.88000011444091"/>
    <n v="1989.09997558593"/>
    <x v="281"/>
    <n v="20121259843"/>
    <n v="1.96"/>
  </r>
  <r>
    <n v="283"/>
    <x v="9"/>
    <x v="282"/>
    <x v="2"/>
    <x v="1"/>
    <x v="2"/>
    <x v="48"/>
    <x v="1"/>
    <n v="4.8600001335143999"/>
    <n v="2004.80004882812"/>
    <x v="282"/>
    <n v="18651929926"/>
    <n v="-0.32"/>
  </r>
  <r>
    <n v="284"/>
    <x v="9"/>
    <x v="283"/>
    <x v="3"/>
    <x v="1"/>
    <x v="2"/>
    <x v="35"/>
    <x v="1"/>
    <n v="4.8550000190734801"/>
    <n v="2010.90002441406"/>
    <x v="283"/>
    <n v="17487721001"/>
    <n v="0.86"/>
  </r>
  <r>
    <n v="285"/>
    <x v="9"/>
    <x v="284"/>
    <x v="4"/>
    <x v="1"/>
    <x v="2"/>
    <x v="46"/>
    <x v="1"/>
    <n v="4.9029998779296804"/>
    <n v="2041.30004882812"/>
    <x v="284"/>
    <n v="22659995079"/>
    <n v="0.28000000000000003"/>
  </r>
  <r>
    <n v="286"/>
    <x v="9"/>
    <x v="285"/>
    <x v="5"/>
    <x v="0"/>
    <x v="2"/>
    <x v="46"/>
    <x v="7"/>
    <n v="4.9029998779296804"/>
    <n v="2002.19995117187"/>
    <x v="285"/>
    <n v="11940685378"/>
    <n v="-0.55000000000000004"/>
  </r>
  <r>
    <n v="287"/>
    <x v="9"/>
    <x v="286"/>
    <x v="6"/>
    <x v="0"/>
    <x v="2"/>
    <x v="46"/>
    <x v="1"/>
    <n v="4.9029998779296804"/>
    <n v="2041.30004882812"/>
    <x v="286"/>
    <n v="12854816417"/>
    <n v="-0.01"/>
  </r>
  <r>
    <n v="288"/>
    <x v="9"/>
    <x v="287"/>
    <x v="0"/>
    <x v="1"/>
    <x v="2"/>
    <x v="49"/>
    <x v="1"/>
    <n v="4.9229998588562003"/>
    <n v="2002.19995117187"/>
    <x v="287"/>
    <n v="17872186762"/>
    <n v="-2.87"/>
  </r>
  <r>
    <n v="289"/>
    <x v="9"/>
    <x v="288"/>
    <x v="1"/>
    <x v="1"/>
    <x v="2"/>
    <x v="38"/>
    <x v="1"/>
    <n v="5.0300002098083496"/>
    <n v="1994.19995117187"/>
    <x v="288"/>
    <n v="19480529496"/>
    <n v="3.23"/>
  </r>
  <r>
    <n v="290"/>
    <x v="9"/>
    <x v="289"/>
    <x v="2"/>
    <x v="1"/>
    <x v="2"/>
    <x v="44"/>
    <x v="1"/>
    <n v="4.9949998855590803"/>
    <n v="2007.40002441406"/>
    <x v="289"/>
    <n v="24571565421"/>
    <n v="-5.18"/>
  </r>
  <r>
    <n v="291"/>
    <x v="9"/>
    <x v="290"/>
    <x v="3"/>
    <x v="1"/>
    <x v="2"/>
    <x v="29"/>
    <x v="1"/>
    <n v="4.9450001716613698"/>
    <n v="1995.19995117187"/>
    <x v="290"/>
    <n v="21340360360"/>
    <n v="-2"/>
  </r>
  <r>
    <n v="292"/>
    <x v="9"/>
    <x v="291"/>
    <x v="4"/>
    <x v="1"/>
    <x v="2"/>
    <x v="32"/>
    <x v="1"/>
    <n v="4.9499998092651296"/>
    <n v="2007.59997558593"/>
    <x v="291"/>
    <n v="20759504330"/>
    <n v="-3.43"/>
  </r>
  <r>
    <n v="293"/>
    <x v="9"/>
    <x v="292"/>
    <x v="5"/>
    <x v="0"/>
    <x v="2"/>
    <x v="31"/>
    <x v="1"/>
    <n v="4.9499998092651296"/>
    <n v="1979.5"/>
    <x v="292"/>
    <n v="13125734602"/>
    <n v="1.98"/>
  </r>
  <r>
    <n v="294"/>
    <x v="9"/>
    <x v="293"/>
    <x v="6"/>
    <x v="0"/>
    <x v="2"/>
    <x v="36"/>
    <x v="1"/>
    <n v="4.9499998092651296"/>
    <n v="2007.59997558593"/>
    <x v="293"/>
    <n v="12785446832"/>
    <n v="-0.81"/>
  </r>
  <r>
    <n v="295"/>
    <x v="9"/>
    <x v="294"/>
    <x v="0"/>
    <x v="1"/>
    <x v="2"/>
    <x v="31"/>
    <x v="1"/>
    <n v="4.8730001449584899"/>
    <n v="1979.5"/>
    <x v="294"/>
    <n v="17703288330"/>
    <n v="-0.24"/>
  </r>
  <r>
    <n v="296"/>
    <x v="9"/>
    <x v="295"/>
    <x v="1"/>
    <x v="1"/>
    <x v="2"/>
    <x v="31"/>
    <x v="1"/>
    <n v="4.9530000686645499"/>
    <n v="1989.09997558593"/>
    <x v="295"/>
    <n v="17733373139"/>
    <n v="2.84"/>
  </r>
  <r>
    <n v="297"/>
    <x v="9"/>
    <x v="296"/>
    <x v="2"/>
    <x v="1"/>
    <x v="2"/>
    <x v="36"/>
    <x v="1"/>
    <n v="4.9850001335143999"/>
    <n v="1994"/>
    <x v="296"/>
    <n v="31854242019"/>
    <n v="0.41"/>
  </r>
  <r>
    <n v="298"/>
    <x v="9"/>
    <x v="297"/>
    <x v="3"/>
    <x v="1"/>
    <x v="2"/>
    <x v="42"/>
    <x v="1"/>
    <n v="5"/>
    <n v="1985.69995117187"/>
    <x v="297"/>
    <n v="27153445027"/>
    <n v="3.7"/>
  </r>
  <r>
    <n v="299"/>
    <x v="9"/>
    <x v="298"/>
    <x v="4"/>
    <x v="1"/>
    <x v="2"/>
    <x v="43"/>
    <x v="1"/>
    <n v="4.9229998588562003"/>
    <n v="1989.90002441406"/>
    <x v="298"/>
    <n v="17544464887"/>
    <n v="-0.45"/>
  </r>
  <r>
    <n v="300"/>
    <x v="9"/>
    <x v="299"/>
    <x v="5"/>
    <x v="0"/>
    <x v="2"/>
    <x v="43"/>
    <x v="1"/>
    <n v="4.9229998588562003"/>
    <n v="1990.09997558593"/>
    <x v="299"/>
    <n v="10662634333"/>
    <n v="-0.31"/>
  </r>
  <r>
    <n v="301"/>
    <x v="9"/>
    <x v="300"/>
    <x v="6"/>
    <x v="0"/>
    <x v="2"/>
    <x v="37"/>
    <x v="1"/>
    <n v="4.9229998588562003"/>
    <n v="1989.90002441406"/>
    <x v="300"/>
    <n v="14652199272"/>
    <n v="7.0000000000000007E-2"/>
  </r>
  <r>
    <n v="302"/>
    <x v="10"/>
    <x v="301"/>
    <x v="0"/>
    <x v="1"/>
    <x v="2"/>
    <x v="44"/>
    <x v="1"/>
    <n v="4.8649997711181596"/>
    <n v="1990.09997558593"/>
    <x v="301"/>
    <n v="18655599976"/>
    <n v="-4.0199999999999996"/>
  </r>
  <r>
    <n v="303"/>
    <x v="10"/>
    <x v="302"/>
    <x v="1"/>
    <x v="1"/>
    <x v="2"/>
    <x v="34"/>
    <x v="1"/>
    <n v="5.0399999618530202"/>
    <n v="1983.40002441406"/>
    <x v="302"/>
    <n v="16432924527"/>
    <n v="2.1"/>
  </r>
  <r>
    <n v="304"/>
    <x v="10"/>
    <x v="303"/>
    <x v="2"/>
    <x v="1"/>
    <x v="2"/>
    <x v="43"/>
    <x v="1"/>
    <n v="5.0949997901916504"/>
    <n v="2014.30004882812"/>
    <x v="303"/>
    <n v="19122972518"/>
    <n v="1.1399999999999999"/>
  </r>
  <r>
    <n v="305"/>
    <x v="10"/>
    <x v="304"/>
    <x v="3"/>
    <x v="1"/>
    <x v="2"/>
    <x v="43"/>
    <x v="1"/>
    <n v="5.0549998283386204"/>
    <n v="2028.59997558593"/>
    <x v="304"/>
    <n v="15548678514"/>
    <n v="-0.55000000000000004"/>
  </r>
  <r>
    <n v="306"/>
    <x v="10"/>
    <x v="305"/>
    <x v="4"/>
    <x v="1"/>
    <x v="2"/>
    <x v="35"/>
    <x v="8"/>
    <n v="5.0799999237060502"/>
    <n v="2048"/>
    <x v="305"/>
    <n v="17936566518"/>
    <n v="2.38"/>
  </r>
  <r>
    <n v="307"/>
    <x v="10"/>
    <x v="306"/>
    <x v="5"/>
    <x v="0"/>
    <x v="2"/>
    <x v="37"/>
    <x v="1"/>
    <n v="5.0799999237060502"/>
    <n v="2017.40002441406"/>
    <x v="306"/>
    <n v="15913866714"/>
    <n v="-2.13"/>
  </r>
  <r>
    <n v="308"/>
    <x v="10"/>
    <x v="307"/>
    <x v="6"/>
    <x v="0"/>
    <x v="2"/>
    <x v="43"/>
    <x v="1"/>
    <n v="5.0799999237060502"/>
    <n v="2048"/>
    <x v="307"/>
    <n v="11301355486"/>
    <n v="-1.56"/>
  </r>
  <r>
    <n v="309"/>
    <x v="10"/>
    <x v="308"/>
    <x v="0"/>
    <x v="1"/>
    <x v="2"/>
    <x v="37"/>
    <x v="1"/>
    <n v="5.0830001831054599"/>
    <n v="2017.40002441406"/>
    <x v="308"/>
    <n v="19122903752"/>
    <n v="-2.67"/>
  </r>
  <r>
    <n v="310"/>
    <x v="10"/>
    <x v="309"/>
    <x v="1"/>
    <x v="1"/>
    <x v="2"/>
    <x v="30"/>
    <x v="1"/>
    <n v="5.1230001449584899"/>
    <n v="2026.30004882812"/>
    <x v="309"/>
    <n v="14128593256"/>
    <n v="-0.13"/>
  </r>
  <r>
    <n v="311"/>
    <x v="10"/>
    <x v="310"/>
    <x v="2"/>
    <x v="1"/>
    <x v="2"/>
    <x v="29"/>
    <x v="1"/>
    <n v="5.0650000572204501"/>
    <n v="2036.19995117187"/>
    <x v="310"/>
    <n v="20656025026"/>
    <n v="-0.13"/>
  </r>
  <r>
    <n v="312"/>
    <x v="10"/>
    <x v="311"/>
    <x v="3"/>
    <x v="1"/>
    <x v="2"/>
    <x v="29"/>
    <x v="1"/>
    <n v="5.0149998664855904"/>
    <n v="2030.5"/>
    <x v="311"/>
    <n v="16724343943"/>
    <n v="-2.25"/>
  </r>
  <r>
    <n v="313"/>
    <x v="10"/>
    <x v="312"/>
    <x v="4"/>
    <x v="1"/>
    <x v="1"/>
    <x v="40"/>
    <x v="1"/>
    <n v="5.0279998779296804"/>
    <n v="2014.69995117187"/>
    <x v="312"/>
    <n v="19313599897"/>
    <n v="-0.73"/>
  </r>
  <r>
    <n v="314"/>
    <x v="10"/>
    <x v="313"/>
    <x v="5"/>
    <x v="0"/>
    <x v="1"/>
    <x v="39"/>
    <x v="1"/>
    <n v="5.0279998779296804"/>
    <n v="2014.5"/>
    <x v="313"/>
    <n v="9999171605"/>
    <n v="-0.08"/>
  </r>
  <r>
    <n v="315"/>
    <x v="10"/>
    <x v="314"/>
    <x v="6"/>
    <x v="0"/>
    <x v="1"/>
    <x v="39"/>
    <x v="1"/>
    <n v="5.0279998779296804"/>
    <n v="2014.69995117187"/>
    <x v="314"/>
    <n v="10014858959"/>
    <n v="0.55000000000000004"/>
  </r>
  <r>
    <n v="316"/>
    <x v="10"/>
    <x v="315"/>
    <x v="0"/>
    <x v="1"/>
    <x v="2"/>
    <x v="32"/>
    <x v="1"/>
    <n v="5"/>
    <n v="2014.5"/>
    <x v="315"/>
    <n v="14413231792"/>
    <n v="0.97"/>
  </r>
  <r>
    <n v="317"/>
    <x v="10"/>
    <x v="316"/>
    <x v="1"/>
    <x v="1"/>
    <x v="2"/>
    <x v="33"/>
    <x v="1"/>
    <n v="5.05800008773803"/>
    <n v="2018"/>
    <x v="316"/>
    <n v="12732238816"/>
    <n v="-0.56999999999999995"/>
  </r>
  <r>
    <n v="318"/>
    <x v="10"/>
    <x v="317"/>
    <x v="2"/>
    <x v="1"/>
    <x v="2"/>
    <x v="32"/>
    <x v="1"/>
    <n v="5.0879998207092196"/>
    <n v="1988.40002441406"/>
    <x v="317"/>
    <n v="15140006925"/>
    <n v="1.34"/>
  </r>
  <r>
    <n v="319"/>
    <x v="10"/>
    <x v="318"/>
    <x v="3"/>
    <x v="1"/>
    <x v="2"/>
    <x v="30"/>
    <x v="1"/>
    <n v="5.125"/>
    <n v="1980.69995117187"/>
    <x v="318"/>
    <n v="15222938600"/>
    <n v="-2.0699999999999998"/>
  </r>
  <r>
    <n v="320"/>
    <x v="10"/>
    <x v="319"/>
    <x v="4"/>
    <x v="1"/>
    <x v="1"/>
    <x v="39"/>
    <x v="1"/>
    <n v="5.08500003814697"/>
    <n v="1956.5"/>
    <x v="319"/>
    <n v="11258983301"/>
    <n v="0.22"/>
  </r>
  <r>
    <n v="321"/>
    <x v="10"/>
    <x v="320"/>
    <x v="5"/>
    <x v="0"/>
    <x v="1"/>
    <x v="39"/>
    <x v="1"/>
    <n v="5.08500003814697"/>
    <n v="1978.69995117187"/>
    <x v="320"/>
    <n v="7044911360"/>
    <n v="0.89"/>
  </r>
  <r>
    <n v="322"/>
    <x v="10"/>
    <x v="321"/>
    <x v="6"/>
    <x v="0"/>
    <x v="2"/>
    <x v="29"/>
    <x v="1"/>
    <n v="5.08500003814697"/>
    <n v="1956.5"/>
    <x v="321"/>
    <n v="8647416921"/>
    <n v="-1.39"/>
  </r>
  <r>
    <n v="323"/>
    <x v="10"/>
    <x v="322"/>
    <x v="0"/>
    <x v="1"/>
    <x v="1"/>
    <x v="40"/>
    <x v="1"/>
    <n v="5.0949997901916504"/>
    <n v="1978.69995117187"/>
    <x v="322"/>
    <n v="11056770492"/>
    <n v="0.36"/>
  </r>
  <r>
    <n v="324"/>
    <x v="10"/>
    <x v="323"/>
    <x v="1"/>
    <x v="1"/>
    <x v="2"/>
    <x v="32"/>
    <x v="1"/>
    <n v="5.1529998779296804"/>
    <n v="1974.80004882812"/>
    <x v="323"/>
    <n v="13697203143"/>
    <n v="1.39"/>
  </r>
  <r>
    <n v="325"/>
    <x v="10"/>
    <x v="324"/>
    <x v="2"/>
    <x v="1"/>
    <x v="2"/>
    <x v="32"/>
    <x v="1"/>
    <n v="5.1849999427795401"/>
    <n v="1972.40002441406"/>
    <x v="324"/>
    <n v="16299104428"/>
    <n v="-3.27"/>
  </r>
  <r>
    <n v="326"/>
    <x v="10"/>
    <x v="325"/>
    <x v="3"/>
    <x v="1"/>
    <x v="2"/>
    <x v="30"/>
    <x v="1"/>
    <n v="5.1630001068115199"/>
    <n v="1962.80004882812"/>
    <x v="325"/>
    <n v="13851122697"/>
    <n v="0.54"/>
  </r>
  <r>
    <n v="327"/>
    <x v="10"/>
    <x v="326"/>
    <x v="4"/>
    <x v="1"/>
    <x v="1"/>
    <x v="40"/>
    <x v="1"/>
    <n v="5.1149997711181596"/>
    <n v="1943.09997558593"/>
    <x v="326"/>
    <n v="12711619225"/>
    <n v="0.92"/>
  </r>
  <r>
    <n v="328"/>
    <x v="10"/>
    <x v="327"/>
    <x v="5"/>
    <x v="0"/>
    <x v="1"/>
    <x v="39"/>
    <x v="1"/>
    <n v="5.1149997711181596"/>
    <n v="1944.09997558593"/>
    <x v="327"/>
    <n v="7892015141"/>
    <n v="0.56000000000000005"/>
  </r>
  <r>
    <n v="329"/>
    <x v="10"/>
    <x v="328"/>
    <x v="6"/>
    <x v="0"/>
    <x v="2"/>
    <x v="32"/>
    <x v="1"/>
    <n v="5.1149997711181596"/>
    <n v="1943.09997558593"/>
    <x v="328"/>
    <n v="14545229578"/>
    <n v="4.53"/>
  </r>
  <r>
    <n v="330"/>
    <x v="10"/>
    <x v="329"/>
    <x v="0"/>
    <x v="1"/>
    <x v="2"/>
    <x v="29"/>
    <x v="1"/>
    <n v="5.1149997711181596"/>
    <n v="1944.09997558593"/>
    <x v="329"/>
    <n v="15181308984"/>
    <n v="-1.21"/>
  </r>
  <r>
    <n v="331"/>
    <x v="10"/>
    <x v="330"/>
    <x v="1"/>
    <x v="1"/>
    <x v="2"/>
    <x v="30"/>
    <x v="1"/>
    <n v="5.1430001258850098"/>
    <n v="1943.09997558593"/>
    <x v="330"/>
    <n v="13251081851"/>
    <n v="-0.16"/>
  </r>
  <r>
    <n v="332"/>
    <x v="10"/>
    <x v="331"/>
    <x v="2"/>
    <x v="1"/>
    <x v="2"/>
    <x v="30"/>
    <x v="1"/>
    <n v="5.2480001449584899"/>
    <n v="1958"/>
    <x v="331"/>
    <n v="15656371534"/>
    <n v="-1.74"/>
  </r>
  <r>
    <n v="333"/>
    <x v="11"/>
    <x v="332"/>
    <x v="3"/>
    <x v="1"/>
    <x v="2"/>
    <x v="29"/>
    <x v="1"/>
    <n v="5.2030000686645499"/>
    <n v="1963.90002441406"/>
    <x v="332"/>
    <n v="14678970415"/>
    <n v="-1.47"/>
  </r>
  <r>
    <n v="334"/>
    <x v="11"/>
    <x v="333"/>
    <x v="4"/>
    <x v="1"/>
    <x v="2"/>
    <x v="32"/>
    <x v="1"/>
    <n v="5.2150001525878897"/>
    <n v="1978"/>
    <x v="333"/>
    <n v="14837415000"/>
    <n v="1.6"/>
  </r>
  <r>
    <n v="335"/>
    <x v="11"/>
    <x v="334"/>
    <x v="5"/>
    <x v="0"/>
    <x v="2"/>
    <x v="31"/>
    <x v="1"/>
    <n v="5.2150001525878897"/>
    <n v="1952.40002441406"/>
    <x v="334"/>
    <n v="8385597470"/>
    <n v="-0.64"/>
  </r>
  <r>
    <n v="336"/>
    <x v="11"/>
    <x v="335"/>
    <x v="6"/>
    <x v="0"/>
    <x v="2"/>
    <x v="29"/>
    <x v="1"/>
    <n v="5.2150001525878897"/>
    <n v="1978"/>
    <x v="335"/>
    <n v="9360912318"/>
    <n v="0.16"/>
  </r>
  <r>
    <n v="337"/>
    <x v="11"/>
    <x v="336"/>
    <x v="0"/>
    <x v="1"/>
    <x v="2"/>
    <x v="31"/>
    <x v="1"/>
    <n v="5.1430001258850098"/>
    <n v="1952.40002441406"/>
    <x v="336"/>
    <n v="21513292646"/>
    <n v="-5.01"/>
  </r>
  <r>
    <n v="338"/>
    <x v="11"/>
    <x v="337"/>
    <x v="1"/>
    <x v="1"/>
    <x v="1"/>
    <x v="22"/>
    <x v="1"/>
    <n v="5.1579999923706001"/>
    <n v="1958"/>
    <x v="337"/>
    <n v="21929670693"/>
    <n v="5.74"/>
  </r>
  <r>
    <n v="339"/>
    <x v="11"/>
    <x v="338"/>
    <x v="2"/>
    <x v="1"/>
    <x v="2"/>
    <x v="31"/>
    <x v="1"/>
    <n v="5.1529998779296804"/>
    <n v="1965.5"/>
    <x v="338"/>
    <n v="19530045082"/>
    <n v="-3.28"/>
  </r>
  <r>
    <n v="340"/>
    <x v="11"/>
    <x v="339"/>
    <x v="3"/>
    <x v="1"/>
    <x v="2"/>
    <x v="32"/>
    <x v="1"/>
    <n v="5.0999999046325604"/>
    <n v="1942.69995117187"/>
    <x v="339"/>
    <n v="11904824295"/>
    <n v="0.62"/>
  </r>
  <r>
    <n v="341"/>
    <x v="11"/>
    <x v="340"/>
    <x v="4"/>
    <x v="1"/>
    <x v="2"/>
    <x v="32"/>
    <x v="1"/>
    <n v="5.0949997901916504"/>
    <n v="1963.59997558593"/>
    <x v="340"/>
    <n v="11015551640"/>
    <n v="-0.11"/>
  </r>
  <r>
    <n v="342"/>
    <x v="11"/>
    <x v="341"/>
    <x v="5"/>
    <x v="0"/>
    <x v="1"/>
    <x v="40"/>
    <x v="1"/>
    <n v="5.0949997901916504"/>
    <n v="1962.19995117187"/>
    <x v="341"/>
    <n v="19872933189"/>
    <n v="-2.38"/>
  </r>
  <r>
    <n v="343"/>
    <x v="11"/>
    <x v="342"/>
    <x v="6"/>
    <x v="0"/>
    <x v="1"/>
    <x v="20"/>
    <x v="1"/>
    <n v="5.0949997901916504"/>
    <n v="1963.59997558593"/>
    <x v="342"/>
    <n v="10732609603"/>
    <n v="0.34"/>
  </r>
  <r>
    <n v="344"/>
    <x v="11"/>
    <x v="343"/>
    <x v="0"/>
    <x v="1"/>
    <x v="1"/>
    <x v="20"/>
    <x v="1"/>
    <n v="5.0949997901916504"/>
    <n v="1962.19995117187"/>
    <x v="343"/>
    <n v="11677889997"/>
    <n v="-0.15"/>
  </r>
  <r>
    <n v="345"/>
    <x v="11"/>
    <x v="344"/>
    <x v="1"/>
    <x v="1"/>
    <x v="1"/>
    <x v="21"/>
    <x v="1"/>
    <n v="5.0999999046325604"/>
    <n v="1955.30004882812"/>
    <x v="344"/>
    <n v="14143474486"/>
    <n v="0.06"/>
  </r>
  <r>
    <n v="346"/>
    <x v="11"/>
    <x v="345"/>
    <x v="2"/>
    <x v="1"/>
    <x v="1"/>
    <x v="19"/>
    <x v="1"/>
    <n v="5.0799999237060502"/>
    <n v="1944.59997558593"/>
    <x v="345"/>
    <n v="14265717766"/>
    <n v="-3.06"/>
  </r>
  <r>
    <n v="347"/>
    <x v="11"/>
    <x v="346"/>
    <x v="3"/>
    <x v="1"/>
    <x v="1"/>
    <x v="18"/>
    <x v="1"/>
    <n v="5.0549998283386204"/>
    <n v="1955.30004882812"/>
    <x v="346"/>
    <n v="15837384409"/>
    <n v="1.8"/>
  </r>
  <r>
    <n v="348"/>
    <x v="11"/>
    <x v="347"/>
    <x v="4"/>
    <x v="1"/>
    <x v="1"/>
    <x v="20"/>
    <x v="1"/>
    <n v="5.0650000572204501"/>
    <n v="1957.80004882812"/>
    <x v="347"/>
    <n v="16324646965"/>
    <n v="2.94"/>
  </r>
  <r>
    <n v="349"/>
    <x v="11"/>
    <x v="348"/>
    <x v="5"/>
    <x v="0"/>
    <x v="1"/>
    <x v="20"/>
    <x v="1"/>
    <n v="5.0650000572204501"/>
    <n v="1958.40002441406"/>
    <x v="348"/>
    <n v="11090276850"/>
    <n v="0.7"/>
  </r>
  <r>
    <n v="350"/>
    <x v="11"/>
    <x v="349"/>
    <x v="6"/>
    <x v="0"/>
    <x v="1"/>
    <x v="40"/>
    <x v="1"/>
    <n v="5.0650000572204501"/>
    <n v="1957.80004882812"/>
    <x v="349"/>
    <n v="9565695129"/>
    <n v="-0.66"/>
  </r>
  <r>
    <n v="351"/>
    <x v="11"/>
    <x v="350"/>
    <x v="0"/>
    <x v="1"/>
    <x v="1"/>
    <x v="20"/>
    <x v="1"/>
    <n v="5.0650000572204501"/>
    <n v="1958.40002441406"/>
    <x v="350"/>
    <n v="12826986222"/>
    <n v="1.95"/>
  </r>
  <r>
    <n v="352"/>
    <x v="11"/>
    <x v="351"/>
    <x v="1"/>
    <x v="1"/>
    <x v="1"/>
    <x v="40"/>
    <x v="1"/>
    <n v="5.0749998092651296"/>
    <n v="1957.80004882812"/>
    <x v="351"/>
    <n v="22211859147"/>
    <n v="5.5"/>
  </r>
  <r>
    <n v="353"/>
    <x v="11"/>
    <x v="352"/>
    <x v="2"/>
    <x v="1"/>
    <x v="2"/>
    <x v="42"/>
    <x v="1"/>
    <n v="5.1350002288818297"/>
    <n v="1935.5"/>
    <x v="352"/>
    <n v="33346760979"/>
    <n v="6"/>
  </r>
  <r>
    <n v="354"/>
    <x v="11"/>
    <x v="353"/>
    <x v="3"/>
    <x v="1"/>
    <x v="2"/>
    <x v="48"/>
    <x v="1"/>
    <n v="5.1350002288818297"/>
    <n v="1933.30004882812"/>
    <x v="353"/>
    <n v="20653160491"/>
    <n v="-0.38"/>
  </r>
  <r>
    <n v="355"/>
    <x v="11"/>
    <x v="354"/>
    <x v="4"/>
    <x v="1"/>
    <x v="2"/>
    <x v="48"/>
    <x v="1"/>
    <n v="5.13800001144409"/>
    <n v="1912.69995117187"/>
    <x v="354"/>
    <n v="24115570085"/>
    <n v="2.62"/>
  </r>
  <r>
    <n v="356"/>
    <x v="11"/>
    <x v="355"/>
    <x v="5"/>
    <x v="0"/>
    <x v="2"/>
    <x v="41"/>
    <x v="1"/>
    <n v="5.13800001144409"/>
    <n v="1919.09997558593"/>
    <x v="355"/>
    <n v="12147822496"/>
    <n v="-0.48"/>
  </r>
  <r>
    <n v="357"/>
    <x v="11"/>
    <x v="356"/>
    <x v="6"/>
    <x v="0"/>
    <x v="2"/>
    <x v="43"/>
    <x v="1"/>
    <n v="5.13800001144409"/>
    <n v="1912.69995117187"/>
    <x v="356"/>
    <n v="12703464114"/>
    <n v="-0.22"/>
  </r>
  <r>
    <n v="358"/>
    <x v="11"/>
    <x v="357"/>
    <x v="0"/>
    <x v="1"/>
    <x v="2"/>
    <x v="34"/>
    <x v="1"/>
    <n v="5.1550002098083496"/>
    <n v="1919.09997558593"/>
    <x v="357"/>
    <n v="16493186997"/>
    <n v="-0.69"/>
  </r>
  <r>
    <n v="359"/>
    <x v="11"/>
    <x v="358"/>
    <x v="1"/>
    <x v="1"/>
    <x v="2"/>
    <x v="42"/>
    <x v="1"/>
    <n v="5.1799998283386204"/>
    <n v="1923.69995117187"/>
    <x v="358"/>
    <n v="16428827944"/>
    <n v="1.38"/>
  </r>
  <r>
    <n v="360"/>
    <x v="11"/>
    <x v="359"/>
    <x v="2"/>
    <x v="1"/>
    <x v="2"/>
    <x v="41"/>
    <x v="1"/>
    <n v="5.17000007629394"/>
    <n v="1914"/>
    <x v="359"/>
    <n v="14571500779"/>
    <n v="-1.96"/>
  </r>
  <r>
    <n v="361"/>
    <x v="11"/>
    <x v="360"/>
    <x v="3"/>
    <x v="1"/>
    <x v="2"/>
    <x v="33"/>
    <x v="1"/>
    <n v="5.1750001907348597"/>
    <n v="1912.30004882812"/>
    <x v="360"/>
    <n v="13180860821"/>
    <n v="1.19"/>
  </r>
  <r>
    <n v="362"/>
    <x v="11"/>
    <x v="361"/>
    <x v="4"/>
    <x v="1"/>
    <x v="2"/>
    <x v="36"/>
    <x v="1"/>
    <n v="5.1529998779296804"/>
    <n v="1909.19995117187"/>
    <x v="361"/>
    <n v="26387306197"/>
    <n v="0.1"/>
  </r>
  <r>
    <n v="363"/>
    <x v="12"/>
    <x v="362"/>
    <x v="5"/>
    <x v="0"/>
    <x v="2"/>
    <x v="42"/>
    <x v="1"/>
    <n v="5.1529998779296804"/>
    <n v="1921.09997558593"/>
    <x v="362"/>
    <n v="9086606733"/>
    <n v="0.37"/>
  </r>
  <r>
    <n v="364"/>
    <x v="12"/>
    <x v="363"/>
    <x v="6"/>
    <x v="0"/>
    <x v="2"/>
    <x v="44"/>
    <x v="1"/>
    <n v="5.1529998779296804"/>
    <n v="1909.19995117187"/>
    <x v="363"/>
    <n v="10533418042"/>
    <n v="0.1"/>
  </r>
  <r>
    <n v="365"/>
    <x v="12"/>
    <x v="364"/>
    <x v="0"/>
    <x v="1"/>
    <x v="2"/>
    <x v="41"/>
    <x v="1"/>
    <n v="5.1449999809265101"/>
    <n v="1921.09997558593"/>
    <x v="364"/>
    <n v="15271884873"/>
    <n v="1.75"/>
  </r>
  <r>
    <n v="366"/>
    <x v="12"/>
    <x v="365"/>
    <x v="1"/>
    <x v="1"/>
    <x v="2"/>
    <x v="43"/>
    <x v="9"/>
    <n v="5.1449999809265101"/>
    <n v="1921.69995117187"/>
    <x v="365"/>
    <n v="12810828427"/>
    <n v="-1.22"/>
  </r>
  <r>
    <n v="367"/>
    <x v="12"/>
    <x v="366"/>
    <x v="2"/>
    <x v="1"/>
    <x v="2"/>
    <x v="35"/>
    <x v="1"/>
    <n v="5.1929998397827104"/>
    <n v="1921.09997558593"/>
    <x v="366"/>
    <n v="12481622280"/>
    <n v="-0.86"/>
  </r>
  <r>
    <n v="368"/>
    <x v="12"/>
    <x v="367"/>
    <x v="3"/>
    <x v="1"/>
    <x v="2"/>
    <x v="36"/>
    <x v="1"/>
    <n v="5.2129998207092196"/>
    <n v="1919.59997558593"/>
    <x v="367"/>
    <n v="21129219509"/>
    <n v="-1.98"/>
  </r>
  <r>
    <n v="369"/>
    <x v="12"/>
    <x v="368"/>
    <x v="4"/>
    <x v="1"/>
    <x v="2"/>
    <x v="34"/>
    <x v="1"/>
    <n v="5.2129998207092196"/>
    <n v="1908.69995117187"/>
    <x v="368"/>
    <n v="13384770155"/>
    <n v="1.45"/>
  </r>
  <r>
    <n v="370"/>
    <x v="12"/>
    <x v="369"/>
    <x v="5"/>
    <x v="0"/>
    <x v="2"/>
    <x v="38"/>
    <x v="1"/>
    <n v="5.2129998207092196"/>
    <n v="1926.19995117187"/>
    <x v="369"/>
    <n v="7509378699"/>
    <n v="-0.16"/>
  </r>
  <r>
    <n v="371"/>
    <x v="12"/>
    <x v="370"/>
    <x v="6"/>
    <x v="0"/>
    <x v="2"/>
    <x v="34"/>
    <x v="1"/>
    <n v="5.2129998207092196"/>
    <n v="1908.69995117187"/>
    <x v="370"/>
    <n v="7903327692"/>
    <n v="-0.4"/>
  </r>
  <r>
    <n v="372"/>
    <x v="12"/>
    <x v="371"/>
    <x v="0"/>
    <x v="1"/>
    <x v="2"/>
    <x v="36"/>
    <x v="1"/>
    <n v="5.2249999046325604"/>
    <n v="1926.19995117187"/>
    <x v="371"/>
    <n v="14828209155"/>
    <n v="0.81"/>
  </r>
  <r>
    <n v="373"/>
    <x v="12"/>
    <x v="372"/>
    <x v="1"/>
    <x v="1"/>
    <x v="2"/>
    <x v="47"/>
    <x v="1"/>
    <n v="5.2430000305175701"/>
    <n v="1925"/>
    <x v="372"/>
    <n v="12151839152"/>
    <n v="0.68"/>
  </r>
  <r>
    <n v="374"/>
    <x v="12"/>
    <x v="373"/>
    <x v="2"/>
    <x v="1"/>
    <x v="2"/>
    <x v="43"/>
    <x v="1"/>
    <n v="5.2300000190734801"/>
    <n v="1931.30004882812"/>
    <x v="373"/>
    <n v="14805659717"/>
    <n v="-0.75"/>
  </r>
  <r>
    <n v="375"/>
    <x v="12"/>
    <x v="374"/>
    <x v="3"/>
    <x v="1"/>
    <x v="2"/>
    <x v="47"/>
    <x v="1"/>
    <n v="5.22300004959106"/>
    <n v="1956.19995117187"/>
    <x v="374"/>
    <n v="23686079548"/>
    <n v="3.57"/>
  </r>
  <r>
    <n v="376"/>
    <x v="12"/>
    <x v="375"/>
    <x v="4"/>
    <x v="1"/>
    <x v="2"/>
    <x v="37"/>
    <x v="1"/>
    <n v="5.2150001525878897"/>
    <n v="1959.19995117187"/>
    <x v="375"/>
    <n v="20917902660"/>
    <n v="-3.63"/>
  </r>
  <r>
    <n v="377"/>
    <x v="12"/>
    <x v="376"/>
    <x v="5"/>
    <x v="0"/>
    <x v="2"/>
    <x v="36"/>
    <x v="1"/>
    <n v="5.2150001525878897"/>
    <n v="1960.09997558593"/>
    <x v="376"/>
    <n v="8011667756"/>
    <n v="-0.13"/>
  </r>
  <r>
    <n v="378"/>
    <x v="12"/>
    <x v="377"/>
    <x v="6"/>
    <x v="0"/>
    <x v="2"/>
    <x v="47"/>
    <x v="1"/>
    <n v="5.2150001525878897"/>
    <n v="1959.19995117187"/>
    <x v="377"/>
    <n v="8516564470"/>
    <n v="-0.15"/>
  </r>
  <r>
    <n v="379"/>
    <x v="12"/>
    <x v="378"/>
    <x v="0"/>
    <x v="1"/>
    <x v="2"/>
    <x v="33"/>
    <x v="1"/>
    <n v="5.2329998016357404"/>
    <n v="1960.09997558593"/>
    <x v="378"/>
    <n v="13240156074"/>
    <n v="-0.34"/>
  </r>
  <r>
    <n v="380"/>
    <x v="12"/>
    <x v="379"/>
    <x v="1"/>
    <x v="1"/>
    <x v="2"/>
    <x v="36"/>
    <x v="1"/>
    <n v="5.2480001449584899"/>
    <n v="1952.40002441406"/>
    <x v="379"/>
    <n v="13138897269"/>
    <n v="-0.96"/>
  </r>
  <r>
    <n v="381"/>
    <x v="12"/>
    <x v="380"/>
    <x v="2"/>
    <x v="1"/>
    <x v="2"/>
    <x v="32"/>
    <x v="1"/>
    <n v="5.2449998855590803"/>
    <n v="1977.19995117187"/>
    <x v="380"/>
    <n v="12128602812"/>
    <n v="0.19"/>
  </r>
  <r>
    <n v="382"/>
    <x v="12"/>
    <x v="381"/>
    <x v="3"/>
    <x v="1"/>
    <x v="2"/>
    <x v="36"/>
    <x v="1"/>
    <n v="5.2430000305175701"/>
    <n v="1977.5"/>
    <x v="381"/>
    <n v="14655207121"/>
    <n v="-0.41"/>
  </r>
  <r>
    <n v="383"/>
    <x v="12"/>
    <x v="382"/>
    <x v="4"/>
    <x v="1"/>
    <x v="2"/>
    <x v="32"/>
    <x v="1"/>
    <n v="5.2480001449584899"/>
    <n v="1968.30004882812"/>
    <x v="382"/>
    <n v="10972789818"/>
    <n v="0.39"/>
  </r>
  <r>
    <n v="384"/>
    <x v="12"/>
    <x v="383"/>
    <x v="5"/>
    <x v="0"/>
    <x v="2"/>
    <x v="29"/>
    <x v="1"/>
    <n v="5.2480001449584899"/>
    <n v="1964.30004882812"/>
    <x v="383"/>
    <n v="7873300598"/>
    <n v="-0.46"/>
  </r>
  <r>
    <n v="385"/>
    <x v="12"/>
    <x v="384"/>
    <x v="6"/>
    <x v="0"/>
    <x v="2"/>
    <x v="33"/>
    <x v="1"/>
    <n v="5.2480001449584899"/>
    <n v="1968.30004882812"/>
    <x v="384"/>
    <n v="9220145050"/>
    <n v="1.05"/>
  </r>
  <r>
    <n v="386"/>
    <x v="12"/>
    <x v="385"/>
    <x v="0"/>
    <x v="1"/>
    <x v="2"/>
    <x v="34"/>
    <x v="1"/>
    <n v="5.25"/>
    <n v="1964.30004882812"/>
    <x v="385"/>
    <n v="15395817395"/>
    <n v="-3.02"/>
  </r>
  <r>
    <n v="387"/>
    <x v="12"/>
    <x v="386"/>
    <x v="1"/>
    <x v="1"/>
    <x v="2"/>
    <x v="32"/>
    <x v="1"/>
    <n v="5.2649998664855904"/>
    <n v="1960.30004882812"/>
    <x v="386"/>
    <n v="10266772793"/>
    <n v="0.17"/>
  </r>
  <r>
    <n v="388"/>
    <x v="12"/>
    <x v="387"/>
    <x v="2"/>
    <x v="1"/>
    <x v="2"/>
    <x v="30"/>
    <x v="1"/>
    <n v="5.2680001258850098"/>
    <n v="1962.09997558593"/>
    <x v="387"/>
    <n v="13497554655"/>
    <n v="0.44"/>
  </r>
  <r>
    <n v="389"/>
    <x v="12"/>
    <x v="388"/>
    <x v="3"/>
    <x v="1"/>
    <x v="2"/>
    <x v="30"/>
    <x v="1"/>
    <n v="5.2680001258850098"/>
    <n v="1968.90002441406"/>
    <x v="388"/>
    <n v="10770779217"/>
    <n v="-0.49"/>
  </r>
  <r>
    <n v="390"/>
    <x v="12"/>
    <x v="389"/>
    <x v="4"/>
    <x v="1"/>
    <x v="2"/>
    <x v="29"/>
    <x v="1"/>
    <n v="5.25500011444091"/>
    <n v="1945.40002441406"/>
    <x v="389"/>
    <n v="11218474952"/>
    <n v="0.37"/>
  </r>
  <r>
    <n v="391"/>
    <x v="12"/>
    <x v="390"/>
    <x v="5"/>
    <x v="0"/>
    <x v="2"/>
    <x v="29"/>
    <x v="1"/>
    <n v="5.25500011444091"/>
    <n v="1960.40002441406"/>
    <x v="390"/>
    <n v="6481775959"/>
    <n v="0.13"/>
  </r>
  <r>
    <n v="392"/>
    <x v="12"/>
    <x v="391"/>
    <x v="6"/>
    <x v="0"/>
    <x v="2"/>
    <x v="29"/>
    <x v="1"/>
    <n v="5.25500011444091"/>
    <n v="1945.40002441406"/>
    <x v="391"/>
    <n v="8678454527"/>
    <n v="-0.28000000000000003"/>
  </r>
  <r>
    <n v="393"/>
    <x v="12"/>
    <x v="392"/>
    <x v="0"/>
    <x v="1"/>
    <x v="2"/>
    <x v="32"/>
    <x v="1"/>
    <n v="5.2480001449584899"/>
    <n v="1960.40002441406"/>
    <x v="392"/>
    <n v="11656781982"/>
    <n v="-0.15"/>
  </r>
  <r>
    <n v="394"/>
    <x v="13"/>
    <x v="393"/>
    <x v="1"/>
    <x v="1"/>
    <x v="2"/>
    <x v="31"/>
    <x v="1"/>
    <n v="5.2600002288818297"/>
    <n v="1970.5"/>
    <x v="393"/>
    <n v="18272392391"/>
    <n v="1.52"/>
  </r>
  <r>
    <n v="395"/>
    <x v="13"/>
    <x v="394"/>
    <x v="2"/>
    <x v="1"/>
    <x v="2"/>
    <x v="31"/>
    <x v="1"/>
    <n v="5.2600002288818297"/>
    <n v="1940.69995117187"/>
    <x v="394"/>
    <n v="19212655598"/>
    <n v="-1.76"/>
  </r>
  <r>
    <n v="396"/>
    <x v="13"/>
    <x v="395"/>
    <x v="3"/>
    <x v="1"/>
    <x v="2"/>
    <x v="29"/>
    <x v="1"/>
    <n v="5.2579998970031703"/>
    <n v="1937.40002441406"/>
    <x v="395"/>
    <n v="12780357746"/>
    <n v="0.09"/>
  </r>
  <r>
    <n v="397"/>
    <x v="13"/>
    <x v="396"/>
    <x v="4"/>
    <x v="1"/>
    <x v="2"/>
    <x v="33"/>
    <x v="1"/>
    <n v="5.2529997825622496"/>
    <n v="1932"/>
    <x v="396"/>
    <n v="12036639988"/>
    <n v="-0.36"/>
  </r>
  <r>
    <n v="398"/>
    <x v="13"/>
    <x v="397"/>
    <x v="5"/>
    <x v="0"/>
    <x v="2"/>
    <x v="32"/>
    <x v="1"/>
    <n v="5.2529997825622496"/>
    <n v="1939.59997558593"/>
    <x v="397"/>
    <n v="6598366353"/>
    <n v="-0.11"/>
  </r>
  <r>
    <n v="399"/>
    <x v="13"/>
    <x v="398"/>
    <x v="6"/>
    <x v="0"/>
    <x v="1"/>
    <x v="40"/>
    <x v="1"/>
    <n v="5.2529997825622496"/>
    <n v="1932"/>
    <x v="398"/>
    <n v="7269806994"/>
    <n v="0"/>
  </r>
  <r>
    <n v="400"/>
    <x v="13"/>
    <x v="399"/>
    <x v="0"/>
    <x v="1"/>
    <x v="1"/>
    <x v="40"/>
    <x v="1"/>
    <n v="5.2600002288818297"/>
    <n v="1939.59997558593"/>
    <x v="399"/>
    <n v="13618163710"/>
    <n v="0.48"/>
  </r>
  <r>
    <n v="401"/>
    <x v="13"/>
    <x v="400"/>
    <x v="1"/>
    <x v="1"/>
    <x v="2"/>
    <x v="33"/>
    <x v="1"/>
    <n v="5.2750000953674299"/>
    <n v="1933.5"/>
    <x v="400"/>
    <n v="17570561357"/>
    <n v="2"/>
  </r>
  <r>
    <n v="402"/>
    <x v="13"/>
    <x v="401"/>
    <x v="2"/>
    <x v="1"/>
    <x v="2"/>
    <x v="32"/>
    <x v="1"/>
    <n v="5.2800002098083496"/>
    <n v="1924.09997558593"/>
    <x v="401"/>
    <n v="18379521213"/>
    <n v="-0.69"/>
  </r>
  <r>
    <n v="403"/>
    <x v="13"/>
    <x v="402"/>
    <x v="3"/>
    <x v="1"/>
    <x v="2"/>
    <x v="31"/>
    <x v="1"/>
    <n v="5.2680001258850098"/>
    <n v="1915.40002441406"/>
    <x v="402"/>
    <n v="11865344789"/>
    <n v="-0.45"/>
  </r>
  <r>
    <n v="404"/>
    <x v="13"/>
    <x v="403"/>
    <x v="4"/>
    <x v="1"/>
    <x v="2"/>
    <x v="30"/>
    <x v="1"/>
    <n v="5.2649998664855904"/>
    <n v="1914.40002441406"/>
    <x v="403"/>
    <n v="10195168197"/>
    <n v="-0.11"/>
  </r>
  <r>
    <n v="405"/>
    <x v="13"/>
    <x v="404"/>
    <x v="5"/>
    <x v="0"/>
    <x v="2"/>
    <x v="33"/>
    <x v="1"/>
    <n v="5.2649998664855904"/>
    <n v="1912.90002441406"/>
    <x v="404"/>
    <n v="6194358008"/>
    <n v="0.06"/>
  </r>
  <r>
    <n v="406"/>
    <x v="13"/>
    <x v="405"/>
    <x v="6"/>
    <x v="0"/>
    <x v="2"/>
    <x v="33"/>
    <x v="1"/>
    <n v="5.2649998664855904"/>
    <n v="1914.40002441406"/>
    <x v="405"/>
    <n v="7329897180"/>
    <n v="-0.45"/>
  </r>
  <r>
    <n v="407"/>
    <x v="13"/>
    <x v="406"/>
    <x v="0"/>
    <x v="1"/>
    <x v="2"/>
    <x v="32"/>
    <x v="1"/>
    <n v="5.2699999809265101"/>
    <n v="1912.90002441406"/>
    <x v="406"/>
    <n v="14013695304"/>
    <n v="0.43"/>
  </r>
  <r>
    <n v="408"/>
    <x v="13"/>
    <x v="407"/>
    <x v="1"/>
    <x v="1"/>
    <x v="2"/>
    <x v="31"/>
    <x v="1"/>
    <n v="5.2800002098083496"/>
    <n v="1910.59997558593"/>
    <x v="407"/>
    <n v="12640195779"/>
    <n v="-0.81"/>
  </r>
  <r>
    <n v="409"/>
    <x v="13"/>
    <x v="408"/>
    <x v="2"/>
    <x v="1"/>
    <x v="2"/>
    <x v="29"/>
    <x v="1"/>
    <n v="5.2849998474120996"/>
    <n v="1902.5"/>
    <x v="408"/>
    <n v="14949271904"/>
    <n v="-1.61"/>
  </r>
  <r>
    <n v="410"/>
    <x v="13"/>
    <x v="409"/>
    <x v="3"/>
    <x v="1"/>
    <x v="2"/>
    <x v="32"/>
    <x v="1"/>
    <n v="5.2779998779296804"/>
    <n v="1896.09997558593"/>
    <x v="409"/>
    <n v="31120851211"/>
    <n v="-7.1"/>
  </r>
  <r>
    <n v="411"/>
    <x v="13"/>
    <x v="410"/>
    <x v="4"/>
    <x v="1"/>
    <x v="1"/>
    <x v="50"/>
    <x v="1"/>
    <n v="5.2779998779296804"/>
    <n v="1884.09997558593"/>
    <x v="410"/>
    <n v="24026236529"/>
    <n v="-2.31"/>
  </r>
  <r>
    <n v="412"/>
    <x v="13"/>
    <x v="411"/>
    <x v="5"/>
    <x v="0"/>
    <x v="1"/>
    <x v="16"/>
    <x v="1"/>
    <n v="5.2779998779296804"/>
    <n v="1886.09997558593"/>
    <x v="411"/>
    <n v="10631443812"/>
    <n v="0.18"/>
  </r>
  <r>
    <n v="413"/>
    <x v="13"/>
    <x v="412"/>
    <x v="6"/>
    <x v="0"/>
    <x v="1"/>
    <x v="50"/>
    <x v="1"/>
    <n v="5.2779998779296804"/>
    <n v="1884.09997558593"/>
    <x v="412"/>
    <n v="9036580420"/>
    <n v="0.36"/>
  </r>
  <r>
    <n v="414"/>
    <x v="13"/>
    <x v="413"/>
    <x v="0"/>
    <x v="1"/>
    <x v="1"/>
    <x v="27"/>
    <x v="1"/>
    <n v="5.2800002098083496"/>
    <n v="1886.09997558593"/>
    <x v="413"/>
    <n v="13371557893"/>
    <n v="-0.25"/>
  </r>
  <r>
    <n v="415"/>
    <x v="13"/>
    <x v="414"/>
    <x v="1"/>
    <x v="1"/>
    <x v="1"/>
    <x v="50"/>
    <x v="1"/>
    <n v="5.29500007629394"/>
    <n v="1893.30004882812"/>
    <x v="414"/>
    <n v="14503820706"/>
    <n v="-0.35"/>
  </r>
  <r>
    <n v="416"/>
    <x v="13"/>
    <x v="415"/>
    <x v="2"/>
    <x v="1"/>
    <x v="1"/>
    <x v="50"/>
    <x v="1"/>
    <n v="5.29500007629394"/>
    <n v="1896.40002441406"/>
    <x v="415"/>
    <n v="16985265785"/>
    <n v="1.54"/>
  </r>
  <r>
    <n v="417"/>
    <x v="13"/>
    <x v="416"/>
    <x v="3"/>
    <x v="1"/>
    <x v="1"/>
    <x v="18"/>
    <x v="1"/>
    <n v="5.3029999732971103"/>
    <n v="1918.5"/>
    <x v="416"/>
    <n v="12871532023"/>
    <n v="-1.02"/>
  </r>
  <r>
    <n v="418"/>
    <x v="13"/>
    <x v="417"/>
    <x v="4"/>
    <x v="1"/>
    <x v="1"/>
    <x v="16"/>
    <x v="1"/>
    <n v="5.3150000572204501"/>
    <n v="1918.19995117187"/>
    <x v="417"/>
    <n v="12406045118"/>
    <n v="-0.44"/>
  </r>
  <r>
    <n v="419"/>
    <x v="13"/>
    <x v="418"/>
    <x v="5"/>
    <x v="0"/>
    <x v="1"/>
    <x v="27"/>
    <x v="1"/>
    <n v="5.3150000572204501"/>
    <n v="1911.09997558593"/>
    <x v="418"/>
    <n v="6034817316"/>
    <n v="-0.15"/>
  </r>
  <r>
    <n v="420"/>
    <x v="13"/>
    <x v="419"/>
    <x v="6"/>
    <x v="0"/>
    <x v="1"/>
    <x v="27"/>
    <x v="1"/>
    <n v="5.3150000572204501"/>
    <n v="1918.19995117187"/>
    <x v="419"/>
    <n v="6913768611"/>
    <n v="0.31"/>
  </r>
  <r>
    <n v="421"/>
    <x v="13"/>
    <x v="420"/>
    <x v="0"/>
    <x v="1"/>
    <x v="1"/>
    <x v="16"/>
    <x v="1"/>
    <n v="5.3229999542236301"/>
    <n v="1911.09997558593"/>
    <x v="420"/>
    <n v="11002805166"/>
    <n v="0.06"/>
  </r>
  <r>
    <n v="422"/>
    <x v="13"/>
    <x v="421"/>
    <x v="1"/>
    <x v="1"/>
    <x v="1"/>
    <x v="16"/>
    <x v="1"/>
    <n v="5.3200001716613698"/>
    <n v="1917.90002441406"/>
    <x v="421"/>
    <n v="29368391712"/>
    <n v="6.21"/>
  </r>
  <r>
    <n v="423"/>
    <x v="13"/>
    <x v="422"/>
    <x v="2"/>
    <x v="1"/>
    <x v="1"/>
    <x v="40"/>
    <x v="1"/>
    <n v="5.3150000572204501"/>
    <n v="1936.5"/>
    <x v="422"/>
    <n v="16343655235"/>
    <n v="-1.55"/>
  </r>
  <r>
    <n v="424"/>
    <x v="13"/>
    <x v="423"/>
    <x v="3"/>
    <x v="1"/>
    <x v="2"/>
    <x v="29"/>
    <x v="1"/>
    <n v="5.2979998588562003"/>
    <n v="1944.30004882812"/>
    <x v="423"/>
    <n v="20181001451"/>
    <n v="-5"/>
  </r>
  <r>
    <n v="425"/>
    <x v="14"/>
    <x v="424"/>
    <x v="4"/>
    <x v="1"/>
    <x v="1"/>
    <x v="28"/>
    <x v="1"/>
    <n v="5.2680001258850098"/>
    <n v="1938.19995117187"/>
    <x v="424"/>
    <n v="17202862221"/>
    <n v="-0.5"/>
  </r>
  <r>
    <n v="426"/>
    <x v="14"/>
    <x v="425"/>
    <x v="5"/>
    <x v="0"/>
    <x v="1"/>
    <x v="16"/>
    <x v="1"/>
    <n v="5.2680001258850098"/>
    <n v="1939.80004882812"/>
    <x v="425"/>
    <n v="10100387473"/>
    <n v="0.26"/>
  </r>
  <r>
    <n v="427"/>
    <x v="14"/>
    <x v="426"/>
    <x v="6"/>
    <x v="0"/>
    <x v="1"/>
    <x v="28"/>
    <x v="1"/>
    <n v="5.2680001258850098"/>
    <n v="1938.19995117187"/>
    <x v="426"/>
    <n v="8962524523"/>
    <n v="0.39"/>
  </r>
  <r>
    <n v="428"/>
    <x v="14"/>
    <x v="427"/>
    <x v="0"/>
    <x v="1"/>
    <x v="1"/>
    <x v="28"/>
    <x v="1"/>
    <n v="5.2680001258850098"/>
    <n v="1939.80004882812"/>
    <x v="427"/>
    <n v="10680635106"/>
    <n v="-0.61"/>
  </r>
  <r>
    <n v="429"/>
    <x v="14"/>
    <x v="428"/>
    <x v="1"/>
    <x v="1"/>
    <x v="1"/>
    <x v="28"/>
    <x v="1"/>
    <n v="5.2779998779296804"/>
    <n v="1938.19995117187"/>
    <x v="428"/>
    <n v="11094740040"/>
    <n v="-0.13"/>
  </r>
  <r>
    <n v="430"/>
    <x v="14"/>
    <x v="429"/>
    <x v="2"/>
    <x v="1"/>
    <x v="1"/>
    <x v="17"/>
    <x v="1"/>
    <n v="5.3000001907348597"/>
    <n v="1926.19995117187"/>
    <x v="429"/>
    <n v="12752705327"/>
    <n v="-0.1"/>
  </r>
  <r>
    <n v="431"/>
    <x v="14"/>
    <x v="430"/>
    <x v="3"/>
    <x v="1"/>
    <x v="1"/>
    <x v="18"/>
    <x v="1"/>
    <n v="5.2829999923706001"/>
    <n v="1918.09997558593"/>
    <x v="430"/>
    <n v="11088307100"/>
    <n v="1.89"/>
  </r>
  <r>
    <n v="432"/>
    <x v="14"/>
    <x v="431"/>
    <x v="4"/>
    <x v="1"/>
    <x v="1"/>
    <x v="19"/>
    <x v="1"/>
    <n v="5.2930002212524396"/>
    <n v="1917.5"/>
    <x v="431"/>
    <n v="10817356400"/>
    <n v="-1.27"/>
  </r>
  <r>
    <n v="433"/>
    <x v="14"/>
    <x v="432"/>
    <x v="5"/>
    <x v="0"/>
    <x v="1"/>
    <x v="18"/>
    <x v="1"/>
    <n v="5.2930002212524396"/>
    <n v="1918.40002441406"/>
    <x v="432"/>
    <n v="5481314132"/>
    <n v="-0.04"/>
  </r>
  <r>
    <n v="434"/>
    <x v="14"/>
    <x v="433"/>
    <x v="6"/>
    <x v="0"/>
    <x v="1"/>
    <x v="28"/>
    <x v="1"/>
    <n v="5.2930002212524396"/>
    <n v="1917.5"/>
    <x v="433"/>
    <n v="7899553047"/>
    <n v="-0.25"/>
  </r>
  <r>
    <n v="435"/>
    <x v="14"/>
    <x v="434"/>
    <x v="0"/>
    <x v="1"/>
    <x v="1"/>
    <x v="28"/>
    <x v="1"/>
    <n v="5.2930002212524396"/>
    <n v="1918.40002441406"/>
    <x v="434"/>
    <n v="14600006467"/>
    <n v="-2.59"/>
  </r>
  <r>
    <n v="436"/>
    <x v="14"/>
    <x v="435"/>
    <x v="1"/>
    <x v="1"/>
    <x v="1"/>
    <x v="9"/>
    <x v="1"/>
    <n v="5.3049998283386204"/>
    <n v="1923.30004882812"/>
    <x v="435"/>
    <n v="18657279324"/>
    <n v="2.67"/>
  </r>
  <r>
    <n v="437"/>
    <x v="14"/>
    <x v="436"/>
    <x v="2"/>
    <x v="1"/>
    <x v="1"/>
    <x v="18"/>
    <x v="1"/>
    <n v="5.3049998283386204"/>
    <n v="1911.30004882812"/>
    <x v="436"/>
    <n v="13072077070"/>
    <n v="1.53"/>
  </r>
  <r>
    <n v="438"/>
    <x v="14"/>
    <x v="437"/>
    <x v="3"/>
    <x v="1"/>
    <x v="1"/>
    <x v="21"/>
    <x v="1"/>
    <n v="5.29500007629394"/>
    <n v="1909.09997558593"/>
    <x v="437"/>
    <n v="13811359124"/>
    <n v="1.19"/>
  </r>
  <r>
    <n v="439"/>
    <x v="14"/>
    <x v="438"/>
    <x v="4"/>
    <x v="1"/>
    <x v="1"/>
    <x v="21"/>
    <x v="10"/>
    <n v="5.2979998588562003"/>
    <n v="1910"/>
    <x v="438"/>
    <n v="11479735788"/>
    <n v="0.26"/>
  </r>
  <r>
    <n v="440"/>
    <x v="14"/>
    <x v="439"/>
    <x v="5"/>
    <x v="0"/>
    <x v="1"/>
    <x v="51"/>
    <x v="1"/>
    <n v="5.2979998588562003"/>
    <n v="1923.69995117187"/>
    <x v="439"/>
    <n v="7402031417"/>
    <n v="-0.15"/>
  </r>
  <r>
    <n v="441"/>
    <x v="14"/>
    <x v="440"/>
    <x v="6"/>
    <x v="0"/>
    <x v="1"/>
    <x v="19"/>
    <x v="1"/>
    <n v="5.2979998588562003"/>
    <n v="1910"/>
    <x v="440"/>
    <n v="6774210670"/>
    <n v="-0.13"/>
  </r>
  <r>
    <n v="442"/>
    <x v="14"/>
    <x v="441"/>
    <x v="0"/>
    <x v="1"/>
    <x v="1"/>
    <x v="19"/>
    <x v="1"/>
    <n v="5.3000001907348597"/>
    <n v="1923.69995117187"/>
    <x v="441"/>
    <n v="15615339655"/>
    <n v="0.83"/>
  </r>
  <r>
    <n v="443"/>
    <x v="14"/>
    <x v="442"/>
    <x v="1"/>
    <x v="1"/>
    <x v="1"/>
    <x v="19"/>
    <x v="1"/>
    <n v="5.3099999427795401"/>
    <n v="1931.5"/>
    <x v="442"/>
    <n v="13807690550"/>
    <n v="1.71"/>
  </r>
  <r>
    <n v="444"/>
    <x v="14"/>
    <x v="443"/>
    <x v="2"/>
    <x v="1"/>
    <x v="1"/>
    <x v="20"/>
    <x v="1"/>
    <n v="5.3150000572204501"/>
    <n v="1932"/>
    <x v="443"/>
    <n v="13281116604"/>
    <n v="-0.28999999999999998"/>
  </r>
  <r>
    <n v="445"/>
    <x v="14"/>
    <x v="444"/>
    <x v="3"/>
    <x v="1"/>
    <x v="1"/>
    <x v="20"/>
    <x v="1"/>
    <n v="5.3049998283386204"/>
    <n v="1945.59997558593"/>
    <x v="444"/>
    <n v="13371443708"/>
    <n v="-2.08"/>
  </r>
  <r>
    <n v="446"/>
    <x v="14"/>
    <x v="445"/>
    <x v="4"/>
    <x v="1"/>
    <x v="1"/>
    <x v="51"/>
    <x v="1"/>
    <n v="5.3049998283386204"/>
    <n v="1919.19995117187"/>
    <x v="445"/>
    <n v="10578746709"/>
    <n v="0.04"/>
  </r>
  <r>
    <n v="447"/>
    <x v="14"/>
    <x v="446"/>
    <x v="5"/>
    <x v="0"/>
    <x v="1"/>
    <x v="20"/>
    <x v="1"/>
    <n v="5.3049998283386204"/>
    <n v="1925.40002441406"/>
    <x v="446"/>
    <n v="7404700301"/>
    <n v="0"/>
  </r>
  <r>
    <n v="448"/>
    <x v="14"/>
    <x v="447"/>
    <x v="6"/>
    <x v="0"/>
    <x v="1"/>
    <x v="22"/>
    <x v="1"/>
    <n v="5.3049998283386204"/>
    <n v="1919.19995117187"/>
    <x v="447"/>
    <n v="8192867686"/>
    <n v="-1.21"/>
  </r>
  <r>
    <n v="449"/>
    <x v="14"/>
    <x v="448"/>
    <x v="0"/>
    <x v="1"/>
    <x v="1"/>
    <x v="20"/>
    <x v="1"/>
    <n v="5.3130002021789497"/>
    <n v="1925.40002441406"/>
    <x v="448"/>
    <n v="11997833257"/>
    <n v="0.16"/>
  </r>
  <r>
    <n v="450"/>
    <x v="14"/>
    <x v="449"/>
    <x v="1"/>
    <x v="1"/>
    <x v="1"/>
    <x v="19"/>
    <x v="1"/>
    <n v="5.3249998092651296"/>
    <n v="1916.59997558593"/>
    <x v="449"/>
    <n v="9985498161"/>
    <n v="-0.31"/>
  </r>
  <r>
    <n v="451"/>
    <x v="14"/>
    <x v="450"/>
    <x v="2"/>
    <x v="1"/>
    <x v="1"/>
    <x v="22"/>
    <x v="1"/>
    <n v="5.3299999237060502"/>
    <n v="1900.40002441406"/>
    <x v="450"/>
    <n v="11718380997"/>
    <n v="0.52"/>
  </r>
  <r>
    <n v="452"/>
    <x v="14"/>
    <x v="451"/>
    <x v="3"/>
    <x v="1"/>
    <x v="1"/>
    <x v="19"/>
    <x v="1"/>
    <n v="5.30800008773803"/>
    <n v="1871.59997558593"/>
    <x v="451"/>
    <n v="14079002707"/>
    <n v="2.54"/>
  </r>
  <r>
    <n v="453"/>
    <x v="14"/>
    <x v="452"/>
    <x v="4"/>
    <x v="1"/>
    <x v="1"/>
    <x v="39"/>
    <x v="1"/>
    <n v="5.3000001907348597"/>
    <n v="1860.40002441406"/>
    <x v="452"/>
    <n v="10396435377"/>
    <n v="-0.41"/>
  </r>
  <r>
    <n v="454"/>
    <x v="14"/>
    <x v="453"/>
    <x v="5"/>
    <x v="0"/>
    <x v="1"/>
    <x v="20"/>
    <x v="1"/>
    <n v="5.3000001907348597"/>
    <n v="1848.09997558593"/>
    <x v="453"/>
    <n v="5331172801"/>
    <n v="0.21"/>
  </r>
  <r>
    <n v="455"/>
    <x v="15"/>
    <x v="454"/>
    <x v="6"/>
    <x v="0"/>
    <x v="1"/>
    <x v="39"/>
    <x v="1"/>
    <n v="5.3000001907348597"/>
    <n v="1860.40002441406"/>
    <x v="454"/>
    <n v="9503917434"/>
    <n v="3.77"/>
  </r>
  <r>
    <n v="456"/>
    <x v="15"/>
    <x v="455"/>
    <x v="0"/>
    <x v="1"/>
    <x v="2"/>
    <x v="32"/>
    <x v="1"/>
    <n v="5.3150000572204501"/>
    <n v="1848.09997558593"/>
    <x v="455"/>
    <n v="19793041322"/>
    <n v="-1.62"/>
  </r>
  <r>
    <n v="457"/>
    <x v="15"/>
    <x v="456"/>
    <x v="1"/>
    <x v="1"/>
    <x v="2"/>
    <x v="32"/>
    <x v="1"/>
    <n v="5.3400001525878897"/>
    <n v="1830"/>
    <x v="456"/>
    <n v="11407814187"/>
    <n v="-0.37"/>
  </r>
  <r>
    <n v="458"/>
    <x v="15"/>
    <x v="457"/>
    <x v="2"/>
    <x v="1"/>
    <x v="1"/>
    <x v="40"/>
    <x v="1"/>
    <n v="5.33500003814697"/>
    <n v="1824.59997558593"/>
    <x v="457"/>
    <n v="11143355314"/>
    <n v="1.35"/>
  </r>
  <r>
    <n v="459"/>
    <x v="15"/>
    <x v="458"/>
    <x v="3"/>
    <x v="1"/>
    <x v="1"/>
    <x v="39"/>
    <x v="1"/>
    <n v="5.3249998092651296"/>
    <n v="1818.5"/>
    <x v="458"/>
    <n v="11877253670"/>
    <n v="-1.38"/>
  </r>
  <r>
    <n v="460"/>
    <x v="15"/>
    <x v="459"/>
    <x v="4"/>
    <x v="1"/>
    <x v="2"/>
    <x v="32"/>
    <x v="1"/>
    <n v="5.34800004959106"/>
    <n v="1816.59997558593"/>
    <x v="459"/>
    <n v="13492391599"/>
    <n v="1.94"/>
  </r>
  <r>
    <n v="461"/>
    <x v="15"/>
    <x v="460"/>
    <x v="5"/>
    <x v="0"/>
    <x v="1"/>
    <x v="40"/>
    <x v="1"/>
    <n v="5.34800004959106"/>
    <n v="1830.19995117187"/>
    <x v="460"/>
    <n v="6553044316"/>
    <n v="0.08"/>
  </r>
  <r>
    <n v="462"/>
    <x v="15"/>
    <x v="461"/>
    <x v="6"/>
    <x v="0"/>
    <x v="2"/>
    <x v="32"/>
    <x v="1"/>
    <n v="5.34800004959106"/>
    <n v="1816.59997558593"/>
    <x v="461"/>
    <n v="7916875290"/>
    <n v="-0.12"/>
  </r>
  <r>
    <n v="463"/>
    <x v="15"/>
    <x v="462"/>
    <x v="0"/>
    <x v="1"/>
    <x v="2"/>
    <x v="32"/>
    <x v="1"/>
    <n v="5.34800004959106"/>
    <n v="1830.19995117187"/>
    <x v="462"/>
    <n v="12007668568"/>
    <n v="-1.26"/>
  </r>
  <r>
    <n v="464"/>
    <x v="15"/>
    <x v="463"/>
    <x v="1"/>
    <x v="1"/>
    <x v="2"/>
    <x v="32"/>
    <x v="11"/>
    <n v="5.3229999542236301"/>
    <n v="1849.5"/>
    <x v="463"/>
    <n v="9973350678"/>
    <n v="-0.7"/>
  </r>
  <r>
    <n v="465"/>
    <x v="15"/>
    <x v="464"/>
    <x v="2"/>
    <x v="1"/>
    <x v="1"/>
    <x v="20"/>
    <x v="1"/>
    <n v="5.33500003814697"/>
    <n v="1861"/>
    <x v="464"/>
    <n v="13648094333"/>
    <n v="-1.89"/>
  </r>
  <r>
    <n v="466"/>
    <x v="15"/>
    <x v="465"/>
    <x v="3"/>
    <x v="1"/>
    <x v="1"/>
    <x v="21"/>
    <x v="1"/>
    <n v="5.33500003814697"/>
    <n v="1872.80004882812"/>
    <x v="465"/>
    <n v="9392909295"/>
    <n v="-0.43"/>
  </r>
  <r>
    <n v="467"/>
    <x v="15"/>
    <x v="466"/>
    <x v="4"/>
    <x v="1"/>
    <x v="1"/>
    <x v="22"/>
    <x v="1"/>
    <n v="5.3280000686645499"/>
    <n v="1869.30004882812"/>
    <x v="466"/>
    <n v="15165312851"/>
    <n v="0.39"/>
  </r>
  <r>
    <n v="468"/>
    <x v="15"/>
    <x v="467"/>
    <x v="5"/>
    <x v="0"/>
    <x v="1"/>
    <x v="20"/>
    <x v="1"/>
    <n v="5.3280000686645499"/>
    <n v="1927.40002441406"/>
    <x v="467"/>
    <n v="5388116782"/>
    <n v="0"/>
  </r>
  <r>
    <n v="469"/>
    <x v="15"/>
    <x v="468"/>
    <x v="6"/>
    <x v="0"/>
    <x v="1"/>
    <x v="21"/>
    <x v="1"/>
    <n v="5.3280000686645499"/>
    <n v="1869.30004882812"/>
    <x v="468"/>
    <n v="7098201980"/>
    <n v="1.1100000000000001"/>
  </r>
  <r>
    <n v="470"/>
    <x v="15"/>
    <x v="469"/>
    <x v="0"/>
    <x v="1"/>
    <x v="1"/>
    <x v="20"/>
    <x v="1"/>
    <n v="5.3280000686645499"/>
    <n v="1927.40002441406"/>
    <x v="469"/>
    <n v="27833876539"/>
    <n v="5.01"/>
  </r>
  <r>
    <n v="471"/>
    <x v="15"/>
    <x v="470"/>
    <x v="1"/>
    <x v="1"/>
    <x v="2"/>
    <x v="29"/>
    <x v="1"/>
    <n v="5.3400001525878897"/>
    <n v="1921.09997558593"/>
    <x v="470"/>
    <n v="14872527508"/>
    <n v="-0.36"/>
  </r>
  <r>
    <n v="472"/>
    <x v="15"/>
    <x v="471"/>
    <x v="2"/>
    <x v="1"/>
    <x v="2"/>
    <x v="32"/>
    <x v="1"/>
    <n v="5.3299999237060502"/>
    <n v="1922.69995117187"/>
    <x v="471"/>
    <n v="12724128586"/>
    <n v="-0.31"/>
  </r>
  <r>
    <n v="473"/>
    <x v="15"/>
    <x v="472"/>
    <x v="3"/>
    <x v="1"/>
    <x v="2"/>
    <x v="29"/>
    <x v="1"/>
    <n v="5.3099999427795401"/>
    <n v="1955.30004882812"/>
    <x v="472"/>
    <n v="14448058195"/>
    <n v="1.38"/>
  </r>
  <r>
    <n v="474"/>
    <x v="15"/>
    <x v="473"/>
    <x v="4"/>
    <x v="1"/>
    <x v="2"/>
    <x v="31"/>
    <x v="1"/>
    <n v="5.3000001907348597"/>
    <n v="1968.40002441406"/>
    <x v="473"/>
    <n v="21536125230"/>
    <n v="3.35"/>
  </r>
  <r>
    <n v="475"/>
    <x v="15"/>
    <x v="474"/>
    <x v="5"/>
    <x v="0"/>
    <x v="2"/>
    <x v="44"/>
    <x v="1"/>
    <n v="5.3000001907348597"/>
    <n v="1982.5"/>
    <x v="474"/>
    <n v="11541146996"/>
    <n v="0.79"/>
  </r>
  <r>
    <n v="476"/>
    <x v="15"/>
    <x v="475"/>
    <x v="6"/>
    <x v="0"/>
    <x v="2"/>
    <x v="31"/>
    <x v="1"/>
    <n v="5.3000001907348597"/>
    <n v="1968.40002441406"/>
    <x v="475"/>
    <n v="10446520040"/>
    <n v="0.25"/>
  </r>
  <r>
    <n v="477"/>
    <x v="15"/>
    <x v="476"/>
    <x v="0"/>
    <x v="1"/>
    <x v="2"/>
    <x v="31"/>
    <x v="1"/>
    <n v="5.2930002212524396"/>
    <n v="1982.5"/>
    <x v="476"/>
    <n v="38363572311"/>
    <n v="10.31"/>
  </r>
  <r>
    <n v="478"/>
    <x v="15"/>
    <x v="477"/>
    <x v="1"/>
    <x v="1"/>
    <x v="2"/>
    <x v="45"/>
    <x v="1"/>
    <n v="5.30800008773803"/>
    <n v="1976.30004882812"/>
    <x v="477"/>
    <n v="44934999645"/>
    <n v="2.46"/>
  </r>
  <r>
    <n v="479"/>
    <x v="15"/>
    <x v="478"/>
    <x v="2"/>
    <x v="1"/>
    <x v="2"/>
    <x v="52"/>
    <x v="1"/>
    <n v="5.3150000572204501"/>
    <n v="1975"/>
    <x v="478"/>
    <n v="25254318008"/>
    <n v="1.77"/>
  </r>
  <r>
    <n v="480"/>
    <x v="15"/>
    <x v="479"/>
    <x v="3"/>
    <x v="1"/>
    <x v="2"/>
    <x v="53"/>
    <x v="1"/>
    <n v="5.3000001907348597"/>
    <n v="1984.09997558593"/>
    <x v="479"/>
    <n v="19427195376"/>
    <n v="-1"/>
  </r>
  <r>
    <n v="481"/>
    <x v="15"/>
    <x v="480"/>
    <x v="4"/>
    <x v="1"/>
    <x v="2"/>
    <x v="54"/>
    <x v="1"/>
    <n v="5.3049998283386204"/>
    <n v="1987.19995117187"/>
    <x v="480"/>
    <n v="16418032871"/>
    <n v="-0.72"/>
  </r>
  <r>
    <n v="482"/>
    <x v="15"/>
    <x v="481"/>
    <x v="5"/>
    <x v="0"/>
    <x v="2"/>
    <x v="48"/>
    <x v="1"/>
    <n v="5.3049998283386204"/>
    <n v="1988.59997558593"/>
    <x v="481"/>
    <n v="10160330825"/>
    <n v="0.53"/>
  </r>
  <r>
    <n v="483"/>
    <x v="15"/>
    <x v="482"/>
    <x v="6"/>
    <x v="0"/>
    <x v="2"/>
    <x v="52"/>
    <x v="1"/>
    <n v="5.3049998283386204"/>
    <n v="1987.19995117187"/>
    <x v="482"/>
    <n v="11160323986"/>
    <n v="1.32"/>
  </r>
  <r>
    <n v="484"/>
    <x v="15"/>
    <x v="483"/>
    <x v="0"/>
    <x v="1"/>
    <x v="2"/>
    <x v="46"/>
    <x v="1"/>
    <n v="5.3130002021789497"/>
    <n v="1988.59997558593"/>
    <x v="483"/>
    <n v="17184860315"/>
    <n v="-0.1"/>
  </r>
  <r>
    <n v="485"/>
    <x v="15"/>
    <x v="484"/>
    <x v="1"/>
    <x v="1"/>
    <x v="2"/>
    <x v="45"/>
    <x v="1"/>
    <n v="5.3200001716613698"/>
    <n v="1996.19995117187"/>
    <x v="484"/>
    <n v="15758270810"/>
    <n v="0.48"/>
  </r>
  <r>
    <n v="486"/>
    <x v="16"/>
    <x v="485"/>
    <x v="2"/>
    <x v="1"/>
    <x v="2"/>
    <x v="45"/>
    <x v="1"/>
    <n v="5.3000001907348597"/>
    <n v="1985.19995117187"/>
    <x v="485"/>
    <n v="22446272005"/>
    <n v="2.2200000000000002"/>
  </r>
  <r>
    <n v="487"/>
    <x v="16"/>
    <x v="486"/>
    <x v="3"/>
    <x v="1"/>
    <x v="2"/>
    <x v="52"/>
    <x v="1"/>
    <n v="5.2699999809265101"/>
    <n v="1978.80004882812"/>
    <x v="486"/>
    <n v="20998158544"/>
    <n v="-1.41"/>
  </r>
  <r>
    <n v="488"/>
    <x v="16"/>
    <x v="487"/>
    <x v="4"/>
    <x v="1"/>
    <x v="2"/>
    <x v="48"/>
    <x v="1"/>
    <n v="5.2529997825622496"/>
    <n v="1985.59997558593"/>
    <x v="487"/>
    <n v="17158456701"/>
    <n v="-0.59"/>
  </r>
  <r>
    <n v="489"/>
    <x v="16"/>
    <x v="488"/>
    <x v="5"/>
    <x v="0"/>
    <x v="2"/>
    <x v="46"/>
    <x v="1"/>
    <n v="5.2529997825622496"/>
    <n v="1991.5"/>
    <x v="488"/>
    <n v="9561294264"/>
    <n v="1.01"/>
  </r>
  <r>
    <n v="490"/>
    <x v="16"/>
    <x v="489"/>
    <x v="6"/>
    <x v="0"/>
    <x v="2"/>
    <x v="54"/>
    <x v="1"/>
    <n v="5.2529997825622496"/>
    <n v="1985.59997558593"/>
    <x v="489"/>
    <n v="12412743996"/>
    <n v="-0.09"/>
  </r>
  <r>
    <n v="491"/>
    <x v="16"/>
    <x v="490"/>
    <x v="0"/>
    <x v="1"/>
    <x v="2"/>
    <x v="55"/>
    <x v="1"/>
    <n v="5.2600002288818297"/>
    <n v="1991.5"/>
    <x v="490"/>
    <n v="12693436420"/>
    <n v="-0.03"/>
  </r>
  <r>
    <n v="492"/>
    <x v="16"/>
    <x v="491"/>
    <x v="1"/>
    <x v="1"/>
    <x v="2"/>
    <x v="46"/>
    <x v="1"/>
    <n v="5.2729997634887598"/>
    <n v="1981.59997558593"/>
    <x v="491"/>
    <n v="18834737789"/>
    <n v="1.1599999999999999"/>
  </r>
  <r>
    <n v="493"/>
    <x v="16"/>
    <x v="492"/>
    <x v="2"/>
    <x v="1"/>
    <x v="2"/>
    <x v="45"/>
    <x v="1"/>
    <n v="5.2680001258850098"/>
    <n v="1966.80004882812"/>
    <x v="492"/>
    <n v="17295394918"/>
    <n v="0.6"/>
  </r>
  <r>
    <n v="494"/>
    <x v="16"/>
    <x v="493"/>
    <x v="3"/>
    <x v="1"/>
    <x v="2"/>
    <x v="49"/>
    <x v="1"/>
    <n v="5.26300001144409"/>
    <n v="1951.5"/>
    <x v="493"/>
    <n v="37762672382"/>
    <n v="2.91"/>
  </r>
  <r>
    <n v="495"/>
    <x v="16"/>
    <x v="494"/>
    <x v="4"/>
    <x v="1"/>
    <x v="2"/>
    <x v="54"/>
    <x v="1"/>
    <n v="5.25"/>
    <n v="1964.19995117187"/>
    <x v="494"/>
    <n v="22711265155"/>
    <n v="1.69"/>
  </r>
  <r>
    <n v="496"/>
    <x v="16"/>
    <x v="495"/>
    <x v="5"/>
    <x v="0"/>
    <x v="2"/>
    <x v="54"/>
    <x v="1"/>
    <n v="5.25"/>
    <n v="1932.59997558593"/>
    <x v="495"/>
    <n v="13924272142"/>
    <n v="-0.47"/>
  </r>
  <r>
    <n v="497"/>
    <x v="16"/>
    <x v="496"/>
    <x v="6"/>
    <x v="0"/>
    <x v="2"/>
    <x v="56"/>
    <x v="1"/>
    <n v="5.25"/>
    <n v="1964.19995117187"/>
    <x v="496"/>
    <n v="11545715999"/>
    <n v="-0.22"/>
  </r>
  <r>
    <n v="498"/>
    <x v="16"/>
    <x v="497"/>
    <x v="0"/>
    <x v="1"/>
    <x v="2"/>
    <x v="52"/>
    <x v="1"/>
    <n v="5.2600002288818297"/>
    <n v="1932.59997558593"/>
    <x v="497"/>
    <n v="19057712790"/>
    <n v="-1.49"/>
  </r>
  <r>
    <n v="499"/>
    <x v="16"/>
    <x v="498"/>
    <x v="1"/>
    <x v="1"/>
    <x v="2"/>
    <x v="49"/>
    <x v="1"/>
    <n v="5.2529997825622496"/>
    <n v="1945.5"/>
    <x v="498"/>
    <n v="23857403554"/>
    <n v="-2.64"/>
  </r>
  <r>
    <n v="500"/>
    <x v="16"/>
    <x v="499"/>
    <x v="2"/>
    <x v="1"/>
    <x v="2"/>
    <x v="37"/>
    <x v="1"/>
    <n v="5.25500011444091"/>
    <n v="1961.80004882812"/>
    <x v="499"/>
    <n v="27365821679"/>
    <n v="6.59"/>
  </r>
  <r>
    <n v="501"/>
    <x v="16"/>
    <x v="500"/>
    <x v="3"/>
    <x v="1"/>
    <x v="2"/>
    <x v="54"/>
    <x v="1"/>
    <n v="5.2430000305175701"/>
    <n v="1960.09997558593"/>
    <x v="500"/>
    <n v="26007385366"/>
    <n v="-4.5599999999999996"/>
  </r>
  <r>
    <n v="502"/>
    <x v="16"/>
    <x v="501"/>
    <x v="4"/>
    <x v="1"/>
    <x v="2"/>
    <x v="44"/>
    <x v="1"/>
    <n v="5.2329998016357404"/>
    <n v="1983.90002441406"/>
    <x v="501"/>
    <n v="22445028430"/>
    <n v="1.22"/>
  </r>
  <r>
    <n v="503"/>
    <x v="16"/>
    <x v="502"/>
    <x v="5"/>
    <x v="0"/>
    <x v="2"/>
    <x v="49"/>
    <x v="1"/>
    <n v="5.2329998016357404"/>
    <n v="1981.59997558593"/>
    <x v="502"/>
    <n v="11886022717"/>
    <n v="-0.03"/>
  </r>
  <r>
    <n v="504"/>
    <x v="16"/>
    <x v="503"/>
    <x v="6"/>
    <x v="0"/>
    <x v="2"/>
    <x v="45"/>
    <x v="1"/>
    <n v="5.2329998016357404"/>
    <n v="1983.90002441406"/>
    <x v="503"/>
    <n v="12915986553"/>
    <n v="2.19"/>
  </r>
  <r>
    <n v="505"/>
    <x v="16"/>
    <x v="504"/>
    <x v="0"/>
    <x v="1"/>
    <x v="2"/>
    <x v="49"/>
    <x v="1"/>
    <n v="5.2379999160766602"/>
    <n v="1981.59997558593"/>
    <x v="504"/>
    <n v="20888209068"/>
    <n v="0.24"/>
  </r>
  <r>
    <n v="506"/>
    <x v="16"/>
    <x v="505"/>
    <x v="1"/>
    <x v="1"/>
    <x v="2"/>
    <x v="53"/>
    <x v="1"/>
    <n v="5.25500011444091"/>
    <n v="1977.69995117187"/>
    <x v="505"/>
    <n v="25172163756"/>
    <n v="-4.4400000000000004"/>
  </r>
  <r>
    <n v="507"/>
    <x v="16"/>
    <x v="506"/>
    <x v="2"/>
    <x v="1"/>
    <x v="2"/>
    <x v="41"/>
    <x v="1"/>
    <n v="5.2649998664855904"/>
    <n v="1999.30004882812"/>
    <x v="506"/>
    <n v="24397247860"/>
    <n v="4.5199999999999996"/>
  </r>
  <r>
    <n v="508"/>
    <x v="16"/>
    <x v="507"/>
    <x v="3"/>
    <x v="1"/>
    <x v="2"/>
    <x v="45"/>
    <x v="1"/>
    <n v="5.2649998664855904"/>
    <n v="1991.40002441406"/>
    <x v="507"/>
    <n v="14214948217"/>
    <n v="-0.38"/>
  </r>
  <r>
    <n v="509"/>
    <x v="16"/>
    <x v="508"/>
    <x v="4"/>
    <x v="1"/>
    <x v="2"/>
    <x v="45"/>
    <x v="1"/>
    <n v="5.2529997825622496"/>
    <n v="1999.30004882812"/>
    <x v="508"/>
    <n v="22922957823"/>
    <n v="1.1499999999999999"/>
  </r>
  <r>
    <n v="510"/>
    <x v="16"/>
    <x v="509"/>
    <x v="5"/>
    <x v="0"/>
    <x v="2"/>
    <x v="56"/>
    <x v="1"/>
    <n v="5.2529997825622496"/>
    <n v="2002.19995117187"/>
    <x v="509"/>
    <n v="9099571165"/>
    <n v="0.2"/>
  </r>
  <r>
    <n v="511"/>
    <x v="16"/>
    <x v="510"/>
    <x v="6"/>
    <x v="0"/>
    <x v="2"/>
    <x v="56"/>
    <x v="1"/>
    <n v="5.2529997825622496"/>
    <n v="1999.30004882812"/>
    <x v="510"/>
    <n v="13744796068"/>
    <n v="-0.84"/>
  </r>
  <r>
    <n v="512"/>
    <x v="16"/>
    <x v="511"/>
    <x v="0"/>
    <x v="1"/>
    <x v="2"/>
    <x v="45"/>
    <x v="1"/>
    <n v="5.2579998970031703"/>
    <n v="2002.19995117187"/>
    <x v="511"/>
    <n v="19002925720"/>
    <n v="-0.6"/>
  </r>
  <r>
    <n v="513"/>
    <x v="16"/>
    <x v="512"/>
    <x v="1"/>
    <x v="1"/>
    <x v="2"/>
    <x v="46"/>
    <x v="1"/>
    <n v="5.2600002288818297"/>
    <n v="2011.80004882812"/>
    <x v="512"/>
    <n v="21696137014"/>
    <n v="1.55"/>
  </r>
  <r>
    <n v="514"/>
    <x v="16"/>
    <x v="513"/>
    <x v="2"/>
    <x v="1"/>
    <x v="2"/>
    <x v="52"/>
    <x v="1"/>
    <n v="5.2399997711181596"/>
    <n v="2039.69995117187"/>
    <x v="513"/>
    <n v="20728546658"/>
    <n v="7.0000000000000007E-2"/>
  </r>
  <r>
    <n v="515"/>
    <x v="16"/>
    <x v="514"/>
    <x v="3"/>
    <x v="1"/>
    <x v="2"/>
    <x v="55"/>
    <x v="1"/>
    <n v="5.2379999160766602"/>
    <n v="2047.09997558593"/>
    <x v="514"/>
    <n v="18115982627"/>
    <n v="-0.38"/>
  </r>
  <r>
    <n v="516"/>
    <x v="17"/>
    <x v="515"/>
    <x v="4"/>
    <x v="1"/>
    <x v="2"/>
    <x v="53"/>
    <x v="1"/>
    <n v="5.2150001525878897"/>
    <n v="2038.09997558593"/>
    <x v="515"/>
    <n v="23512784002"/>
    <n v="2.59"/>
  </r>
  <r>
    <n v="517"/>
    <x v="17"/>
    <x v="516"/>
    <x v="5"/>
    <x v="0"/>
    <x v="2"/>
    <x v="55"/>
    <x v="1"/>
    <n v="5.2150001525878897"/>
    <n v="2071"/>
    <x v="516"/>
    <n v="15534035612"/>
    <n v="2.04"/>
  </r>
  <r>
    <n v="518"/>
    <x v="17"/>
    <x v="517"/>
    <x v="6"/>
    <x v="0"/>
    <x v="2"/>
    <x v="56"/>
    <x v="1"/>
    <n v="5.2150001525878897"/>
    <n v="2038.09997558593"/>
    <x v="517"/>
    <n v="15769696322"/>
    <n v="1.27"/>
  </r>
  <r>
    <n v="519"/>
    <x v="17"/>
    <x v="518"/>
    <x v="0"/>
    <x v="1"/>
    <x v="2"/>
    <x v="55"/>
    <x v="1"/>
    <n v="5.22300004959106"/>
    <n v="2071"/>
    <x v="518"/>
    <n v="39856129827"/>
    <n v="5.01"/>
  </r>
  <r>
    <n v="520"/>
    <x v="17"/>
    <x v="519"/>
    <x v="1"/>
    <x v="1"/>
    <x v="3"/>
    <x v="57"/>
    <x v="1"/>
    <n v="5.2430000305175701"/>
    <n v="2024.09997558593"/>
    <x v="519"/>
    <n v="36312154535"/>
    <n v="5"/>
  </r>
  <r>
    <n v="521"/>
    <x v="17"/>
    <x v="520"/>
    <x v="2"/>
    <x v="1"/>
    <x v="2"/>
    <x v="52"/>
    <x v="1"/>
    <n v="5.2430000305175701"/>
    <n v="2018.5"/>
    <x v="520"/>
    <n v="29909761586"/>
    <n v="-0.76"/>
  </r>
  <r>
    <n v="522"/>
    <x v="17"/>
    <x v="521"/>
    <x v="3"/>
    <x v="1"/>
    <x v="2"/>
    <x v="52"/>
    <x v="1"/>
    <n v="5.2329998016357404"/>
    <n v="2030.5"/>
    <x v="521"/>
    <n v="27635760671"/>
    <n v="-1.04"/>
  </r>
  <r>
    <n v="523"/>
    <x v="17"/>
    <x v="522"/>
    <x v="4"/>
    <x v="1"/>
    <x v="2"/>
    <x v="52"/>
    <x v="1"/>
    <n v="5.2329998016357404"/>
    <n v="2029.90002441406"/>
    <x v="522"/>
    <n v="24421116687"/>
    <n v="2.02"/>
  </r>
  <r>
    <n v="524"/>
    <x v="17"/>
    <x v="523"/>
    <x v="5"/>
    <x v="0"/>
    <x v="2"/>
    <x v="56"/>
    <x v="1"/>
    <n v="5.2329998016357404"/>
    <n v="1998.30004882812"/>
    <x v="523"/>
    <n v="17368210171"/>
    <n v="-1"/>
  </r>
  <r>
    <n v="525"/>
    <x v="17"/>
    <x v="524"/>
    <x v="6"/>
    <x v="0"/>
    <x v="2"/>
    <x v="55"/>
    <x v="1"/>
    <n v="5.2329998016357404"/>
    <n v="2029.90002441406"/>
    <x v="524"/>
    <n v="13000481418"/>
    <n v="0.12"/>
  </r>
  <r>
    <n v="526"/>
    <x v="17"/>
    <x v="525"/>
    <x v="0"/>
    <x v="1"/>
    <x v="2"/>
    <x v="55"/>
    <x v="1"/>
    <n v="5.2329998016357404"/>
    <n v="1998.30004882812"/>
    <x v="525"/>
    <n v="40632672038"/>
    <n v="-5.79"/>
  </r>
  <r>
    <n v="527"/>
    <x v="17"/>
    <x v="526"/>
    <x v="1"/>
    <x v="1"/>
    <x v="2"/>
    <x v="58"/>
    <x v="1"/>
    <n v="5.2480001449584899"/>
    <n v="1978"/>
    <x v="526"/>
    <n v="24779520132"/>
    <n v="0.5"/>
  </r>
  <r>
    <n v="528"/>
    <x v="17"/>
    <x v="527"/>
    <x v="2"/>
    <x v="1"/>
    <x v="2"/>
    <x v="48"/>
    <x v="1"/>
    <n v="5.22300004959106"/>
    <n v="1977.80004882812"/>
    <x v="527"/>
    <n v="26797884674"/>
    <n v="3.48"/>
  </r>
  <r>
    <n v="529"/>
    <x v="17"/>
    <x v="528"/>
    <x v="3"/>
    <x v="1"/>
    <x v="2"/>
    <x v="52"/>
    <x v="1"/>
    <n v="5.2150001525878897"/>
    <n v="1982.30004882812"/>
    <x v="528"/>
    <n v="25578530178"/>
    <n v="0.31"/>
  </r>
  <r>
    <n v="530"/>
    <x v="17"/>
    <x v="529"/>
    <x v="4"/>
    <x v="1"/>
    <x v="2"/>
    <x v="54"/>
    <x v="1"/>
    <n v="5.2249999046325604"/>
    <n v="2030.19995117187"/>
    <x v="529"/>
    <n v="19639442462"/>
    <n v="-2.54"/>
  </r>
  <r>
    <n v="531"/>
    <x v="17"/>
    <x v="530"/>
    <x v="5"/>
    <x v="0"/>
    <x v="2"/>
    <x v="58"/>
    <x v="1"/>
    <n v="5.2249999046325604"/>
    <n v="2021.09997558593"/>
    <x v="530"/>
    <n v="14386729590"/>
    <n v="0.74"/>
  </r>
  <r>
    <n v="532"/>
    <x v="17"/>
    <x v="531"/>
    <x v="6"/>
    <x v="0"/>
    <x v="2"/>
    <x v="56"/>
    <x v="1"/>
    <n v="5.2249999046325604"/>
    <n v="2030.19995117187"/>
    <x v="531"/>
    <n v="16678702876"/>
    <n v="-2.0699999999999998"/>
  </r>
  <r>
    <n v="533"/>
    <x v="17"/>
    <x v="532"/>
    <x v="0"/>
    <x v="1"/>
    <x v="2"/>
    <x v="48"/>
    <x v="1"/>
    <n v="5.2249999046325604"/>
    <n v="2021.09997558593"/>
    <x v="532"/>
    <n v="25224642008"/>
    <n v="3.04"/>
  </r>
  <r>
    <n v="534"/>
    <x v="17"/>
    <x v="533"/>
    <x v="1"/>
    <x v="1"/>
    <x v="2"/>
    <x v="56"/>
    <x v="1"/>
    <n v="5.2379999160766602"/>
    <n v="2026.30004882812"/>
    <x v="533"/>
    <n v="23171001281"/>
    <n v="-0.83"/>
  </r>
  <r>
    <n v="535"/>
    <x v="17"/>
    <x v="534"/>
    <x v="2"/>
    <x v="1"/>
    <x v="2"/>
    <x v="55"/>
    <x v="1"/>
    <n v="5.2300000190734801"/>
    <n v="2038.40002441406"/>
    <x v="534"/>
    <n v="27868908174"/>
    <n v="3.27"/>
  </r>
  <r>
    <n v="536"/>
    <x v="17"/>
    <x v="535"/>
    <x v="3"/>
    <x v="1"/>
    <x v="2"/>
    <x v="54"/>
    <x v="1"/>
    <n v="5.21000003814697"/>
    <n v="2034.5"/>
    <x v="535"/>
    <n v="22452766169"/>
    <n v="0.5"/>
  </r>
  <r>
    <n v="537"/>
    <x v="17"/>
    <x v="536"/>
    <x v="4"/>
    <x v="1"/>
    <x v="2"/>
    <x v="55"/>
    <x v="1"/>
    <n v="5.2080001831054599"/>
    <n v="2039.09997558593"/>
    <x v="536"/>
    <n v="21028503216"/>
    <n v="0.28999999999999998"/>
  </r>
  <r>
    <n v="538"/>
    <x v="17"/>
    <x v="537"/>
    <x v="5"/>
    <x v="0"/>
    <x v="2"/>
    <x v="54"/>
    <x v="1"/>
    <n v="5.2080001831054599"/>
    <n v="2057.10009765625"/>
    <x v="537"/>
    <n v="13507796558"/>
    <n v="-0.59"/>
  </r>
  <r>
    <n v="539"/>
    <x v="17"/>
    <x v="538"/>
    <x v="6"/>
    <x v="0"/>
    <x v="2"/>
    <x v="53"/>
    <x v="1"/>
    <n v="5.2080001831054599"/>
    <n v="2039.09997558593"/>
    <x v="538"/>
    <n v="18830554085"/>
    <n v="-1.65"/>
  </r>
  <r>
    <n v="540"/>
    <x v="17"/>
    <x v="539"/>
    <x v="0"/>
    <x v="1"/>
    <x v="2"/>
    <x v="56"/>
    <x v="1"/>
    <n v="5.2080001831054599"/>
    <n v="2057.10009765625"/>
    <x v="539"/>
    <n v="21115795370"/>
    <n v="1.39"/>
  </r>
  <r>
    <n v="541"/>
    <x v="17"/>
    <x v="540"/>
    <x v="1"/>
    <x v="1"/>
    <x v="2"/>
    <x v="53"/>
    <x v="1"/>
    <n v="5.2030000686645499"/>
    <n v="2039.09997558593"/>
    <x v="540"/>
    <n v="30026850982"/>
    <n v="-2.5099999999999998"/>
  </r>
  <r>
    <n v="542"/>
    <x v="17"/>
    <x v="541"/>
    <x v="2"/>
    <x v="1"/>
    <x v="2"/>
    <x v="56"/>
    <x v="1"/>
    <n v="5.2350001335143999"/>
    <n v="2058.19995117187"/>
    <x v="541"/>
    <n v="25260941032"/>
    <n v="2.17"/>
  </r>
  <r>
    <n v="543"/>
    <x v="17"/>
    <x v="542"/>
    <x v="3"/>
    <x v="1"/>
    <x v="2"/>
    <x v="56"/>
    <x v="1"/>
    <n v="5.2179999351501403"/>
    <n v="2081.89990234375"/>
    <x v="542"/>
    <n v="22992093014"/>
    <n v="-1.88"/>
  </r>
  <r>
    <n v="544"/>
    <x v="17"/>
    <x v="543"/>
    <x v="4"/>
    <x v="1"/>
    <x v="2"/>
    <x v="48"/>
    <x v="1"/>
    <n v="5.1799998283386204"/>
    <n v="2073.89990234375"/>
    <x v="543"/>
    <n v="26000021055"/>
    <n v="-1.24"/>
  </r>
  <r>
    <n v="545"/>
    <x v="17"/>
    <x v="544"/>
    <x v="5"/>
    <x v="0"/>
    <x v="2"/>
    <x v="46"/>
    <x v="1"/>
    <n v="5.1799998283386204"/>
    <n v="2062.39990234375"/>
    <x v="544"/>
    <n v="16013925945"/>
    <n v="0.14000000000000001"/>
  </r>
  <r>
    <n v="546"/>
    <x v="17"/>
    <x v="545"/>
    <x v="6"/>
    <x v="0"/>
    <x v="2"/>
    <x v="58"/>
    <x v="1"/>
    <n v="5.1799998283386204"/>
    <n v="2073.89990234375"/>
    <x v="545"/>
    <n v="16397498810"/>
    <n v="0.26"/>
  </r>
  <r>
    <n v="547"/>
    <x v="18"/>
    <x v="546"/>
    <x v="0"/>
    <x v="1"/>
    <x v="2"/>
    <x v="48"/>
    <x v="12"/>
    <n v="5.1799998283386204"/>
    <n v="2062.39990234375"/>
    <x v="546"/>
    <n v="18426978443"/>
    <n v="4.5"/>
  </r>
  <r>
    <n v="548"/>
    <x v="18"/>
    <x v="547"/>
    <x v="1"/>
    <x v="1"/>
    <x v="2"/>
    <x v="53"/>
    <x v="1"/>
    <n v="5.2129998207092196"/>
    <n v="2073.89990234375"/>
    <x v="547"/>
    <n v="39335274536"/>
    <n v="1.79"/>
  </r>
  <r>
    <n v="549"/>
    <x v="18"/>
    <x v="548"/>
    <x v="2"/>
    <x v="1"/>
    <x v="2"/>
    <x v="54"/>
    <x v="1"/>
    <n v="5.2350001335143999"/>
    <n v="2064.39990234375"/>
    <x v="548"/>
    <n v="46342323118"/>
    <n v="-4.6900000000000004"/>
  </r>
  <r>
    <n v="550"/>
    <x v="18"/>
    <x v="549"/>
    <x v="3"/>
    <x v="1"/>
    <x v="2"/>
    <x v="46"/>
    <x v="1"/>
    <n v="5.2280001640319798"/>
    <n v="2034.19995117187"/>
    <x v="549"/>
    <n v="30448091210"/>
    <n v="3.11"/>
  </r>
  <r>
    <n v="551"/>
    <x v="18"/>
    <x v="550"/>
    <x v="4"/>
    <x v="1"/>
    <x v="2"/>
    <x v="52"/>
    <x v="1"/>
    <n v="5.2199997901916504"/>
    <n v="2042.30004882812"/>
    <x v="550"/>
    <n v="32336029347"/>
    <n v="-0.04"/>
  </r>
  <r>
    <n v="552"/>
    <x v="18"/>
    <x v="551"/>
    <x v="5"/>
    <x v="0"/>
    <x v="2"/>
    <x v="54"/>
    <x v="1"/>
    <n v="5.2199997901916504"/>
    <n v="2042.40002441406"/>
    <x v="551"/>
    <n v="16092503468"/>
    <n v="-0.39"/>
  </r>
  <r>
    <n v="553"/>
    <x v="18"/>
    <x v="552"/>
    <x v="6"/>
    <x v="0"/>
    <x v="2"/>
    <x v="53"/>
    <x v="1"/>
    <n v="5.2199997901916504"/>
    <n v="2042.30004882812"/>
    <x v="552"/>
    <n v="19330573863"/>
    <n v="-0.1"/>
  </r>
  <r>
    <n v="554"/>
    <x v="18"/>
    <x v="553"/>
    <x v="0"/>
    <x v="1"/>
    <x v="2"/>
    <x v="53"/>
    <x v="1"/>
    <n v="5.2199997901916504"/>
    <n v="2042.40002441406"/>
    <x v="553"/>
    <n v="42746192015"/>
    <n v="6.89"/>
  </r>
  <r>
    <n v="555"/>
    <x v="18"/>
    <x v="554"/>
    <x v="1"/>
    <x v="1"/>
    <x v="3"/>
    <x v="59"/>
    <x v="1"/>
    <n v="5.2300000190734801"/>
    <n v="2026.59997558593"/>
    <x v="554"/>
    <n v="39821290992"/>
    <n v="-1.77"/>
  </r>
  <r>
    <n v="556"/>
    <x v="18"/>
    <x v="555"/>
    <x v="2"/>
    <x v="1"/>
    <x v="2"/>
    <x v="56"/>
    <x v="1"/>
    <n v="5.2249999046325604"/>
    <n v="2026.40002441406"/>
    <x v="555"/>
    <n v="50114613298"/>
    <n v="1.06"/>
  </r>
  <r>
    <n v="557"/>
    <x v="18"/>
    <x v="556"/>
    <x v="3"/>
    <x v="1"/>
    <x v="3"/>
    <x v="59"/>
    <x v="1"/>
    <n v="5.2179999351501403"/>
    <n v="2021.69995117187"/>
    <x v="556"/>
    <n v="45833734549"/>
    <n v="-0.56000000000000005"/>
  </r>
  <r>
    <n v="558"/>
    <x v="18"/>
    <x v="557"/>
    <x v="4"/>
    <x v="1"/>
    <x v="2"/>
    <x v="53"/>
    <x v="1"/>
    <n v="5.1979999542236301"/>
    <n v="2014.30004882812"/>
    <x v="557"/>
    <n v="43332698900"/>
    <n v="-7.58"/>
  </r>
  <r>
    <n v="559"/>
    <x v="18"/>
    <x v="558"/>
    <x v="5"/>
    <x v="0"/>
    <x v="2"/>
    <x v="43"/>
    <x v="1"/>
    <n v="5.1979999542236301"/>
    <n v="2046.69995117187"/>
    <x v="558"/>
    <n v="20601860469"/>
    <n v="-0.03"/>
  </r>
  <r>
    <n v="560"/>
    <x v="18"/>
    <x v="559"/>
    <x v="6"/>
    <x v="0"/>
    <x v="2"/>
    <x v="37"/>
    <x v="1"/>
    <n v="5.1979999542236301"/>
    <n v="2014.30004882812"/>
    <x v="559"/>
    <n v="17521429522"/>
    <n v="-2.44"/>
  </r>
  <r>
    <n v="561"/>
    <x v="18"/>
    <x v="560"/>
    <x v="0"/>
    <x v="1"/>
    <x v="2"/>
    <x v="29"/>
    <x v="1"/>
    <n v="5.1979999542236301"/>
    <n v="2046.69995117187"/>
    <x v="560"/>
    <n v="22320220558"/>
    <n v="1.71"/>
  </r>
  <r>
    <n v="562"/>
    <x v="18"/>
    <x v="561"/>
    <x v="1"/>
    <x v="1"/>
    <x v="2"/>
    <x v="43"/>
    <x v="1"/>
    <n v="5.2030000686645499"/>
    <n v="2014.30004882812"/>
    <x v="561"/>
    <n v="24062872740"/>
    <n v="1.51"/>
  </r>
  <r>
    <n v="563"/>
    <x v="18"/>
    <x v="562"/>
    <x v="2"/>
    <x v="1"/>
    <x v="2"/>
    <x v="37"/>
    <x v="1"/>
    <n v="5.2150001525878897"/>
    <n v="2026"/>
    <x v="562"/>
    <n v="20851232595"/>
    <n v="-0.96"/>
  </r>
  <r>
    <n v="564"/>
    <x v="18"/>
    <x v="563"/>
    <x v="3"/>
    <x v="1"/>
    <x v="2"/>
    <x v="44"/>
    <x v="1"/>
    <n v="5.1999998092651296"/>
    <n v="2002.59997558593"/>
    <x v="563"/>
    <n v="25218357242"/>
    <n v="-3.46"/>
  </r>
  <r>
    <n v="565"/>
    <x v="18"/>
    <x v="564"/>
    <x v="4"/>
    <x v="1"/>
    <x v="2"/>
    <x v="30"/>
    <x v="1"/>
    <n v="5.1979999542236301"/>
    <n v="2018.59997558593"/>
    <x v="564"/>
    <n v="25752407154"/>
    <n v="0.86"/>
  </r>
  <r>
    <n v="566"/>
    <x v="18"/>
    <x v="565"/>
    <x v="5"/>
    <x v="0"/>
    <x v="2"/>
    <x v="29"/>
    <x v="1"/>
    <n v="5.1979999542236301"/>
    <n v="2026.5"/>
    <x v="565"/>
    <n v="11586690904"/>
    <n v="0.11"/>
  </r>
  <r>
    <n v="567"/>
    <x v="18"/>
    <x v="566"/>
    <x v="6"/>
    <x v="0"/>
    <x v="2"/>
    <x v="36"/>
    <x v="1"/>
    <n v="5.1979999542236301"/>
    <n v="2018.59997558593"/>
    <x v="566"/>
    <n v="9344043642"/>
    <n v="-0.28999999999999998"/>
  </r>
  <r>
    <n v="568"/>
    <x v="18"/>
    <x v="567"/>
    <x v="0"/>
    <x v="1"/>
    <x v="2"/>
    <x v="34"/>
    <x v="1"/>
    <n v="5.1999998092651296"/>
    <n v="2026.5"/>
    <x v="567"/>
    <n v="31338708143"/>
    <n v="-4.91"/>
  </r>
  <r>
    <n v="569"/>
    <x v="18"/>
    <x v="568"/>
    <x v="1"/>
    <x v="1"/>
    <x v="2"/>
    <x v="32"/>
    <x v="1"/>
    <n v="5.21000003814697"/>
    <n v="2019.80004882812"/>
    <x v="568"/>
    <n v="29244553045"/>
    <n v="0.86"/>
  </r>
  <r>
    <n v="570"/>
    <x v="18"/>
    <x v="569"/>
    <x v="2"/>
    <x v="1"/>
    <x v="1"/>
    <x v="39"/>
    <x v="1"/>
    <n v="5.21000003814697"/>
    <n v="2023.69995117187"/>
    <x v="569"/>
    <n v="22359526178"/>
    <n v="0.57999999999999996"/>
  </r>
  <r>
    <n v="571"/>
    <x v="18"/>
    <x v="570"/>
    <x v="3"/>
    <x v="1"/>
    <x v="2"/>
    <x v="29"/>
    <x v="1"/>
    <n v="5.1950001716613698"/>
    <n v="2013.90002441406"/>
    <x v="570"/>
    <n v="18491782013"/>
    <n v="-0.36"/>
  </r>
  <r>
    <n v="572"/>
    <x v="18"/>
    <x v="571"/>
    <x v="4"/>
    <x v="1"/>
    <x v="1"/>
    <x v="40"/>
    <x v="1"/>
    <n v="5.1999998092651296"/>
    <n v="2016.90002441406"/>
    <x v="571"/>
    <n v="25598119893"/>
    <n v="4.72"/>
  </r>
  <r>
    <n v="573"/>
    <x v="18"/>
    <x v="572"/>
    <x v="5"/>
    <x v="0"/>
    <x v="2"/>
    <x v="34"/>
    <x v="1"/>
    <n v="5.1999998092651296"/>
    <n v="2016.80004882812"/>
    <x v="572"/>
    <n v="11422941934"/>
    <n v="0.73"/>
  </r>
  <r>
    <n v="574"/>
    <x v="18"/>
    <x v="573"/>
    <x v="6"/>
    <x v="0"/>
    <x v="2"/>
    <x v="33"/>
    <x v="1"/>
    <n v="5.1999998092651296"/>
    <n v="2016.90002441406"/>
    <x v="573"/>
    <n v="16858971687"/>
    <n v="-0.2"/>
  </r>
  <r>
    <n v="575"/>
    <x v="18"/>
    <x v="574"/>
    <x v="0"/>
    <x v="1"/>
    <x v="2"/>
    <x v="34"/>
    <x v="1"/>
    <n v="5.1999998092651296"/>
    <n v="2016.80004882812"/>
    <x v="574"/>
    <n v="20668476578"/>
    <n v="2.98"/>
  </r>
  <r>
    <n v="576"/>
    <x v="18"/>
    <x v="575"/>
    <x v="1"/>
    <x v="1"/>
    <x v="2"/>
    <x v="35"/>
    <x v="1"/>
    <n v="5.2030000686645499"/>
    <n v="2025.19995117187"/>
    <x v="575"/>
    <n v="23842814518"/>
    <n v="-0.78"/>
  </r>
  <r>
    <n v="577"/>
    <x v="18"/>
    <x v="576"/>
    <x v="2"/>
    <x v="1"/>
    <x v="2"/>
    <x v="37"/>
    <x v="1"/>
    <n v="5.1880002021789497"/>
    <n v="2031.5"/>
    <x v="576"/>
    <n v="24673628793"/>
    <n v="-0.86"/>
  </r>
  <r>
    <n v="578"/>
    <x v="19"/>
    <x v="577"/>
    <x v="3"/>
    <x v="1"/>
    <x v="2"/>
    <x v="44"/>
    <x v="1"/>
    <n v="5.1999998092651296"/>
    <n v="2048.39990234375"/>
    <x v="577"/>
    <n v="21423953779"/>
    <n v="1.1599999999999999"/>
  </r>
  <r>
    <n v="579"/>
    <x v="19"/>
    <x v="578"/>
    <x v="4"/>
    <x v="1"/>
    <x v="2"/>
    <x v="44"/>
    <x v="1"/>
    <n v="5.21000003814697"/>
    <n v="2053"/>
    <x v="578"/>
    <n v="18603843039"/>
    <n v="0.26"/>
  </r>
  <r>
    <n v="580"/>
    <x v="19"/>
    <x v="579"/>
    <x v="5"/>
    <x v="0"/>
    <x v="2"/>
    <x v="37"/>
    <x v="1"/>
    <n v="5.21000003814697"/>
    <n v="2036.09997558593"/>
    <x v="579"/>
    <n v="11169245236"/>
    <n v="-0.45"/>
  </r>
  <r>
    <n v="581"/>
    <x v="19"/>
    <x v="580"/>
    <x v="6"/>
    <x v="0"/>
    <x v="2"/>
    <x v="37"/>
    <x v="1"/>
    <n v="5.21000003814697"/>
    <n v="2053"/>
    <x v="580"/>
    <n v="14802225490"/>
    <n v="-0.95"/>
  </r>
  <r>
    <n v="582"/>
    <x v="19"/>
    <x v="581"/>
    <x v="0"/>
    <x v="1"/>
    <x v="2"/>
    <x v="37"/>
    <x v="1"/>
    <n v="5.2280001640319798"/>
    <n v="2036.09997558593"/>
    <x v="581"/>
    <n v="18715487317"/>
    <n v="0.18"/>
  </r>
  <r>
    <n v="583"/>
    <x v="19"/>
    <x v="582"/>
    <x v="1"/>
    <x v="1"/>
    <x v="2"/>
    <x v="43"/>
    <x v="1"/>
    <n v="5.22300004959106"/>
    <n v="2025.69995117187"/>
    <x v="582"/>
    <n v="16798476726"/>
    <n v="1"/>
  </r>
  <r>
    <n v="584"/>
    <x v="19"/>
    <x v="583"/>
    <x v="2"/>
    <x v="1"/>
    <x v="2"/>
    <x v="41"/>
    <x v="1"/>
    <n v="5.22300004959106"/>
    <n v="2034.5"/>
    <x v="583"/>
    <n v="21126587775"/>
    <n v="2.86"/>
  </r>
  <r>
    <n v="585"/>
    <x v="19"/>
    <x v="584"/>
    <x v="3"/>
    <x v="1"/>
    <x v="2"/>
    <x v="45"/>
    <x v="1"/>
    <n v="5.2179999351501403"/>
    <n v="2035.19995117187"/>
    <x v="584"/>
    <n v="26154524080"/>
    <n v="2.2200000000000002"/>
  </r>
  <r>
    <n v="586"/>
    <x v="19"/>
    <x v="585"/>
    <x v="4"/>
    <x v="1"/>
    <x v="2"/>
    <x v="52"/>
    <x v="1"/>
    <n v="5.2199997901916504"/>
    <n v="2032.19995117187"/>
    <x v="585"/>
    <n v="39316770844"/>
    <n v="4.07"/>
  </r>
  <r>
    <n v="587"/>
    <x v="19"/>
    <x v="586"/>
    <x v="5"/>
    <x v="0"/>
    <x v="2"/>
    <x v="55"/>
    <x v="1"/>
    <n v="5.2199997901916504"/>
    <n v="2023.30004882812"/>
    <x v="586"/>
    <n v="16398681570"/>
    <n v="1.32"/>
  </r>
  <r>
    <n v="588"/>
    <x v="19"/>
    <x v="587"/>
    <x v="6"/>
    <x v="0"/>
    <x v="2"/>
    <x v="53"/>
    <x v="1"/>
    <n v="5.2199997901916504"/>
    <n v="2032.19995117187"/>
    <x v="587"/>
    <n v="19315867136"/>
    <n v="1.0900000000000001"/>
  </r>
  <r>
    <n v="589"/>
    <x v="19"/>
    <x v="588"/>
    <x v="0"/>
    <x v="1"/>
    <x v="2"/>
    <x v="54"/>
    <x v="1"/>
    <n v="5.2280001640319798"/>
    <n v="2023.30004882812"/>
    <x v="588"/>
    <n v="34511985805"/>
    <n v="3.45"/>
  </r>
  <r>
    <n v="590"/>
    <x v="19"/>
    <x v="589"/>
    <x v="1"/>
    <x v="1"/>
    <x v="3"/>
    <x v="60"/>
    <x v="1"/>
    <n v="5.2329998016357404"/>
    <n v="2018.19995117187"/>
    <x v="589"/>
    <n v="35593051468"/>
    <n v="-0.43"/>
  </r>
  <r>
    <n v="591"/>
    <x v="19"/>
    <x v="590"/>
    <x v="2"/>
    <x v="1"/>
    <x v="2"/>
    <x v="55"/>
    <x v="1"/>
    <n v="5.2179999351501403"/>
    <n v="1992.90002441406"/>
    <x v="590"/>
    <n v="39105608050"/>
    <n v="4.1900000000000004"/>
  </r>
  <r>
    <n v="592"/>
    <x v="19"/>
    <x v="591"/>
    <x v="3"/>
    <x v="1"/>
    <x v="2"/>
    <x v="52"/>
    <x v="1"/>
    <n v="5.2179999351501403"/>
    <n v="1990.30004882812"/>
    <x v="591"/>
    <n v="38564360533"/>
    <n v="0.22"/>
  </r>
  <r>
    <n v="593"/>
    <x v="19"/>
    <x v="592"/>
    <x v="4"/>
    <x v="1"/>
    <x v="2"/>
    <x v="52"/>
    <x v="1"/>
    <n v="5.22300004959106"/>
    <n v="2002.09997558593"/>
    <x v="592"/>
    <n v="28180567298"/>
    <n v="0.43"/>
  </r>
  <r>
    <n v="594"/>
    <x v="19"/>
    <x v="593"/>
    <x v="5"/>
    <x v="0"/>
    <x v="3"/>
    <x v="59"/>
    <x v="1"/>
    <n v="5.22300004959106"/>
    <n v="2011.5"/>
    <x v="593"/>
    <n v="20009091006"/>
    <n v="-0.95"/>
  </r>
  <r>
    <n v="595"/>
    <x v="19"/>
    <x v="594"/>
    <x v="6"/>
    <x v="0"/>
    <x v="2"/>
    <x v="52"/>
    <x v="1"/>
    <n v="5.22300004959106"/>
    <n v="2002.09997558593"/>
    <x v="594"/>
    <n v="17595377311"/>
    <n v="0.89"/>
  </r>
  <r>
    <n v="596"/>
    <x v="19"/>
    <x v="595"/>
    <x v="0"/>
    <x v="1"/>
    <x v="3"/>
    <x v="57"/>
    <x v="1"/>
    <n v="5.22300004959106"/>
    <n v="2011.5"/>
    <x v="595"/>
    <n v="21362184346"/>
    <n v="-0.66"/>
  </r>
  <r>
    <n v="597"/>
    <x v="19"/>
    <x v="596"/>
    <x v="1"/>
    <x v="1"/>
    <x v="2"/>
    <x v="52"/>
    <x v="1"/>
    <n v="5.2129998207092196"/>
    <n v="2002.09997558593"/>
    <x v="596"/>
    <n v="33353758256"/>
    <n v="0.98"/>
  </r>
  <r>
    <n v="598"/>
    <x v="19"/>
    <x v="597"/>
    <x v="2"/>
    <x v="1"/>
    <x v="3"/>
    <x v="61"/>
    <x v="1"/>
    <n v="5.2350001335143999"/>
    <n v="2027.5"/>
    <x v="597"/>
    <n v="28624907020"/>
    <n v="-0.85"/>
  </r>
  <r>
    <n v="599"/>
    <x v="19"/>
    <x v="598"/>
    <x v="3"/>
    <x v="1"/>
    <x v="2"/>
    <x v="55"/>
    <x v="1"/>
    <n v="5.2329998016357404"/>
    <n v="2022.30004882812"/>
    <x v="598"/>
    <n v="25413900611"/>
    <n v="-1.03"/>
  </r>
  <r>
    <n v="600"/>
    <x v="19"/>
    <x v="599"/>
    <x v="4"/>
    <x v="1"/>
    <x v="3"/>
    <x v="59"/>
    <x v="1"/>
    <n v="5.2399997711181596"/>
    <n v="2019.69995117187"/>
    <x v="599"/>
    <n v="21427078270"/>
    <n v="-1.1200000000000001"/>
  </r>
  <r>
    <n v="601"/>
    <x v="19"/>
    <x v="600"/>
    <x v="5"/>
    <x v="0"/>
    <x v="2"/>
    <x v="52"/>
    <x v="1"/>
    <n v="5.2399997711181596"/>
    <n v="2038.59997558593"/>
    <x v="600"/>
    <n v="15174077879"/>
    <n v="1.65"/>
  </r>
  <r>
    <n v="602"/>
    <x v="19"/>
    <x v="601"/>
    <x v="6"/>
    <x v="0"/>
    <x v="2"/>
    <x v="55"/>
    <x v="1"/>
    <n v="5.2399997711181596"/>
    <n v="2019.69995117187"/>
    <x v="601"/>
    <n v="15413239245"/>
    <n v="0.31"/>
  </r>
  <r>
    <n v="603"/>
    <x v="19"/>
    <x v="602"/>
    <x v="0"/>
    <x v="1"/>
    <x v="2"/>
    <x v="52"/>
    <x v="1"/>
    <n v="5.25"/>
    <n v="2038.59997558593"/>
    <x v="602"/>
    <n v="34074411896"/>
    <n v="5.39"/>
  </r>
  <r>
    <n v="604"/>
    <x v="19"/>
    <x v="603"/>
    <x v="1"/>
    <x v="1"/>
    <x v="3"/>
    <x v="60"/>
    <x v="1"/>
    <n v="5.2449998855590803"/>
    <n v="2028.5"/>
    <x v="603"/>
    <n v="49756832031"/>
    <n v="4.7"/>
  </r>
  <r>
    <n v="605"/>
    <x v="19"/>
    <x v="604"/>
    <x v="2"/>
    <x v="1"/>
    <x v="3"/>
    <x v="62"/>
    <x v="1"/>
    <n v="5.2399997711181596"/>
    <n v="2034"/>
    <x v="604"/>
    <n v="83239156760"/>
    <n v="9.49"/>
  </r>
  <r>
    <n v="606"/>
    <x v="19"/>
    <x v="605"/>
    <x v="3"/>
    <x v="1"/>
    <x v="3"/>
    <x v="63"/>
    <x v="1"/>
    <n v="5.22300004959106"/>
    <n v="2033"/>
    <x v="605"/>
    <n v="65496611844"/>
    <n v="-2.09"/>
  </r>
  <r>
    <n v="607"/>
    <x v="20"/>
    <x v="606"/>
    <x v="4"/>
    <x v="1"/>
    <x v="3"/>
    <x v="63"/>
    <x v="13"/>
    <n v="5.2150001525878897"/>
    <n v="2045.69995117187"/>
    <x v="606"/>
    <n v="40186368423"/>
    <n v="2.0299999999999998"/>
  </r>
  <r>
    <n v="608"/>
    <x v="20"/>
    <x v="607"/>
    <x v="5"/>
    <x v="0"/>
    <x v="3"/>
    <x v="63"/>
    <x v="1"/>
    <n v="5.2150001525878897"/>
    <n v="2086.89990234375"/>
    <x v="607"/>
    <n v="23888473685"/>
    <n v="-0.66"/>
  </r>
  <r>
    <n v="609"/>
    <x v="20"/>
    <x v="608"/>
    <x v="6"/>
    <x v="0"/>
    <x v="3"/>
    <x v="64"/>
    <x v="1"/>
    <n v="5.2150001525878897"/>
    <n v="2045.69995117187"/>
    <x v="608"/>
    <n v="26253811450"/>
    <n v="1.83"/>
  </r>
  <r>
    <n v="610"/>
    <x v="20"/>
    <x v="609"/>
    <x v="0"/>
    <x v="1"/>
    <x v="3"/>
    <x v="62"/>
    <x v="1"/>
    <n v="5.22300004959106"/>
    <n v="2086.89990234375"/>
    <x v="609"/>
    <n v="70670471105"/>
    <n v="8.17"/>
  </r>
  <r>
    <n v="611"/>
    <x v="20"/>
    <x v="610"/>
    <x v="1"/>
    <x v="1"/>
    <x v="3"/>
    <x v="65"/>
    <x v="1"/>
    <n v="5.2249999046325604"/>
    <n v="2117.69995117187"/>
    <x v="610"/>
    <n v="102802940877"/>
    <n v="-6.63"/>
  </r>
  <r>
    <n v="612"/>
    <x v="20"/>
    <x v="611"/>
    <x v="2"/>
    <x v="1"/>
    <x v="3"/>
    <x v="57"/>
    <x v="1"/>
    <n v="5.2300000190734801"/>
    <n v="2133.5"/>
    <x v="611"/>
    <n v="68750229073"/>
    <n v="3.61"/>
  </r>
  <r>
    <n v="613"/>
    <x v="20"/>
    <x v="612"/>
    <x v="3"/>
    <x v="1"/>
    <x v="3"/>
    <x v="62"/>
    <x v="1"/>
    <n v="5.2280001640319798"/>
    <n v="2150.30004882812"/>
    <x v="612"/>
    <n v="46989543159"/>
    <n v="1.24"/>
  </r>
  <r>
    <n v="614"/>
    <x v="20"/>
    <x v="613"/>
    <x v="4"/>
    <x v="1"/>
    <x v="3"/>
    <x v="66"/>
    <x v="1"/>
    <n v="5.2280001640319798"/>
    <n v="2158"/>
    <x v="613"/>
    <n v="59202881172"/>
    <n v="2.0499999999999998"/>
  </r>
  <r>
    <n v="615"/>
    <x v="20"/>
    <x v="614"/>
    <x v="5"/>
    <x v="0"/>
    <x v="3"/>
    <x v="67"/>
    <x v="1"/>
    <n v="5.2280001640319798"/>
    <n v="2178.60009765625"/>
    <x v="614"/>
    <n v="21609650379"/>
    <n v="0.28999999999999998"/>
  </r>
  <r>
    <n v="616"/>
    <x v="20"/>
    <x v="615"/>
    <x v="6"/>
    <x v="0"/>
    <x v="3"/>
    <x v="60"/>
    <x v="1"/>
    <n v="5.2280001640319798"/>
    <n v="2158"/>
    <x v="615"/>
    <n v="35683977532"/>
    <n v="0.76"/>
  </r>
  <r>
    <n v="617"/>
    <x v="20"/>
    <x v="616"/>
    <x v="0"/>
    <x v="1"/>
    <x v="3"/>
    <x v="62"/>
    <x v="1"/>
    <n v="5.2399997711181596"/>
    <n v="2178.60009765625"/>
    <x v="616"/>
    <n v="65716656765"/>
    <n v="4.5"/>
  </r>
  <r>
    <n v="618"/>
    <x v="20"/>
    <x v="617"/>
    <x v="1"/>
    <x v="1"/>
    <x v="3"/>
    <x v="66"/>
    <x v="1"/>
    <n v="5.2399997711181596"/>
    <n v="2182.5"/>
    <x v="617"/>
    <n v="62554434520"/>
    <n v="-0.89"/>
  </r>
  <r>
    <n v="619"/>
    <x v="20"/>
    <x v="618"/>
    <x v="2"/>
    <x v="1"/>
    <x v="3"/>
    <x v="66"/>
    <x v="1"/>
    <n v="5.2379999160766602"/>
    <n v="2160.39990234375"/>
    <x v="618"/>
    <n v="48212536929"/>
    <n v="2.2400000000000002"/>
  </r>
  <r>
    <n v="620"/>
    <x v="20"/>
    <x v="619"/>
    <x v="3"/>
    <x v="1"/>
    <x v="3"/>
    <x v="68"/>
    <x v="1"/>
    <n v="5.2379999160766602"/>
    <n v="2175.39990234375"/>
    <x v="619"/>
    <n v="59594605698"/>
    <n v="-2.31"/>
  </r>
  <r>
    <n v="621"/>
    <x v="20"/>
    <x v="620"/>
    <x v="4"/>
    <x v="1"/>
    <x v="3"/>
    <x v="64"/>
    <x v="1"/>
    <n v="5.2379999160766602"/>
    <n v="2163"/>
    <x v="620"/>
    <n v="78320453976"/>
    <n v="-2.79"/>
  </r>
  <r>
    <n v="622"/>
    <x v="20"/>
    <x v="621"/>
    <x v="5"/>
    <x v="0"/>
    <x v="3"/>
    <x v="66"/>
    <x v="1"/>
    <n v="5.2379999160766602"/>
    <n v="2157.30004882812"/>
    <x v="621"/>
    <n v="46842198371"/>
    <n v="-5.89"/>
  </r>
  <r>
    <n v="623"/>
    <x v="20"/>
    <x v="622"/>
    <x v="6"/>
    <x v="0"/>
    <x v="3"/>
    <x v="60"/>
    <x v="1"/>
    <n v="5.2379999160766602"/>
    <n v="2163"/>
    <x v="622"/>
    <n v="44716864318"/>
    <n v="4.71"/>
  </r>
  <r>
    <n v="624"/>
    <x v="20"/>
    <x v="623"/>
    <x v="0"/>
    <x v="1"/>
    <x v="3"/>
    <x v="69"/>
    <x v="1"/>
    <n v="5.2379999160766602"/>
    <n v="2157.30004882812"/>
    <x v="623"/>
    <n v="49261579492"/>
    <n v="-1.23"/>
  </r>
  <r>
    <n v="625"/>
    <x v="20"/>
    <x v="624"/>
    <x v="1"/>
    <x v="1"/>
    <x v="3"/>
    <x v="60"/>
    <x v="1"/>
    <n v="5.2379999160766602"/>
    <n v="2160.69995117187"/>
    <x v="624"/>
    <n v="74215844794"/>
    <n v="-8.34"/>
  </r>
  <r>
    <n v="626"/>
    <x v="20"/>
    <x v="625"/>
    <x v="2"/>
    <x v="1"/>
    <x v="2"/>
    <x v="55"/>
    <x v="1"/>
    <n v="5.2280001640319798"/>
    <n v="2156.30004882812"/>
    <x v="625"/>
    <n v="66792634382"/>
    <n v="9.69"/>
  </r>
  <r>
    <n v="627"/>
    <x v="20"/>
    <x v="626"/>
    <x v="3"/>
    <x v="1"/>
    <x v="3"/>
    <x v="61"/>
    <x v="1"/>
    <n v="5.2280001640319798"/>
    <n v="2157.89990234375"/>
    <x v="626"/>
    <n v="44480350565"/>
    <n v="-3.57"/>
  </r>
  <r>
    <n v="628"/>
    <x v="20"/>
    <x v="627"/>
    <x v="4"/>
    <x v="1"/>
    <x v="3"/>
    <x v="57"/>
    <x v="1"/>
    <n v="5.2199997901916504"/>
    <n v="2182.39990234375"/>
    <x v="627"/>
    <n v="41401116964"/>
    <n v="-2.62"/>
  </r>
  <r>
    <n v="629"/>
    <x v="20"/>
    <x v="628"/>
    <x v="5"/>
    <x v="0"/>
    <x v="2"/>
    <x v="56"/>
    <x v="1"/>
    <n v="5.2199997901916504"/>
    <n v="2158.10009765625"/>
    <x v="628"/>
    <n v="24738964812"/>
    <n v="0.44"/>
  </r>
  <r>
    <n v="630"/>
    <x v="20"/>
    <x v="629"/>
    <x v="6"/>
    <x v="0"/>
    <x v="2"/>
    <x v="55"/>
    <x v="1"/>
    <n v="5.2199997901916504"/>
    <n v="2182.39990234375"/>
    <x v="629"/>
    <n v="27206630673"/>
    <n v="4.95"/>
  </r>
  <r>
    <n v="631"/>
    <x v="20"/>
    <x v="630"/>
    <x v="0"/>
    <x v="1"/>
    <x v="3"/>
    <x v="57"/>
    <x v="1"/>
    <n v="5.2179999351501403"/>
    <n v="2158.10009765625"/>
    <x v="630"/>
    <n v="42700139523"/>
    <n v="4.05"/>
  </r>
  <r>
    <n v="632"/>
    <x v="20"/>
    <x v="631"/>
    <x v="1"/>
    <x v="1"/>
    <x v="3"/>
    <x v="66"/>
    <x v="1"/>
    <n v="5.2179999351501403"/>
    <n v="2174.80004882812"/>
    <x v="631"/>
    <n v="36010437368"/>
    <n v="0.04"/>
  </r>
  <r>
    <n v="633"/>
    <x v="20"/>
    <x v="632"/>
    <x v="2"/>
    <x v="1"/>
    <x v="3"/>
    <x v="64"/>
    <x v="1"/>
    <n v="5.2150001525878897"/>
    <n v="2175.60009765625"/>
    <x v="632"/>
    <n v="40827113309"/>
    <n v="-0.76"/>
  </r>
  <r>
    <n v="634"/>
    <x v="20"/>
    <x v="633"/>
    <x v="3"/>
    <x v="1"/>
    <x v="3"/>
    <x v="63"/>
    <x v="1"/>
    <n v="5.2030000686645499"/>
    <n v="2190.60009765625"/>
    <x v="633"/>
    <n v="34374900617"/>
    <n v="1.86"/>
  </r>
  <r>
    <n v="635"/>
    <x v="20"/>
    <x v="634"/>
    <x v="4"/>
    <x v="1"/>
    <x v="3"/>
    <x v="60"/>
    <x v="1"/>
    <n v="5.2030000686645499"/>
    <n v="2217.39990234375"/>
    <x v="634"/>
    <n v="25230851763"/>
    <n v="-1.2"/>
  </r>
  <r>
    <n v="636"/>
    <x v="20"/>
    <x v="635"/>
    <x v="5"/>
    <x v="0"/>
    <x v="3"/>
    <x v="57"/>
    <x v="1"/>
    <n v="5.2030000686645499"/>
    <n v="2190.60009765625"/>
    <x v="635"/>
    <n v="17130241883"/>
    <n v="-0.35"/>
  </r>
  <r>
    <n v="637"/>
    <x v="20"/>
    <x v="636"/>
    <x v="6"/>
    <x v="0"/>
    <x v="3"/>
    <x v="57"/>
    <x v="1"/>
    <n v="5.2030000686645499"/>
    <n v="2217.39990234375"/>
    <x v="636"/>
    <n v="20050941373"/>
    <n v="2.42"/>
  </r>
  <r>
    <n v="638"/>
    <x v="21"/>
    <x v="637"/>
    <x v="0"/>
    <x v="1"/>
    <x v="3"/>
    <x v="60"/>
    <x v="1"/>
    <n v="5.2179999351501403"/>
    <n v="2190.60009765625"/>
    <x v="637"/>
    <n v="34873527352"/>
    <n v="-2.29"/>
  </r>
  <r>
    <n v="639"/>
    <x v="21"/>
    <x v="638"/>
    <x v="1"/>
    <x v="1"/>
    <x v="3"/>
    <x v="60"/>
    <x v="1"/>
    <n v="5.2129998207092196"/>
    <n v="2236.5"/>
    <x v="638"/>
    <n v="50705240709"/>
    <n v="-6.1"/>
  </r>
  <r>
    <n v="640"/>
    <x v="21"/>
    <x v="639"/>
    <x v="2"/>
    <x v="1"/>
    <x v="2"/>
    <x v="53"/>
    <x v="1"/>
    <n v="5.21000003814697"/>
    <n v="2261"/>
    <x v="639"/>
    <n v="34488018367"/>
    <n v="0.82"/>
  </r>
  <r>
    <n v="641"/>
    <x v="21"/>
    <x v="640"/>
    <x v="3"/>
    <x v="1"/>
    <x v="2"/>
    <x v="54"/>
    <x v="1"/>
    <n v="5.2030000686645499"/>
    <n v="2294.39990234375"/>
    <x v="640"/>
    <n v="34439527442"/>
    <n v="3.83"/>
  </r>
  <r>
    <n v="642"/>
    <x v="21"/>
    <x v="641"/>
    <x v="4"/>
    <x v="1"/>
    <x v="3"/>
    <x v="60"/>
    <x v="1"/>
    <n v="5.2150001525878897"/>
    <n v="2288.80004882812"/>
    <x v="641"/>
    <n v="33748230056"/>
    <n v="-0.98"/>
  </r>
  <r>
    <n v="643"/>
    <x v="21"/>
    <x v="642"/>
    <x v="5"/>
    <x v="0"/>
    <x v="3"/>
    <x v="57"/>
    <x v="1"/>
    <n v="5.2150001525878897"/>
    <n v="2325.69995117187"/>
    <x v="642"/>
    <n v="19967785809"/>
    <n v="1.56"/>
  </r>
  <r>
    <n v="644"/>
    <x v="21"/>
    <x v="643"/>
    <x v="6"/>
    <x v="0"/>
    <x v="3"/>
    <x v="61"/>
    <x v="1"/>
    <n v="5.2150001525878897"/>
    <n v="2288.80004882812"/>
    <x v="643"/>
    <n v="21204930369"/>
    <n v="0.68"/>
  </r>
  <r>
    <n v="645"/>
    <x v="21"/>
    <x v="644"/>
    <x v="0"/>
    <x v="1"/>
    <x v="3"/>
    <x v="59"/>
    <x v="1"/>
    <n v="5.22300004959106"/>
    <n v="2325.69995117187"/>
    <x v="644"/>
    <n v="37261432669"/>
    <n v="3.27"/>
  </r>
  <r>
    <n v="646"/>
    <x v="21"/>
    <x v="645"/>
    <x v="1"/>
    <x v="1"/>
    <x v="3"/>
    <x v="63"/>
    <x v="1"/>
    <n v="5.2199997901916504"/>
    <n v="2331.69995117187"/>
    <x v="645"/>
    <n v="36426900409"/>
    <n v="-3.48"/>
  </r>
  <r>
    <n v="647"/>
    <x v="21"/>
    <x v="646"/>
    <x v="2"/>
    <x v="1"/>
    <x v="3"/>
    <x v="61"/>
    <x v="1"/>
    <n v="5.2430000305175701"/>
    <n v="2343.5"/>
    <x v="646"/>
    <n v="38318601774"/>
    <n v="2.1"/>
  </r>
  <r>
    <n v="648"/>
    <x v="21"/>
    <x v="647"/>
    <x v="3"/>
    <x v="1"/>
    <x v="3"/>
    <x v="59"/>
    <x v="1"/>
    <n v="5.2379999160766602"/>
    <n v="2329.60009765625"/>
    <x v="647"/>
    <n v="30153382941"/>
    <n v="-0.75"/>
  </r>
  <r>
    <n v="649"/>
    <x v="21"/>
    <x v="648"/>
    <x v="4"/>
    <x v="1"/>
    <x v="3"/>
    <x v="60"/>
    <x v="1"/>
    <n v="5.2300000190734801"/>
    <n v="2354.80004882812"/>
    <x v="648"/>
    <n v="44129299406"/>
    <n v="-4.09"/>
  </r>
  <r>
    <n v="650"/>
    <x v="21"/>
    <x v="649"/>
    <x v="5"/>
    <x v="0"/>
    <x v="2"/>
    <x v="52"/>
    <x v="1"/>
    <n v="5.2300000190734801"/>
    <n v="2356.19995117187"/>
    <x v="649"/>
    <n v="52869738185"/>
    <n v="-5.0199999999999996"/>
  </r>
  <r>
    <n v="651"/>
    <x v="21"/>
    <x v="650"/>
    <x v="6"/>
    <x v="0"/>
    <x v="2"/>
    <x v="52"/>
    <x v="1"/>
    <n v="5.2300000190734801"/>
    <n v="2354.80004882812"/>
    <x v="650"/>
    <n v="49084320047"/>
    <n v="3"/>
  </r>
  <r>
    <n v="652"/>
    <x v="21"/>
    <x v="651"/>
    <x v="0"/>
    <x v="1"/>
    <x v="2"/>
    <x v="55"/>
    <x v="1"/>
    <n v="5.2379999160766602"/>
    <n v="2356.19995117187"/>
    <x v="651"/>
    <n v="43595917654"/>
    <n v="-3.52"/>
  </r>
  <r>
    <n v="653"/>
    <x v="21"/>
    <x v="652"/>
    <x v="1"/>
    <x v="1"/>
    <x v="2"/>
    <x v="48"/>
    <x v="1"/>
    <n v="5.2329998016357404"/>
    <n v="2365.80004882812"/>
    <x v="652"/>
    <n v="42847528078"/>
    <n v="0.61"/>
  </r>
  <r>
    <n v="654"/>
    <x v="21"/>
    <x v="653"/>
    <x v="2"/>
    <x v="1"/>
    <x v="2"/>
    <x v="58"/>
    <x v="1"/>
    <n v="5.2399997711181596"/>
    <n v="2390.80004882812"/>
    <x v="653"/>
    <n v="41915247049"/>
    <n v="-3.97"/>
  </r>
  <r>
    <n v="655"/>
    <x v="21"/>
    <x v="654"/>
    <x v="3"/>
    <x v="1"/>
    <x v="2"/>
    <x v="47"/>
    <x v="1"/>
    <n v="5.2430000305175701"/>
    <n v="2371.69995117187"/>
    <x v="654"/>
    <n v="36006307335"/>
    <n v="3.65"/>
  </r>
  <r>
    <n v="656"/>
    <x v="21"/>
    <x v="655"/>
    <x v="4"/>
    <x v="1"/>
    <x v="2"/>
    <x v="45"/>
    <x v="1"/>
    <n v="5.2449998855590803"/>
    <n v="2382.30004882812"/>
    <x v="655"/>
    <n v="49920425401"/>
    <n v="0.52"/>
  </r>
  <r>
    <n v="657"/>
    <x v="21"/>
    <x v="656"/>
    <x v="5"/>
    <x v="0"/>
    <x v="2"/>
    <x v="45"/>
    <x v="1"/>
    <n v="5.2449998855590803"/>
    <n v="2398.39990234375"/>
    <x v="656"/>
    <n v="23097485495"/>
    <n v="1.8"/>
  </r>
  <r>
    <n v="658"/>
    <x v="21"/>
    <x v="657"/>
    <x v="6"/>
    <x v="0"/>
    <x v="2"/>
    <x v="52"/>
    <x v="1"/>
    <n v="5.2449998855590803"/>
    <n v="2382.30004882812"/>
    <x v="657"/>
    <n v="20506644853"/>
    <n v="-0.1"/>
  </r>
  <r>
    <n v="659"/>
    <x v="21"/>
    <x v="658"/>
    <x v="0"/>
    <x v="1"/>
    <x v="2"/>
    <x v="56"/>
    <x v="1"/>
    <n v="5.2449998855590803"/>
    <n v="2398.39990234375"/>
    <x v="658"/>
    <n v="28282686673"/>
    <n v="2.94"/>
  </r>
  <r>
    <n v="660"/>
    <x v="21"/>
    <x v="659"/>
    <x v="1"/>
    <x v="1"/>
    <x v="2"/>
    <x v="53"/>
    <x v="1"/>
    <n v="5.2449998855590803"/>
    <n v="2332.19995117187"/>
    <x v="659"/>
    <n v="24310975583"/>
    <n v="-0.64"/>
  </r>
  <r>
    <n v="661"/>
    <x v="21"/>
    <x v="660"/>
    <x v="2"/>
    <x v="1"/>
    <x v="2"/>
    <x v="52"/>
    <x v="1"/>
    <n v="5.25500011444091"/>
    <n v="2327.69995117187"/>
    <x v="660"/>
    <n v="30276655120"/>
    <n v="-3.21"/>
  </r>
  <r>
    <n v="662"/>
    <x v="21"/>
    <x v="661"/>
    <x v="3"/>
    <x v="1"/>
    <x v="2"/>
    <x v="52"/>
    <x v="1"/>
    <n v="5.2449998855590803"/>
    <n v="2324.5"/>
    <x v="661"/>
    <n v="32155786816"/>
    <n v="0.32"/>
  </r>
  <r>
    <n v="663"/>
    <x v="21"/>
    <x v="662"/>
    <x v="4"/>
    <x v="1"/>
    <x v="2"/>
    <x v="54"/>
    <x v="1"/>
    <n v="5.2379999160766602"/>
    <n v="2329.80004882812"/>
    <x v="662"/>
    <n v="24139372950"/>
    <n v="-1.1299999999999999"/>
  </r>
  <r>
    <n v="664"/>
    <x v="21"/>
    <x v="663"/>
    <x v="5"/>
    <x v="0"/>
    <x v="2"/>
    <x v="58"/>
    <x v="1"/>
    <n v="5.2379999160766602"/>
    <n v="2334.80004882812"/>
    <x v="663"/>
    <n v="19530783039"/>
    <n v="-0.53"/>
  </r>
  <r>
    <n v="665"/>
    <x v="21"/>
    <x v="664"/>
    <x v="6"/>
    <x v="0"/>
    <x v="2"/>
    <x v="48"/>
    <x v="1"/>
    <n v="5.2379999160766602"/>
    <n v="2329.80004882812"/>
    <x v="664"/>
    <n v="17334827993"/>
    <n v="-0.48"/>
  </r>
  <r>
    <n v="666"/>
    <x v="21"/>
    <x v="665"/>
    <x v="0"/>
    <x v="1"/>
    <x v="2"/>
    <x v="58"/>
    <x v="1"/>
    <n v="5.2430000305175701"/>
    <n v="2334.80004882812"/>
    <x v="665"/>
    <n v="26635912073"/>
    <n v="1.1499999999999999"/>
  </r>
  <r>
    <n v="667"/>
    <x v="21"/>
    <x v="666"/>
    <x v="1"/>
    <x v="1"/>
    <x v="2"/>
    <x v="58"/>
    <x v="1"/>
    <n v="5.2449998855590803"/>
    <n v="2345.39990234375"/>
    <x v="666"/>
    <n v="37840840057"/>
    <n v="-5.0199999999999996"/>
  </r>
  <r>
    <n v="668"/>
    <x v="22"/>
    <x v="667"/>
    <x v="2"/>
    <x v="1"/>
    <x v="2"/>
    <x v="33"/>
    <x v="1"/>
    <n v="5.25"/>
    <n v="2291.39990234375"/>
    <x v="667"/>
    <n v="48439780271"/>
    <n v="-3.93"/>
  </r>
  <r>
    <n v="669"/>
    <x v="22"/>
    <x v="668"/>
    <x v="3"/>
    <x v="1"/>
    <x v="1"/>
    <x v="51"/>
    <x v="1"/>
    <n v="5.2379999160766602"/>
    <n v="2299.89990234375"/>
    <x v="668"/>
    <n v="32711813559"/>
    <n v="1.49"/>
  </r>
  <r>
    <n v="670"/>
    <x v="22"/>
    <x v="669"/>
    <x v="4"/>
    <x v="1"/>
    <x v="1"/>
    <x v="39"/>
    <x v="1"/>
    <n v="5.2350001335143999"/>
    <n v="2299.19995117187"/>
    <x v="669"/>
    <n v="33172023048"/>
    <n v="6.37"/>
  </r>
  <r>
    <n v="671"/>
    <x v="22"/>
    <x v="670"/>
    <x v="5"/>
    <x v="0"/>
    <x v="2"/>
    <x v="58"/>
    <x v="1"/>
    <n v="5.2350001335143999"/>
    <n v="2299"/>
    <x v="670"/>
    <n v="20620477992"/>
    <n v="1.59"/>
  </r>
  <r>
    <n v="672"/>
    <x v="22"/>
    <x v="671"/>
    <x v="6"/>
    <x v="0"/>
    <x v="2"/>
    <x v="49"/>
    <x v="1"/>
    <n v="5.2350001335143999"/>
    <n v="2299.19995117187"/>
    <x v="671"/>
    <n v="18296164805"/>
    <n v="0.22"/>
  </r>
  <r>
    <n v="673"/>
    <x v="22"/>
    <x v="672"/>
    <x v="0"/>
    <x v="1"/>
    <x v="2"/>
    <x v="53"/>
    <x v="1"/>
    <n v="5.2399997711181596"/>
    <n v="2299"/>
    <x v="672"/>
    <n v="28697928697"/>
    <n v="-1.36"/>
  </r>
  <r>
    <n v="674"/>
    <x v="22"/>
    <x v="673"/>
    <x v="1"/>
    <x v="1"/>
    <x v="2"/>
    <x v="46"/>
    <x v="1"/>
    <n v="5.2430000305175701"/>
    <n v="2321.60009765625"/>
    <x v="673"/>
    <n v="25930730982"/>
    <n v="-1.31"/>
  </r>
  <r>
    <n v="675"/>
    <x v="22"/>
    <x v="674"/>
    <x v="2"/>
    <x v="1"/>
    <x v="2"/>
    <x v="43"/>
    <x v="1"/>
    <n v="5.2449998855590803"/>
    <n v="2315.19995117187"/>
    <x v="674"/>
    <n v="26088172222"/>
    <n v="-1.84"/>
  </r>
  <r>
    <n v="676"/>
    <x v="22"/>
    <x v="675"/>
    <x v="3"/>
    <x v="1"/>
    <x v="2"/>
    <x v="34"/>
    <x v="1"/>
    <n v="5.2399997711181596"/>
    <n v="2313.60009765625"/>
    <x v="675"/>
    <n v="25453338161"/>
    <n v="3.04"/>
  </r>
  <r>
    <n v="677"/>
    <x v="22"/>
    <x v="676"/>
    <x v="4"/>
    <x v="1"/>
    <x v="2"/>
    <x v="45"/>
    <x v="1"/>
    <n v="5.2430000305175701"/>
    <n v="2332.10009765625"/>
    <x v="676"/>
    <n v="27804954694"/>
    <n v="-3.58"/>
  </r>
  <r>
    <n v="678"/>
    <x v="22"/>
    <x v="677"/>
    <x v="5"/>
    <x v="0"/>
    <x v="2"/>
    <x v="31"/>
    <x v="1"/>
    <n v="5.2430000305175701"/>
    <n v="2367.30004882812"/>
    <x v="677"/>
    <n v="13842272968"/>
    <n v="0"/>
  </r>
  <r>
    <n v="679"/>
    <x v="22"/>
    <x v="678"/>
    <x v="6"/>
    <x v="0"/>
    <x v="2"/>
    <x v="36"/>
    <x v="14"/>
    <n v="5.2430000305175701"/>
    <n v="2332.10009765625"/>
    <x v="678"/>
    <n v="13800459405"/>
    <n v="1.08"/>
  </r>
  <r>
    <n v="680"/>
    <x v="22"/>
    <x v="679"/>
    <x v="0"/>
    <x v="1"/>
    <x v="2"/>
    <x v="47"/>
    <x v="1"/>
    <n v="5.2399997711181596"/>
    <n v="2367.30004882812"/>
    <x v="679"/>
    <n v="27889181179"/>
    <n v="2.36"/>
  </r>
  <r>
    <n v="681"/>
    <x v="22"/>
    <x v="680"/>
    <x v="1"/>
    <x v="1"/>
    <x v="2"/>
    <x v="45"/>
    <x v="1"/>
    <n v="5.2350001335143999"/>
    <n v="2336.10009765625"/>
    <x v="680"/>
    <n v="28186271527"/>
    <n v="-2.14"/>
  </r>
  <r>
    <n v="682"/>
    <x v="22"/>
    <x v="681"/>
    <x v="2"/>
    <x v="1"/>
    <x v="2"/>
    <x v="43"/>
    <x v="1"/>
    <n v="5.2399997711181596"/>
    <n v="2353.39990234375"/>
    <x v="681"/>
    <n v="39815167074"/>
    <n v="7.66"/>
  </r>
  <r>
    <n v="683"/>
    <x v="22"/>
    <x v="682"/>
    <x v="3"/>
    <x v="1"/>
    <x v="2"/>
    <x v="54"/>
    <x v="1"/>
    <n v="5.2430000305175701"/>
    <n v="2388.69995117187"/>
    <x v="682"/>
    <n v="31573077994"/>
    <n v="-1.56"/>
  </r>
  <r>
    <n v="684"/>
    <x v="22"/>
    <x v="683"/>
    <x v="4"/>
    <x v="1"/>
    <x v="2"/>
    <x v="55"/>
    <x v="1"/>
    <n v="5.2399997711181596"/>
    <n v="2380"/>
    <x v="683"/>
    <n v="28031279310"/>
    <n v="2.79"/>
  </r>
  <r>
    <n v="685"/>
    <x v="22"/>
    <x v="684"/>
    <x v="5"/>
    <x v="0"/>
    <x v="2"/>
    <x v="56"/>
    <x v="1"/>
    <n v="5.2399997711181596"/>
    <n v="2412.19995117187"/>
    <x v="684"/>
    <n v="16712277406"/>
    <n v="-0.17"/>
  </r>
  <r>
    <n v="686"/>
    <x v="22"/>
    <x v="685"/>
    <x v="6"/>
    <x v="0"/>
    <x v="2"/>
    <x v="52"/>
    <x v="1"/>
    <n v="5.2399997711181596"/>
    <n v="2380"/>
    <x v="685"/>
    <n v="19249094538"/>
    <n v="-0.99"/>
  </r>
  <r>
    <n v="687"/>
    <x v="22"/>
    <x v="686"/>
    <x v="0"/>
    <x v="1"/>
    <x v="2"/>
    <x v="54"/>
    <x v="1"/>
    <n v="5.2399997711181596"/>
    <n v="2412.19995117187"/>
    <x v="686"/>
    <n v="43850655717"/>
    <n v="7.8"/>
  </r>
  <r>
    <n v="688"/>
    <x v="22"/>
    <x v="687"/>
    <x v="1"/>
    <x v="1"/>
    <x v="3"/>
    <x v="59"/>
    <x v="1"/>
    <n v="5.2399997711181596"/>
    <n v="2433.89990234375"/>
    <x v="687"/>
    <n v="46932005990"/>
    <n v="-1.84"/>
  </r>
  <r>
    <n v="689"/>
    <x v="22"/>
    <x v="688"/>
    <x v="2"/>
    <x v="1"/>
    <x v="3"/>
    <x v="59"/>
    <x v="1"/>
    <n v="5.2449998855590803"/>
    <n v="2421.69995117187"/>
    <x v="688"/>
    <n v="32802561717"/>
    <n v="-1.45"/>
  </r>
  <r>
    <n v="690"/>
    <x v="22"/>
    <x v="689"/>
    <x v="3"/>
    <x v="1"/>
    <x v="3"/>
    <x v="59"/>
    <x v="1"/>
    <n v="5.2449998855590803"/>
    <n v="2389.19995117187"/>
    <x v="689"/>
    <n v="41895680979"/>
    <n v="-1.73"/>
  </r>
  <r>
    <n v="691"/>
    <x v="22"/>
    <x v="690"/>
    <x v="4"/>
    <x v="1"/>
    <x v="2"/>
    <x v="55"/>
    <x v="1"/>
    <n v="5.2449998855590803"/>
    <n v="2335"/>
    <x v="690"/>
    <n v="29197308153"/>
    <n v="0.88"/>
  </r>
  <r>
    <n v="692"/>
    <x v="22"/>
    <x v="691"/>
    <x v="5"/>
    <x v="0"/>
    <x v="3"/>
    <x v="59"/>
    <x v="1"/>
    <n v="5.2449998855590803"/>
    <n v="2332.5"/>
    <x v="691"/>
    <n v="15473071741"/>
    <n v="1.08"/>
  </r>
  <r>
    <n v="693"/>
    <x v="22"/>
    <x v="692"/>
    <x v="6"/>
    <x v="0"/>
    <x v="3"/>
    <x v="57"/>
    <x v="1"/>
    <n v="5.2449998855590803"/>
    <n v="2335"/>
    <x v="692"/>
    <n v="15628433737"/>
    <n v="-1.08"/>
  </r>
  <r>
    <n v="694"/>
    <x v="22"/>
    <x v="693"/>
    <x v="0"/>
    <x v="1"/>
    <x v="2"/>
    <x v="55"/>
    <x v="1"/>
    <n v="5.2449998855590803"/>
    <n v="2332.5"/>
    <x v="693"/>
    <n v="25870990717"/>
    <n v="1.28"/>
  </r>
  <r>
    <n v="695"/>
    <x v="22"/>
    <x v="694"/>
    <x v="1"/>
    <x v="1"/>
    <x v="2"/>
    <x v="52"/>
    <x v="1"/>
    <n v="5.2480001449584899"/>
    <n v="2335"/>
    <x v="694"/>
    <n v="32722265965"/>
    <n v="-1.58"/>
  </r>
  <r>
    <n v="696"/>
    <x v="22"/>
    <x v="695"/>
    <x v="2"/>
    <x v="1"/>
    <x v="2"/>
    <x v="52"/>
    <x v="1"/>
    <n v="5.25"/>
    <n v="2355.19995117187"/>
    <x v="695"/>
    <n v="26707072906"/>
    <n v="-1.05"/>
  </r>
  <r>
    <n v="697"/>
    <x v="22"/>
    <x v="696"/>
    <x v="3"/>
    <x v="1"/>
    <x v="2"/>
    <x v="56"/>
    <x v="1"/>
    <n v="5.2480001449584899"/>
    <n v="2340.30004882812"/>
    <x v="696"/>
    <n v="29509712534"/>
    <n v="1.1599999999999999"/>
  </r>
  <r>
    <n v="698"/>
    <x v="22"/>
    <x v="697"/>
    <x v="4"/>
    <x v="1"/>
    <x v="2"/>
    <x v="56"/>
    <x v="1"/>
    <n v="5.2449998855590803"/>
    <n v="2342.89990234375"/>
    <x v="697"/>
    <n v="27387283769"/>
    <n v="-1.28"/>
  </r>
  <r>
    <n v="699"/>
    <x v="23"/>
    <x v="698"/>
    <x v="5"/>
    <x v="0"/>
    <x v="2"/>
    <x v="52"/>
    <x v="1"/>
    <n v="5.2449998855590803"/>
    <n v="2322.89990234375"/>
    <x v="698"/>
    <n v="11641495604"/>
    <n v="0.32"/>
  </r>
  <r>
    <n v="700"/>
    <x v="23"/>
    <x v="699"/>
    <x v="6"/>
    <x v="0"/>
    <x v="2"/>
    <x v="56"/>
    <x v="1"/>
    <n v="5.2449998855590803"/>
    <n v="2342.89990234375"/>
    <x v="699"/>
    <n v="17110588415"/>
    <n v="7.0000000000000007E-2"/>
  </r>
  <r>
    <n v="701"/>
    <x v="23"/>
    <x v="700"/>
    <x v="0"/>
    <x v="1"/>
    <x v="2"/>
    <x v="56"/>
    <x v="1"/>
    <n v="5.2430000305175701"/>
    <n v="2322.89990234375"/>
    <x v="700"/>
    <n v="32401285324"/>
    <n v="1.55"/>
  </r>
  <r>
    <n v="702"/>
    <x v="23"/>
    <x v="701"/>
    <x v="1"/>
    <x v="1"/>
    <x v="2"/>
    <x v="56"/>
    <x v="1"/>
    <n v="5.2399997711181596"/>
    <n v="2346.60009765625"/>
    <x v="701"/>
    <n v="33149696545"/>
    <n v="2.56"/>
  </r>
  <r>
    <n v="703"/>
    <x v="23"/>
    <x v="702"/>
    <x v="2"/>
    <x v="1"/>
    <x v="3"/>
    <x v="57"/>
    <x v="1"/>
    <n v="5.2399997711181596"/>
    <n v="2325.5"/>
    <x v="702"/>
    <n v="32810771409"/>
    <n v="0.73"/>
  </r>
  <r>
    <n v="704"/>
    <x v="23"/>
    <x v="703"/>
    <x v="3"/>
    <x v="1"/>
    <x v="3"/>
    <x v="61"/>
    <x v="1"/>
    <n v="5.2329998016357404"/>
    <n v="2354.10009765625"/>
    <x v="703"/>
    <n v="25223152007"/>
    <n v="-0.46"/>
  </r>
  <r>
    <n v="705"/>
    <x v="23"/>
    <x v="704"/>
    <x v="4"/>
    <x v="1"/>
    <x v="3"/>
    <x v="69"/>
    <x v="1"/>
    <n v="5.2379999160766602"/>
    <n v="2370.30004882812"/>
    <x v="704"/>
    <n v="36188381096"/>
    <n v="-2"/>
  </r>
  <r>
    <n v="706"/>
    <x v="23"/>
    <x v="705"/>
    <x v="5"/>
    <x v="0"/>
    <x v="2"/>
    <x v="52"/>
    <x v="1"/>
    <n v="5.2379999160766602"/>
    <n v="2305.19995117187"/>
    <x v="705"/>
    <n v="14262185861"/>
    <n v="-0.05"/>
  </r>
  <r>
    <n v="707"/>
    <x v="23"/>
    <x v="706"/>
    <x v="6"/>
    <x v="0"/>
    <x v="3"/>
    <x v="57"/>
    <x v="1"/>
    <n v="5.2379999160766602"/>
    <n v="2370.30004882812"/>
    <x v="706"/>
    <n v="13534028500"/>
    <n v="0.49"/>
  </r>
  <r>
    <n v="708"/>
    <x v="23"/>
    <x v="707"/>
    <x v="0"/>
    <x v="1"/>
    <x v="2"/>
    <x v="52"/>
    <x v="1"/>
    <n v="5.2329998016357404"/>
    <n v="2305.19995117187"/>
    <x v="707"/>
    <n v="20597699541"/>
    <n v="-0.19"/>
  </r>
  <r>
    <n v="709"/>
    <x v="23"/>
    <x v="708"/>
    <x v="1"/>
    <x v="1"/>
    <x v="2"/>
    <x v="55"/>
    <x v="1"/>
    <n v="5.2449998855590803"/>
    <n v="2307.69995117187"/>
    <x v="708"/>
    <n v="37116136345"/>
    <n v="-3.14"/>
  </r>
  <r>
    <n v="710"/>
    <x v="23"/>
    <x v="709"/>
    <x v="2"/>
    <x v="1"/>
    <x v="2"/>
    <x v="52"/>
    <x v="1"/>
    <n v="5.2430000305175701"/>
    <n v="2307.5"/>
    <x v="709"/>
    <n v="34497940694"/>
    <n v="1.35"/>
  </r>
  <r>
    <n v="711"/>
    <x v="23"/>
    <x v="710"/>
    <x v="3"/>
    <x v="1"/>
    <x v="2"/>
    <x v="54"/>
    <x v="1"/>
    <n v="5.2399997711181596"/>
    <n v="2336"/>
    <x v="710"/>
    <n v="28955204146"/>
    <n v="-2.1800000000000002"/>
  </r>
  <r>
    <n v="712"/>
    <x v="23"/>
    <x v="711"/>
    <x v="4"/>
    <x v="1"/>
    <x v="2"/>
    <x v="55"/>
    <x v="1"/>
    <n v="5.2399997711181596"/>
    <n v="2300.19995117187"/>
    <x v="711"/>
    <n v="27403884779"/>
    <n v="-1.1200000000000001"/>
  </r>
  <r>
    <n v="713"/>
    <x v="23"/>
    <x v="712"/>
    <x v="5"/>
    <x v="0"/>
    <x v="2"/>
    <x v="55"/>
    <x v="15"/>
    <n v="5.2399997711181596"/>
    <n v="2331.39990234375"/>
    <x v="712"/>
    <n v="14121265576"/>
    <n v="0.27"/>
  </r>
  <r>
    <n v="714"/>
    <x v="23"/>
    <x v="713"/>
    <x v="6"/>
    <x v="0"/>
    <x v="2"/>
    <x v="53"/>
    <x v="1"/>
    <n v="5.2399997711181596"/>
    <n v="2300.19995117187"/>
    <x v="713"/>
    <n v="13281140541"/>
    <n v="0.68"/>
  </r>
  <r>
    <n v="715"/>
    <x v="23"/>
    <x v="714"/>
    <x v="0"/>
    <x v="1"/>
    <x v="2"/>
    <x v="53"/>
    <x v="1"/>
    <n v="5.2430000305175701"/>
    <n v="2331.39990234375"/>
    <x v="714"/>
    <n v="30006354476"/>
    <n v="-0.22"/>
  </r>
  <r>
    <n v="716"/>
    <x v="23"/>
    <x v="715"/>
    <x v="1"/>
    <x v="1"/>
    <x v="2"/>
    <x v="55"/>
    <x v="1"/>
    <n v="5.2350001335143999"/>
    <n v="2312.39990234375"/>
    <x v="715"/>
    <n v="39481285950"/>
    <n v="-2.0299999999999998"/>
  </r>
  <r>
    <n v="717"/>
    <x v="23"/>
    <x v="716"/>
    <x v="2"/>
    <x v="1"/>
    <x v="2"/>
    <x v="43"/>
    <x v="1"/>
    <n v="5.2350001335143999"/>
    <n v="2330.39990234375"/>
    <x v="716"/>
    <n v="21103423504"/>
    <n v="-0.28000000000000003"/>
  </r>
  <r>
    <n v="718"/>
    <x v="23"/>
    <x v="717"/>
    <x v="3"/>
    <x v="1"/>
    <x v="2"/>
    <x v="37"/>
    <x v="1"/>
    <n v="5.2249999046325604"/>
    <n v="2312.39990234375"/>
    <x v="717"/>
    <n v="25641109124"/>
    <n v="-0.2"/>
  </r>
  <r>
    <n v="719"/>
    <x v="23"/>
    <x v="718"/>
    <x v="4"/>
    <x v="1"/>
    <x v="2"/>
    <x v="44"/>
    <x v="1"/>
    <n v="5.2150001525878897"/>
    <n v="2353.80004882812"/>
    <x v="718"/>
    <n v="26188171739"/>
    <n v="-1.1299999999999999"/>
  </r>
  <r>
    <n v="720"/>
    <x v="23"/>
    <x v="719"/>
    <x v="5"/>
    <x v="0"/>
    <x v="2"/>
    <x v="31"/>
    <x v="1"/>
    <n v="5.2150001525878897"/>
    <n v="2316.39990234375"/>
    <x v="719"/>
    <n v="9858198793"/>
    <n v="0.24"/>
  </r>
  <r>
    <n v="721"/>
    <x v="23"/>
    <x v="720"/>
    <x v="6"/>
    <x v="0"/>
    <x v="2"/>
    <x v="34"/>
    <x v="1"/>
    <n v="5.2150001525878897"/>
    <n v="2353.80004882812"/>
    <x v="720"/>
    <n v="11170471802"/>
    <n v="-1.67"/>
  </r>
  <r>
    <n v="722"/>
    <x v="23"/>
    <x v="721"/>
    <x v="0"/>
    <x v="1"/>
    <x v="2"/>
    <x v="30"/>
    <x v="1"/>
    <n v="5.21000003814697"/>
    <n v="2316.39990234375"/>
    <x v="721"/>
    <n v="43152133651"/>
    <n v="-4.5999999999999996"/>
  </r>
  <r>
    <n v="723"/>
    <x v="23"/>
    <x v="722"/>
    <x v="1"/>
    <x v="1"/>
    <x v="1"/>
    <x v="9"/>
    <x v="1"/>
    <n v="5.22300004959106"/>
    <n v="2330"/>
    <x v="722"/>
    <n v="29201215431"/>
    <n v="2.5299999999999998"/>
  </r>
  <r>
    <n v="724"/>
    <x v="23"/>
    <x v="723"/>
    <x v="2"/>
    <x v="1"/>
    <x v="1"/>
    <x v="19"/>
    <x v="1"/>
    <n v="5.2300000190734801"/>
    <n v="2316.60009765625"/>
    <x v="723"/>
    <n v="22506003064"/>
    <n v="-1.61"/>
  </r>
  <r>
    <n v="725"/>
    <x v="23"/>
    <x v="724"/>
    <x v="3"/>
    <x v="1"/>
    <x v="1"/>
    <x v="28"/>
    <x v="1"/>
    <n v="5.22300004959106"/>
    <n v="2299.19995117187"/>
    <x v="724"/>
    <n v="21231745045"/>
    <n v="1.3"/>
  </r>
  <r>
    <n v="726"/>
    <x v="23"/>
    <x v="725"/>
    <x v="4"/>
    <x v="1"/>
    <x v="1"/>
    <x v="20"/>
    <x v="1"/>
    <n v="5.2129998207092196"/>
    <n v="2324.5"/>
    <x v="725"/>
    <n v="24952866877"/>
    <n v="-2.09"/>
  </r>
  <r>
    <n v="727"/>
    <x v="23"/>
    <x v="726"/>
    <x v="5"/>
    <x v="0"/>
    <x v="1"/>
    <x v="9"/>
    <x v="1"/>
    <n v="5.2129998207092196"/>
    <n v="2327.69995117187"/>
    <x v="726"/>
    <n v="12652903396"/>
    <n v="0.94"/>
  </r>
  <r>
    <n v="728"/>
    <x v="23"/>
    <x v="727"/>
    <x v="6"/>
    <x v="0"/>
    <x v="1"/>
    <x v="20"/>
    <x v="1"/>
    <n v="5.2129998207092196"/>
    <n v="2324.5"/>
    <x v="727"/>
    <n v="17333226409"/>
    <n v="2.94"/>
  </r>
  <r>
    <n v="729"/>
    <x v="24"/>
    <x v="728"/>
    <x v="0"/>
    <x v="1"/>
    <x v="2"/>
    <x v="31"/>
    <x v="1"/>
    <n v="5.2179999351501403"/>
    <n v="2327.69995117187"/>
    <x v="728"/>
    <n v="25468379421"/>
    <n v="0.28000000000000003"/>
  </r>
  <r>
    <n v="730"/>
    <x v="24"/>
    <x v="729"/>
    <x v="1"/>
    <x v="1"/>
    <x v="2"/>
    <x v="30"/>
    <x v="1"/>
    <n v="5.2280001640319798"/>
    <n v="2327.60009765625"/>
    <x v="729"/>
    <n v="20151616992"/>
    <n v="-1.31"/>
  </r>
  <r>
    <n v="731"/>
    <x v="24"/>
    <x v="730"/>
    <x v="2"/>
    <x v="1"/>
    <x v="2"/>
    <x v="32"/>
    <x v="1"/>
    <n v="5.2300000190734801"/>
    <n v="2323"/>
    <x v="730"/>
    <n v="29756701685"/>
    <n v="-2.99"/>
  </r>
  <r>
    <n v="732"/>
    <x v="24"/>
    <x v="731"/>
    <x v="3"/>
    <x v="1"/>
    <x v="1"/>
    <x v="22"/>
    <x v="1"/>
    <n v="5.2300000190734801"/>
    <n v="2359.80004882812"/>
    <x v="731"/>
    <n v="41149609230"/>
    <n v="-5.31"/>
  </r>
  <r>
    <n v="733"/>
    <x v="24"/>
    <x v="732"/>
    <x v="4"/>
    <x v="1"/>
    <x v="1"/>
    <x v="23"/>
    <x v="1"/>
    <n v="5.2249999046325604"/>
    <n v="2323"/>
    <x v="732"/>
    <n v="55417544033"/>
    <n v="-0.55000000000000004"/>
  </r>
  <r>
    <n v="734"/>
    <x v="24"/>
    <x v="733"/>
    <x v="5"/>
    <x v="0"/>
    <x v="1"/>
    <x v="13"/>
    <x v="1"/>
    <n v="5.2249999046325604"/>
    <n v="2388.5"/>
    <x v="733"/>
    <n v="20610320577"/>
    <n v="2.9"/>
  </r>
  <r>
    <n v="735"/>
    <x v="24"/>
    <x v="734"/>
    <x v="6"/>
    <x v="0"/>
    <x v="1"/>
    <x v="23"/>
    <x v="1"/>
    <n v="5.2249999046325604"/>
    <n v="2323"/>
    <x v="734"/>
    <n v="20553359505"/>
    <n v="-4.21"/>
  </r>
  <r>
    <n v="736"/>
    <x v="24"/>
    <x v="735"/>
    <x v="0"/>
    <x v="1"/>
    <x v="1"/>
    <x v="14"/>
    <x v="1"/>
    <n v="5.2179999351501403"/>
    <n v="2388.5"/>
    <x v="735"/>
    <n v="39766159899"/>
    <n v="1.53"/>
  </r>
  <r>
    <n v="737"/>
    <x v="24"/>
    <x v="736"/>
    <x v="1"/>
    <x v="1"/>
    <x v="1"/>
    <x v="24"/>
    <x v="1"/>
    <n v="5.2249999046325604"/>
    <n v="2355.19995117187"/>
    <x v="736"/>
    <n v="27849512607"/>
    <n v="2.2999999999999998"/>
  </r>
  <r>
    <n v="738"/>
    <x v="24"/>
    <x v="737"/>
    <x v="2"/>
    <x v="1"/>
    <x v="1"/>
    <x v="14"/>
    <x v="1"/>
    <n v="5.2249999046325604"/>
    <n v="2360.10009765625"/>
    <x v="737"/>
    <n v="26175260526"/>
    <n v="-0.46"/>
  </r>
  <r>
    <n v="739"/>
    <x v="24"/>
    <x v="738"/>
    <x v="3"/>
    <x v="1"/>
    <x v="1"/>
    <x v="23"/>
    <x v="1"/>
    <n v="5.1979999542236301"/>
    <n v="2372.19995117187"/>
    <x v="738"/>
    <n v="28707803842"/>
    <n v="-0.69"/>
  </r>
  <r>
    <n v="740"/>
    <x v="24"/>
    <x v="739"/>
    <x v="4"/>
    <x v="1"/>
    <x v="1"/>
    <x v="25"/>
    <x v="1"/>
    <n v="5.1979999542236301"/>
    <n v="2415"/>
    <x v="739"/>
    <n v="25604805221"/>
    <n v="0.97"/>
  </r>
  <r>
    <n v="741"/>
    <x v="24"/>
    <x v="740"/>
    <x v="5"/>
    <x v="0"/>
    <x v="1"/>
    <x v="25"/>
    <x v="1"/>
    <n v="5.1979999542236301"/>
    <n v="2414"/>
    <x v="740"/>
    <n v="17080061806"/>
    <n v="2.2999999999999998"/>
  </r>
  <r>
    <n v="742"/>
    <x v="24"/>
    <x v="741"/>
    <x v="6"/>
    <x v="0"/>
    <x v="1"/>
    <x v="12"/>
    <x v="1"/>
    <n v="5.1979999542236301"/>
    <n v="2415"/>
    <x v="741"/>
    <n v="22223416061"/>
    <n v="2.63"/>
  </r>
  <r>
    <n v="743"/>
    <x v="24"/>
    <x v="742"/>
    <x v="0"/>
    <x v="1"/>
    <x v="2"/>
    <x v="29"/>
    <x v="1"/>
    <n v="5.1929998397827104"/>
    <n v="2414"/>
    <x v="742"/>
    <n v="38094526099"/>
    <n v="6.72"/>
  </r>
  <r>
    <n v="744"/>
    <x v="24"/>
    <x v="743"/>
    <x v="1"/>
    <x v="1"/>
    <x v="2"/>
    <x v="48"/>
    <x v="1"/>
    <n v="5.1929998397827104"/>
    <n v="2422.89990234375"/>
    <x v="743"/>
    <n v="41617346768"/>
    <n v="0.35"/>
  </r>
  <r>
    <n v="745"/>
    <x v="24"/>
    <x v="744"/>
    <x v="2"/>
    <x v="1"/>
    <x v="2"/>
    <x v="49"/>
    <x v="1"/>
    <n v="5.1950001716613698"/>
    <n v="2462.39990234375"/>
    <x v="744"/>
    <n v="32525071311"/>
    <n v="-1.5"/>
  </r>
  <r>
    <n v="746"/>
    <x v="24"/>
    <x v="745"/>
    <x v="3"/>
    <x v="1"/>
    <x v="2"/>
    <x v="35"/>
    <x v="1"/>
    <n v="5.1929998397827104"/>
    <n v="2454.80004882812"/>
    <x v="745"/>
    <n v="27239305337"/>
    <n v="-0.23"/>
  </r>
  <r>
    <n v="747"/>
    <x v="24"/>
    <x v="746"/>
    <x v="4"/>
    <x v="1"/>
    <x v="2"/>
    <x v="37"/>
    <x v="1"/>
    <n v="5.1929998397827104"/>
    <n v="2451.80004882812"/>
    <x v="746"/>
    <n v="37003855410"/>
    <n v="4.28"/>
  </r>
  <r>
    <n v="748"/>
    <x v="24"/>
    <x v="747"/>
    <x v="5"/>
    <x v="0"/>
    <x v="2"/>
    <x v="55"/>
    <x v="1"/>
    <n v="5.1929998397827104"/>
    <n v="2395.5"/>
    <x v="747"/>
    <n v="19029581250"/>
    <n v="0.68"/>
  </r>
  <r>
    <n v="749"/>
    <x v="24"/>
    <x v="748"/>
    <x v="6"/>
    <x v="0"/>
    <x v="2"/>
    <x v="55"/>
    <x v="1"/>
    <n v="5.1929998397827104"/>
    <n v="2451.80004882812"/>
    <x v="748"/>
    <n v="26652190004"/>
    <n v="1.48"/>
  </r>
  <r>
    <n v="750"/>
    <x v="24"/>
    <x v="749"/>
    <x v="0"/>
    <x v="1"/>
    <x v="2"/>
    <x v="54"/>
    <x v="1"/>
    <n v="5.1900000572204501"/>
    <n v="2395.5"/>
    <x v="749"/>
    <n v="42649109453"/>
    <n v="-0.84"/>
  </r>
  <r>
    <n v="751"/>
    <x v="24"/>
    <x v="750"/>
    <x v="1"/>
    <x v="1"/>
    <x v="2"/>
    <x v="53"/>
    <x v="1"/>
    <n v="5.1729998588562003"/>
    <n v="2392"/>
    <x v="750"/>
    <n v="35605668666"/>
    <n v="-2.4500000000000002"/>
  </r>
  <r>
    <n v="752"/>
    <x v="24"/>
    <x v="751"/>
    <x v="2"/>
    <x v="1"/>
    <x v="2"/>
    <x v="49"/>
    <x v="1"/>
    <n v="5.17000007629394"/>
    <n v="2404.60009765625"/>
    <x v="751"/>
    <n v="27470942309"/>
    <n v="-0.84"/>
  </r>
  <r>
    <n v="753"/>
    <x v="24"/>
    <x v="752"/>
    <x v="3"/>
    <x v="1"/>
    <x v="2"/>
    <x v="46"/>
    <x v="1"/>
    <n v="5.1599998474120996"/>
    <n v="2413.30004882812"/>
    <x v="752"/>
    <n v="38315761670"/>
    <n v="0.62"/>
  </r>
  <r>
    <n v="754"/>
    <x v="24"/>
    <x v="753"/>
    <x v="4"/>
    <x v="1"/>
    <x v="2"/>
    <x v="46"/>
    <x v="1"/>
    <n v="5.1550002098083496"/>
    <n v="2351.89990234375"/>
    <x v="753"/>
    <n v="30488630457"/>
    <n v="3.25"/>
  </r>
  <r>
    <n v="755"/>
    <x v="24"/>
    <x v="754"/>
    <x v="5"/>
    <x v="0"/>
    <x v="2"/>
    <x v="52"/>
    <x v="1"/>
    <n v="5.1550002098083496"/>
    <n v="2380"/>
    <x v="754"/>
    <n v="34691905492"/>
    <n v="-0.15"/>
  </r>
  <r>
    <n v="756"/>
    <x v="24"/>
    <x v="755"/>
    <x v="6"/>
    <x v="0"/>
    <x v="2"/>
    <x v="53"/>
    <x v="1"/>
    <n v="5.1550002098083496"/>
    <n v="2351.89990234375"/>
    <x v="755"/>
    <n v="18043166945"/>
    <n v="0.65"/>
  </r>
  <r>
    <n v="757"/>
    <x v="24"/>
    <x v="756"/>
    <x v="0"/>
    <x v="1"/>
    <x v="2"/>
    <x v="55"/>
    <x v="1"/>
    <n v="5.1469998359680096"/>
    <n v="2380"/>
    <x v="756"/>
    <n v="40780682628"/>
    <n v="-2.1"/>
  </r>
  <r>
    <n v="758"/>
    <x v="24"/>
    <x v="757"/>
    <x v="1"/>
    <x v="1"/>
    <x v="2"/>
    <x v="58"/>
    <x v="1"/>
    <n v="5.1350002288818297"/>
    <n v="2377.30004882812"/>
    <x v="757"/>
    <n v="31380492109"/>
    <n v="-0.93"/>
  </r>
  <r>
    <n v="759"/>
    <x v="24"/>
    <x v="758"/>
    <x v="2"/>
    <x v="1"/>
    <x v="2"/>
    <x v="35"/>
    <x v="1"/>
    <n v="5.1350002288818297"/>
    <n v="2405"/>
    <x v="758"/>
    <n v="31292785994"/>
    <n v="-2.39"/>
  </r>
  <r>
    <n v="760"/>
    <x v="25"/>
    <x v="759"/>
    <x v="3"/>
    <x v="1"/>
    <x v="2"/>
    <x v="29"/>
    <x v="1"/>
    <n v="5.1149997711181596"/>
    <n v="2426.5"/>
    <x v="759"/>
    <n v="40975554494"/>
    <n v="1.1399999999999999"/>
  </r>
  <r>
    <n v="761"/>
    <x v="25"/>
    <x v="760"/>
    <x v="4"/>
    <x v="1"/>
    <x v="2"/>
    <x v="47"/>
    <x v="1"/>
    <n v="5.0300002098083496"/>
    <n v="2435"/>
    <x v="760"/>
    <n v="43060875727"/>
    <n v="-6.03"/>
  </r>
  <r>
    <n v="762"/>
    <x v="25"/>
    <x v="761"/>
    <x v="5"/>
    <x v="0"/>
    <x v="1"/>
    <x v="50"/>
    <x v="1"/>
    <n v="5.0300002098083496"/>
    <n v="2425.69995117187"/>
    <x v="761"/>
    <n v="31753030589"/>
    <n v="-1.2"/>
  </r>
  <r>
    <n v="763"/>
    <x v="25"/>
    <x v="762"/>
    <x v="6"/>
    <x v="0"/>
    <x v="1"/>
    <x v="11"/>
    <x v="1"/>
    <n v="5.0300002098083496"/>
    <n v="2435"/>
    <x v="762"/>
    <n v="31758917219"/>
    <n v="-4.22"/>
  </r>
  <r>
    <n v="764"/>
    <x v="25"/>
    <x v="763"/>
    <x v="0"/>
    <x v="1"/>
    <x v="1"/>
    <x v="13"/>
    <x v="1"/>
    <n v="5.0599999427795401"/>
    <n v="2425.69995117187"/>
    <x v="763"/>
    <n v="108991085584"/>
    <n v="-7.1"/>
  </r>
  <r>
    <n v="765"/>
    <x v="25"/>
    <x v="764"/>
    <x v="1"/>
    <x v="1"/>
    <x v="0"/>
    <x v="70"/>
    <x v="1"/>
    <n v="5.0799999237060502"/>
    <n v="2401.69995117187"/>
    <x v="764"/>
    <n v="49300484106"/>
    <n v="3.78"/>
  </r>
  <r>
    <n v="766"/>
    <x v="25"/>
    <x v="765"/>
    <x v="2"/>
    <x v="1"/>
    <x v="1"/>
    <x v="23"/>
    <x v="1"/>
    <n v="5.0799999237060502"/>
    <n v="2389.10009765625"/>
    <x v="765"/>
    <n v="41637562185"/>
    <n v="-1.8"/>
  </r>
  <r>
    <n v="767"/>
    <x v="25"/>
    <x v="766"/>
    <x v="3"/>
    <x v="1"/>
    <x v="0"/>
    <x v="3"/>
    <x v="1"/>
    <n v="5.0830001831054599"/>
    <n v="2390.5"/>
    <x v="766"/>
    <n v="45298472567"/>
    <n v="12.14"/>
  </r>
  <r>
    <n v="768"/>
    <x v="25"/>
    <x v="767"/>
    <x v="4"/>
    <x v="1"/>
    <x v="1"/>
    <x v="39"/>
    <x v="1"/>
    <n v="5.0749998092651296"/>
    <n v="2422.19995117187"/>
    <x v="767"/>
    <n v="33425553115"/>
    <n v="-1.35"/>
  </r>
  <r>
    <n v="769"/>
    <x v="25"/>
    <x v="768"/>
    <x v="5"/>
    <x v="0"/>
    <x v="1"/>
    <x v="28"/>
    <x v="1"/>
    <n v="5.0749998092651296"/>
    <n v="2432.10009765625"/>
    <x v="768"/>
    <n v="15745822278"/>
    <n v="0.11"/>
  </r>
  <r>
    <n v="770"/>
    <x v="25"/>
    <x v="769"/>
    <x v="6"/>
    <x v="0"/>
    <x v="1"/>
    <x v="16"/>
    <x v="1"/>
    <n v="5.0749998092651296"/>
    <n v="2422.19995117187"/>
    <x v="769"/>
    <n v="22759754812"/>
    <n v="-3.65"/>
  </r>
  <r>
    <n v="771"/>
    <x v="25"/>
    <x v="770"/>
    <x v="0"/>
    <x v="1"/>
    <x v="1"/>
    <x v="25"/>
    <x v="1"/>
    <n v="5.0729999542236301"/>
    <n v="2432.10009765625"/>
    <x v="770"/>
    <n v="37078637820"/>
    <n v="1.08"/>
  </r>
  <r>
    <n v="772"/>
    <x v="25"/>
    <x v="771"/>
    <x v="1"/>
    <x v="1"/>
    <x v="1"/>
    <x v="10"/>
    <x v="1"/>
    <n v="5.0529999732971103"/>
    <n v="2462.39990234375"/>
    <x v="771"/>
    <n v="30327698167"/>
    <n v="2.11"/>
  </r>
  <r>
    <n v="773"/>
    <x v="25"/>
    <x v="772"/>
    <x v="2"/>
    <x v="1"/>
    <x v="1"/>
    <x v="9"/>
    <x v="1"/>
    <n v="5.0630002021789497"/>
    <n v="2466.69995117187"/>
    <x v="772"/>
    <n v="29961696180"/>
    <n v="-3.09"/>
  </r>
  <r>
    <n v="774"/>
    <x v="25"/>
    <x v="773"/>
    <x v="3"/>
    <x v="1"/>
    <x v="1"/>
    <x v="23"/>
    <x v="16"/>
    <n v="5.0799999237060502"/>
    <n v="2439.39990234375"/>
    <x v="773"/>
    <n v="35682112440"/>
    <n v="-2"/>
  </r>
  <r>
    <n v="775"/>
    <x v="25"/>
    <x v="774"/>
    <x v="4"/>
    <x v="1"/>
    <x v="1"/>
    <x v="24"/>
    <x v="1"/>
    <n v="5.0749998092651296"/>
    <n v="2453.10009765625"/>
    <x v="774"/>
    <n v="29350938673"/>
    <n v="2.3199999999999998"/>
  </r>
  <r>
    <n v="776"/>
    <x v="25"/>
    <x v="775"/>
    <x v="5"/>
    <x v="0"/>
    <x v="1"/>
    <x v="25"/>
    <x v="1"/>
    <n v="5.0749998092651296"/>
    <n v="2498.60009765625"/>
    <x v="775"/>
    <n v="13589684021"/>
    <n v="0.99"/>
  </r>
  <r>
    <n v="777"/>
    <x v="25"/>
    <x v="776"/>
    <x v="6"/>
    <x v="0"/>
    <x v="1"/>
    <x v="10"/>
    <x v="1"/>
    <n v="5.0749998092651296"/>
    <n v="2453.10009765625"/>
    <x v="776"/>
    <n v="17740625837"/>
    <n v="-1.67"/>
  </r>
  <r>
    <n v="778"/>
    <x v="25"/>
    <x v="777"/>
    <x v="0"/>
    <x v="1"/>
    <x v="1"/>
    <x v="14"/>
    <x v="1"/>
    <n v="5.0630002021789497"/>
    <n v="2498.60009765625"/>
    <x v="777"/>
    <n v="25911207712"/>
    <n v="1.73"/>
  </r>
  <r>
    <n v="779"/>
    <x v="25"/>
    <x v="778"/>
    <x v="1"/>
    <x v="1"/>
    <x v="1"/>
    <x v="9"/>
    <x v="1"/>
    <n v="5.0329999923706001"/>
    <n v="2501.80004882812"/>
    <x v="778"/>
    <n v="31613400008"/>
    <n v="-0.81"/>
  </r>
  <r>
    <n v="780"/>
    <x v="25"/>
    <x v="779"/>
    <x v="2"/>
    <x v="1"/>
    <x v="1"/>
    <x v="13"/>
    <x v="1"/>
    <n v="5.00500011444091"/>
    <n v="2511.30004882812"/>
    <x v="779"/>
    <n v="32731154072"/>
    <n v="3.66"/>
  </r>
  <r>
    <n v="781"/>
    <x v="25"/>
    <x v="780"/>
    <x v="3"/>
    <x v="1"/>
    <x v="1"/>
    <x v="16"/>
    <x v="1"/>
    <n v="5.0250000953674299"/>
    <n v="2508.39990234375"/>
    <x v="780"/>
    <n v="27625734377"/>
    <n v="-1.3"/>
  </r>
  <r>
    <n v="782"/>
    <x v="25"/>
    <x v="781"/>
    <x v="4"/>
    <x v="1"/>
    <x v="1"/>
    <x v="11"/>
    <x v="1"/>
    <n v="5"/>
    <n v="2478.89990234375"/>
    <x v="781"/>
    <n v="42530509233"/>
    <n v="6.15"/>
  </r>
  <r>
    <n v="783"/>
    <x v="25"/>
    <x v="782"/>
    <x v="5"/>
    <x v="0"/>
    <x v="2"/>
    <x v="36"/>
    <x v="1"/>
    <n v="5"/>
    <n v="2508.39990234375"/>
    <x v="782"/>
    <n v="21430585163"/>
    <n v="0.13"/>
  </r>
  <r>
    <n v="784"/>
    <x v="25"/>
    <x v="783"/>
    <x v="6"/>
    <x v="0"/>
    <x v="2"/>
    <x v="33"/>
    <x v="1"/>
    <n v="5"/>
    <n v="2478.89990234375"/>
    <x v="783"/>
    <n v="18827683555"/>
    <n v="0.24"/>
  </r>
  <r>
    <n v="785"/>
    <x v="25"/>
    <x v="784"/>
    <x v="0"/>
    <x v="1"/>
    <x v="2"/>
    <x v="34"/>
    <x v="1"/>
    <n v="4.9980001449584899"/>
    <n v="2508.39990234375"/>
    <x v="784"/>
    <n v="27682040631"/>
    <n v="-2.2599999999999998"/>
  </r>
  <r>
    <n v="786"/>
    <x v="25"/>
    <x v="785"/>
    <x v="1"/>
    <x v="1"/>
    <x v="1"/>
    <x v="39"/>
    <x v="1"/>
    <n v="4.9679999351501403"/>
    <n v="2517.69995117187"/>
    <x v="785"/>
    <n v="39103882198"/>
    <n v="-5.37"/>
  </r>
  <r>
    <n v="787"/>
    <x v="25"/>
    <x v="786"/>
    <x v="2"/>
    <x v="1"/>
    <x v="1"/>
    <x v="9"/>
    <x v="1"/>
    <n v="4.9549999237060502"/>
    <n v="2516"/>
    <x v="786"/>
    <n v="40289564698"/>
    <n v="-0.8"/>
  </r>
  <r>
    <n v="788"/>
    <x v="25"/>
    <x v="787"/>
    <x v="3"/>
    <x v="1"/>
    <x v="1"/>
    <x v="23"/>
    <x v="1"/>
    <n v="4.9650001525878897"/>
    <n v="2501"/>
    <x v="787"/>
    <n v="32224990582"/>
    <n v="0.61"/>
  </r>
  <r>
    <n v="789"/>
    <x v="25"/>
    <x v="788"/>
    <x v="4"/>
    <x v="1"/>
    <x v="1"/>
    <x v="11"/>
    <x v="1"/>
    <n v="4.9679999351501403"/>
    <n v="2525.69995117187"/>
    <x v="788"/>
    <n v="32292756405"/>
    <n v="-0.45"/>
  </r>
  <r>
    <n v="790"/>
    <x v="25"/>
    <x v="789"/>
    <x v="5"/>
    <x v="0"/>
    <x v="1"/>
    <x v="23"/>
    <x v="1"/>
    <n v="4.9679999351501403"/>
    <n v="2493.80004882812"/>
    <x v="789"/>
    <n v="12403470760"/>
    <n v="-0.25"/>
  </r>
  <r>
    <n v="791"/>
    <x v="26"/>
    <x v="790"/>
    <x v="6"/>
    <x v="0"/>
    <x v="1"/>
    <x v="13"/>
    <x v="1"/>
    <n v="4.9679999351501403"/>
    <n v="2525.69995117187"/>
    <x v="790"/>
    <n v="24592449997"/>
    <n v="-2.79"/>
  </r>
  <r>
    <n v="792"/>
    <x v="26"/>
    <x v="791"/>
    <x v="0"/>
    <x v="1"/>
    <x v="1"/>
    <x v="13"/>
    <x v="1"/>
    <n v="4.9679999351501403"/>
    <n v="2493.80004882812"/>
    <x v="791"/>
    <n v="27036454524"/>
    <n v="3.12"/>
  </r>
  <r>
    <n v="793"/>
    <x v="26"/>
    <x v="792"/>
    <x v="1"/>
    <x v="1"/>
    <x v="1"/>
    <x v="13"/>
    <x v="1"/>
    <n v="4.9699997901916504"/>
    <n v="2525.69995117187"/>
    <x v="792"/>
    <n v="26666961053"/>
    <n v="-2.84"/>
  </r>
  <r>
    <n v="794"/>
    <x v="26"/>
    <x v="793"/>
    <x v="2"/>
    <x v="1"/>
    <x v="1"/>
    <x v="24"/>
    <x v="1"/>
    <n v="4.9479999542236301"/>
    <n v="2489.89990234375"/>
    <x v="793"/>
    <n v="35627680312"/>
    <n v="0.94"/>
  </r>
  <r>
    <n v="795"/>
    <x v="26"/>
    <x v="794"/>
    <x v="3"/>
    <x v="1"/>
    <x v="1"/>
    <x v="23"/>
    <x v="1"/>
    <n v="4.9320001602172798"/>
    <n v="2493.39990234375"/>
    <x v="794"/>
    <n v="31030280656"/>
    <n v="-3.12"/>
  </r>
  <r>
    <n v="796"/>
    <x v="26"/>
    <x v="795"/>
    <x v="4"/>
    <x v="1"/>
    <x v="0"/>
    <x v="5"/>
    <x v="1"/>
    <n v="4.9079999923706001"/>
    <n v="2511.39990234375"/>
    <x v="795"/>
    <n v="49361693566"/>
    <n v="-3.94"/>
  </r>
  <r>
    <n v="797"/>
    <x v="26"/>
    <x v="796"/>
    <x v="5"/>
    <x v="0"/>
    <x v="0"/>
    <x v="26"/>
    <x v="1"/>
    <n v="4.9079999923706001"/>
    <n v="2493.5"/>
    <x v="796"/>
    <n v="19061486526"/>
    <n v="0.35"/>
  </r>
  <r>
    <n v="798"/>
    <x v="26"/>
    <x v="797"/>
    <x v="6"/>
    <x v="0"/>
    <x v="1"/>
    <x v="23"/>
    <x v="1"/>
    <n v="4.9079999923706001"/>
    <n v="2511.39990234375"/>
    <x v="797"/>
    <n v="18268287531"/>
    <n v="1.3"/>
  </r>
  <r>
    <n v="799"/>
    <x v="26"/>
    <x v="798"/>
    <x v="0"/>
    <x v="1"/>
    <x v="1"/>
    <x v="13"/>
    <x v="1"/>
    <n v="4.8949999809265101"/>
    <n v="2493.5"/>
    <x v="798"/>
    <n v="34618096173"/>
    <n v="3.97"/>
  </r>
  <r>
    <n v="800"/>
    <x v="26"/>
    <x v="799"/>
    <x v="1"/>
    <x v="1"/>
    <x v="1"/>
    <x v="12"/>
    <x v="1"/>
    <n v="4.83500003814697"/>
    <n v="2501.80004882812"/>
    <x v="799"/>
    <n v="28857630507"/>
    <n v="1.1000000000000001"/>
  </r>
  <r>
    <n v="801"/>
    <x v="26"/>
    <x v="800"/>
    <x v="2"/>
    <x v="1"/>
    <x v="1"/>
    <x v="50"/>
    <x v="1"/>
    <n v="4.875"/>
    <n v="2512.30004882812"/>
    <x v="800"/>
    <n v="37049062672"/>
    <n v="-0.53"/>
  </r>
  <r>
    <n v="802"/>
    <x v="26"/>
    <x v="801"/>
    <x v="3"/>
    <x v="1"/>
    <x v="1"/>
    <x v="10"/>
    <x v="1"/>
    <n v="4.8400001525878897"/>
    <n v="2512.10009765625"/>
    <x v="801"/>
    <n v="33835707949"/>
    <n v="1.37"/>
  </r>
  <r>
    <n v="803"/>
    <x v="26"/>
    <x v="802"/>
    <x v="4"/>
    <x v="1"/>
    <x v="1"/>
    <x v="15"/>
    <x v="1"/>
    <n v="4.76300001144409"/>
    <n v="2551.19995117187"/>
    <x v="802"/>
    <n v="32490528356"/>
    <n v="4.21"/>
  </r>
  <r>
    <n v="804"/>
    <x v="26"/>
    <x v="803"/>
    <x v="5"/>
    <x v="0"/>
    <x v="2"/>
    <x v="32"/>
    <x v="1"/>
    <n v="4.76300001144409"/>
    <n v="2581.30004882812"/>
    <x v="803"/>
    <n v="16428405496"/>
    <n v="-0.93"/>
  </r>
  <r>
    <n v="805"/>
    <x v="26"/>
    <x v="804"/>
    <x v="6"/>
    <x v="0"/>
    <x v="2"/>
    <x v="30"/>
    <x v="1"/>
    <n v="4.76300001144409"/>
    <n v="2551.19995117187"/>
    <x v="804"/>
    <n v="18120960867"/>
    <n v="-1.37"/>
  </r>
  <r>
    <n v="806"/>
    <x v="26"/>
    <x v="805"/>
    <x v="0"/>
    <x v="1"/>
    <x v="1"/>
    <x v="16"/>
    <x v="1"/>
    <n v="4.7449998855590803"/>
    <n v="2581.30004882812"/>
    <x v="805"/>
    <n v="32032822113"/>
    <n v="-1.67"/>
  </r>
  <r>
    <n v="807"/>
    <x v="26"/>
    <x v="806"/>
    <x v="1"/>
    <x v="1"/>
    <x v="1"/>
    <x v="12"/>
    <x v="1"/>
    <n v="4.7350001335143999"/>
    <n v="2580.39990234375"/>
    <x v="806"/>
    <n v="38075570118"/>
    <n v="3.64"/>
  </r>
  <r>
    <n v="808"/>
    <x v="26"/>
    <x v="807"/>
    <x v="2"/>
    <x v="1"/>
    <x v="1"/>
    <x v="21"/>
    <x v="1"/>
    <n v="4.6149997711181596"/>
    <n v="2564.30004882812"/>
    <x v="807"/>
    <n v="40990702891"/>
    <n v="2.2200000000000002"/>
  </r>
  <r>
    <n v="809"/>
    <x v="26"/>
    <x v="808"/>
    <x v="3"/>
    <x v="1"/>
    <x v="1"/>
    <x v="40"/>
    <x v="1"/>
    <n v="4.5929999351501403"/>
    <n v="2570.69995117187"/>
    <x v="808"/>
    <n v="42710252573"/>
    <n v="2.09"/>
  </r>
  <r>
    <n v="810"/>
    <x v="26"/>
    <x v="809"/>
    <x v="4"/>
    <x v="1"/>
    <x v="2"/>
    <x v="33"/>
    <x v="1"/>
    <n v="4.54500007629394"/>
    <n v="2588"/>
    <x v="809"/>
    <n v="35177164222"/>
    <n v="0.4"/>
  </r>
  <r>
    <n v="811"/>
    <x v="26"/>
    <x v="810"/>
    <x v="5"/>
    <x v="0"/>
    <x v="2"/>
    <x v="33"/>
    <x v="1"/>
    <n v="4.54500007629394"/>
    <n v="2619.89990234375"/>
    <x v="810"/>
    <n v="14408616220"/>
    <n v="0.32"/>
  </r>
  <r>
    <n v="812"/>
    <x v="26"/>
    <x v="811"/>
    <x v="6"/>
    <x v="0"/>
    <x v="2"/>
    <x v="29"/>
    <x v="1"/>
    <n v="4.54500007629394"/>
    <n v="2588"/>
    <x v="811"/>
    <n v="20183348802"/>
    <n v="0.4"/>
  </r>
  <r>
    <n v="813"/>
    <x v="26"/>
    <x v="812"/>
    <x v="0"/>
    <x v="1"/>
    <x v="2"/>
    <x v="32"/>
    <x v="1"/>
    <n v="4.5029997825622496"/>
    <n v="2619.89990234375"/>
    <x v="812"/>
    <n v="31400285425"/>
    <n v="-0.5"/>
  </r>
  <r>
    <n v="814"/>
    <x v="26"/>
    <x v="813"/>
    <x v="1"/>
    <x v="1"/>
    <x v="2"/>
    <x v="33"/>
    <x v="1"/>
    <n v="4.4949998855590803"/>
    <n v="2626.5"/>
    <x v="813"/>
    <n v="29938335243"/>
    <n v="1.54"/>
  </r>
  <r>
    <n v="815"/>
    <x v="26"/>
    <x v="814"/>
    <x v="2"/>
    <x v="1"/>
    <x v="2"/>
    <x v="42"/>
    <x v="1"/>
    <n v="4.4869999885559002"/>
    <n v="2651.19995117187"/>
    <x v="814"/>
    <n v="25078377700"/>
    <n v="-1.8"/>
  </r>
  <r>
    <n v="816"/>
    <x v="26"/>
    <x v="815"/>
    <x v="3"/>
    <x v="1"/>
    <x v="2"/>
    <x v="32"/>
    <x v="1"/>
    <n v="4.4679999351501403"/>
    <n v="2659.19995117187"/>
    <x v="815"/>
    <n v="36873129847"/>
    <n v="3.23"/>
  </r>
  <r>
    <n v="817"/>
    <x v="26"/>
    <x v="816"/>
    <x v="4"/>
    <x v="1"/>
    <x v="2"/>
    <x v="35"/>
    <x v="1"/>
    <n v="4.4819998741149902"/>
    <n v="2669.89990234375"/>
    <x v="816"/>
    <n v="32058813449"/>
    <n v="0.94"/>
  </r>
  <r>
    <n v="818"/>
    <x v="26"/>
    <x v="817"/>
    <x v="5"/>
    <x v="0"/>
    <x v="2"/>
    <x v="43"/>
    <x v="1"/>
    <n v="4.4819998741149902"/>
    <n v="2644.30004882812"/>
    <x v="817"/>
    <n v="15243637984"/>
    <n v="0.15"/>
  </r>
  <r>
    <n v="819"/>
    <x v="26"/>
    <x v="818"/>
    <x v="6"/>
    <x v="0"/>
    <x v="2"/>
    <x v="44"/>
    <x v="1"/>
    <n v="4.4819998741149902"/>
    <n v="2669.89990234375"/>
    <x v="818"/>
    <n v="14788214575"/>
    <n v="-0.38"/>
  </r>
  <r>
    <n v="820"/>
    <x v="26"/>
    <x v="819"/>
    <x v="0"/>
    <x v="1"/>
    <x v="2"/>
    <x v="35"/>
    <x v="1"/>
    <n v="4.4980001449584899"/>
    <n v="2644.30004882812"/>
    <x v="819"/>
    <n v="37112957475"/>
    <n v="-3.51"/>
  </r>
  <r>
    <n v="821"/>
    <x v="27"/>
    <x v="820"/>
    <x v="1"/>
    <x v="1"/>
    <x v="2"/>
    <x v="32"/>
    <x v="1"/>
    <n v="4.4819998741149902"/>
    <n v="2636.10009765625"/>
    <x v="820"/>
    <n v="50220923500"/>
    <n v="-3.94"/>
  </r>
  <r>
    <n v="822"/>
    <x v="27"/>
    <x v="821"/>
    <x v="2"/>
    <x v="1"/>
    <x v="1"/>
    <x v="17"/>
    <x v="1"/>
    <n v="4.47300004959106"/>
    <n v="2667.30004882812"/>
    <x v="821"/>
    <n v="40762722398"/>
    <n v="-0.34"/>
  </r>
  <r>
    <n v="823"/>
    <x v="27"/>
    <x v="822"/>
    <x v="3"/>
    <x v="1"/>
    <x v="1"/>
    <x v="50"/>
    <x v="1"/>
    <n v="4.4650001525878897"/>
    <n v="2647.10009765625"/>
    <x v="822"/>
    <n v="36106447279"/>
    <n v="0.21"/>
  </r>
  <r>
    <n v="824"/>
    <x v="27"/>
    <x v="823"/>
    <x v="4"/>
    <x v="1"/>
    <x v="1"/>
    <x v="18"/>
    <x v="1"/>
    <n v="4.50500011444091"/>
    <n v="2657.10009765625"/>
    <x v="823"/>
    <n v="29585472513"/>
    <n v="2.15"/>
  </r>
  <r>
    <n v="825"/>
    <x v="27"/>
    <x v="824"/>
    <x v="5"/>
    <x v="0"/>
    <x v="1"/>
    <x v="40"/>
    <x v="1"/>
    <n v="4.50500011444091"/>
    <n v="2645.80004882812"/>
    <x v="824"/>
    <n v="13305410749"/>
    <n v="0.04"/>
  </r>
  <r>
    <n v="826"/>
    <x v="27"/>
    <x v="825"/>
    <x v="6"/>
    <x v="0"/>
    <x v="2"/>
    <x v="32"/>
    <x v="1"/>
    <n v="4.50500011444091"/>
    <n v="2657.10009765625"/>
    <x v="825"/>
    <n v="14776233667"/>
    <n v="1.17"/>
  </r>
  <r>
    <n v="827"/>
    <x v="27"/>
    <x v="826"/>
    <x v="0"/>
    <x v="1"/>
    <x v="2"/>
    <x v="32"/>
    <x v="1"/>
    <n v="4.5250000953674299"/>
    <n v="2645.80004882812"/>
    <x v="826"/>
    <n v="34253562610"/>
    <n v="-0.93"/>
  </r>
  <r>
    <n v="828"/>
    <x v="27"/>
    <x v="827"/>
    <x v="1"/>
    <x v="1"/>
    <x v="1"/>
    <x v="40"/>
    <x v="1"/>
    <n v="4.5279998779296804"/>
    <n v="2644.80004882812"/>
    <x v="827"/>
    <n v="28134475157"/>
    <n v="-0.17"/>
  </r>
  <r>
    <n v="829"/>
    <x v="27"/>
    <x v="828"/>
    <x v="2"/>
    <x v="1"/>
    <x v="1"/>
    <x v="40"/>
    <x v="1"/>
    <n v="4.5349998474120996"/>
    <n v="2615"/>
    <x v="828"/>
    <n v="27670982363"/>
    <n v="-2.4900000000000002"/>
  </r>
  <r>
    <n v="830"/>
    <x v="27"/>
    <x v="829"/>
    <x v="3"/>
    <x v="1"/>
    <x v="1"/>
    <x v="16"/>
    <x v="1"/>
    <n v="4.5300002098083496"/>
    <n v="2606"/>
    <x v="829"/>
    <n v="30452813570"/>
    <n v="-0.51"/>
  </r>
  <r>
    <n v="831"/>
    <x v="27"/>
    <x v="830"/>
    <x v="4"/>
    <x v="1"/>
    <x v="1"/>
    <x v="15"/>
    <x v="1"/>
    <n v="4.5149998664855904"/>
    <n v="2620.60009765625"/>
    <x v="830"/>
    <n v="30327141594"/>
    <n v="3.6"/>
  </r>
  <r>
    <n v="832"/>
    <x v="27"/>
    <x v="831"/>
    <x v="5"/>
    <x v="0"/>
    <x v="1"/>
    <x v="40"/>
    <x v="1"/>
    <n v="4.5149998664855904"/>
    <n v="2657.60009765625"/>
    <x v="831"/>
    <n v="16744110886"/>
    <n v="1.2"/>
  </r>
  <r>
    <n v="833"/>
    <x v="27"/>
    <x v="832"/>
    <x v="6"/>
    <x v="0"/>
    <x v="2"/>
    <x v="32"/>
    <x v="1"/>
    <n v="4.5149998664855904"/>
    <n v="2620.60009765625"/>
    <x v="832"/>
    <n v="18177529690"/>
    <n v="-0.54"/>
  </r>
  <r>
    <n v="834"/>
    <x v="27"/>
    <x v="833"/>
    <x v="0"/>
    <x v="1"/>
    <x v="1"/>
    <x v="39"/>
    <x v="1"/>
    <n v="4.5180001258850098"/>
    <n v="2657.60009765625"/>
    <x v="833"/>
    <n v="43706958056"/>
    <n v="5.08"/>
  </r>
  <r>
    <n v="835"/>
    <x v="27"/>
    <x v="834"/>
    <x v="1"/>
    <x v="1"/>
    <x v="2"/>
    <x v="48"/>
    <x v="1"/>
    <n v="4.5149998664855904"/>
    <n v="2647.80004882812"/>
    <x v="834"/>
    <n v="48863870879"/>
    <n v="1.51"/>
  </r>
  <r>
    <n v="836"/>
    <x v="27"/>
    <x v="835"/>
    <x v="2"/>
    <x v="1"/>
    <x v="2"/>
    <x v="56"/>
    <x v="1"/>
    <n v="4.5029997825622496"/>
    <n v="2661.39990234375"/>
    <x v="835"/>
    <n v="38195189534"/>
    <n v="0.85"/>
  </r>
  <r>
    <n v="837"/>
    <x v="27"/>
    <x v="836"/>
    <x v="3"/>
    <x v="1"/>
    <x v="2"/>
    <x v="53"/>
    <x v="1"/>
    <n v="4.5149998664855904"/>
    <n v="2674"/>
    <x v="836"/>
    <n v="32790898511"/>
    <n v="-0.31"/>
  </r>
  <r>
    <n v="838"/>
    <x v="27"/>
    <x v="837"/>
    <x v="4"/>
    <x v="1"/>
    <x v="2"/>
    <x v="56"/>
    <x v="1"/>
    <n v="4.51300001144409"/>
    <n v="2691"/>
    <x v="837"/>
    <n v="36857165014"/>
    <n v="1.51"/>
  </r>
  <r>
    <n v="839"/>
    <x v="27"/>
    <x v="838"/>
    <x v="5"/>
    <x v="0"/>
    <x v="2"/>
    <x v="52"/>
    <x v="1"/>
    <n v="4.51300001144409"/>
    <n v="2713.69995117187"/>
    <x v="838"/>
    <n v="14443497908"/>
    <n v="-0.08"/>
  </r>
  <r>
    <n v="840"/>
    <x v="27"/>
    <x v="839"/>
    <x v="6"/>
    <x v="0"/>
    <x v="2"/>
    <x v="56"/>
    <x v="1"/>
    <n v="4.51300001144409"/>
    <n v="2691"/>
    <x v="839"/>
    <n v="18975847518"/>
    <n v="0.93"/>
  </r>
  <r>
    <n v="841"/>
    <x v="27"/>
    <x v="840"/>
    <x v="0"/>
    <x v="1"/>
    <x v="2"/>
    <x v="52"/>
    <x v="1"/>
    <n v="4.5180001258850098"/>
    <n v="2713.69995117187"/>
    <x v="840"/>
    <n v="37498611780"/>
    <n v="-2.37"/>
  </r>
  <r>
    <n v="842"/>
    <x v="27"/>
    <x v="841"/>
    <x v="1"/>
    <x v="1"/>
    <x v="2"/>
    <x v="54"/>
    <x v="1"/>
    <n v="4.5"/>
    <n v="2723.10009765625"/>
    <x v="841"/>
    <n v="31808472566"/>
    <n v="-0.01"/>
  </r>
  <r>
    <n v="843"/>
    <x v="27"/>
    <x v="842"/>
    <x v="2"/>
    <x v="1"/>
    <x v="2"/>
    <x v="53"/>
    <x v="1"/>
    <n v="4.50500011444091"/>
    <n v="2744.19995117187"/>
    <x v="842"/>
    <n v="32263980353"/>
    <n v="-1.38"/>
  </r>
  <r>
    <n v="844"/>
    <x v="27"/>
    <x v="843"/>
    <x v="3"/>
    <x v="1"/>
    <x v="2"/>
    <x v="49"/>
    <x v="1"/>
    <n v="4.4869999885559002"/>
    <n v="2714.39990234375"/>
    <x v="843"/>
    <n v="31414428647"/>
    <n v="2.6"/>
  </r>
  <r>
    <n v="845"/>
    <x v="27"/>
    <x v="844"/>
    <x v="4"/>
    <x v="1"/>
    <x v="2"/>
    <x v="52"/>
    <x v="17"/>
    <n v="4.5100002288818297"/>
    <n v="2734.89990234375"/>
    <x v="844"/>
    <n v="41469984306"/>
    <n v="-2.23"/>
  </r>
  <r>
    <n v="846"/>
    <x v="27"/>
    <x v="845"/>
    <x v="5"/>
    <x v="0"/>
    <x v="2"/>
    <x v="56"/>
    <x v="1"/>
    <n v="4.5100002288818297"/>
    <n v="2740.89990234375"/>
    <x v="845"/>
    <n v="19588098156"/>
    <n v="0.56000000000000005"/>
  </r>
  <r>
    <n v="847"/>
    <x v="27"/>
    <x v="846"/>
    <x v="6"/>
    <x v="0"/>
    <x v="2"/>
    <x v="55"/>
    <x v="1"/>
    <n v="4.5100002288818297"/>
    <n v="2734.89990234375"/>
    <x v="846"/>
    <n v="16721307878"/>
    <n v="1.36"/>
  </r>
  <r>
    <n v="848"/>
    <x v="27"/>
    <x v="847"/>
    <x v="0"/>
    <x v="1"/>
    <x v="2"/>
    <x v="52"/>
    <x v="1"/>
    <n v="4.4819998741149902"/>
    <n v="2740.89990234375"/>
    <x v="847"/>
    <n v="38799856657"/>
    <n v="2.91"/>
  </r>
  <r>
    <n v="849"/>
    <x v="27"/>
    <x v="848"/>
    <x v="1"/>
    <x v="1"/>
    <x v="2"/>
    <x v="52"/>
    <x v="1"/>
    <n v="4.4800000190734801"/>
    <n v="2742.89990234375"/>
    <x v="848"/>
    <n v="58541874402"/>
    <n v="4.0199999999999996"/>
  </r>
  <r>
    <n v="850"/>
    <x v="27"/>
    <x v="849"/>
    <x v="2"/>
    <x v="1"/>
    <x v="3"/>
    <x v="69"/>
    <x v="1"/>
    <n v="4.4629998207092196"/>
    <n v="2768.39990234375"/>
    <x v="849"/>
    <n v="40646637831"/>
    <n v="-0.52"/>
  </r>
  <r>
    <n v="851"/>
    <x v="27"/>
    <x v="850"/>
    <x v="3"/>
    <x v="1"/>
    <x v="3"/>
    <x v="69"/>
    <x v="1"/>
    <n v="4.4320001602172798"/>
    <n v="2788.5"/>
    <x v="850"/>
    <n v="40627912076"/>
    <n v="-2.94"/>
  </r>
  <r>
    <n v="852"/>
    <x v="28"/>
    <x v="851"/>
    <x v="4"/>
    <x v="1"/>
    <x v="3"/>
    <x v="57"/>
    <x v="1"/>
    <n v="4.4000000953674299"/>
    <n v="2738.30004882812"/>
    <x v="851"/>
    <n v="49989795365"/>
    <n v="-1.04"/>
  </r>
  <r>
    <n v="853"/>
    <x v="28"/>
    <x v="852"/>
    <x v="5"/>
    <x v="0"/>
    <x v="2"/>
    <x v="52"/>
    <x v="1"/>
    <n v="4.4000000953674299"/>
    <n v="2738.60009765625"/>
    <x v="852"/>
    <n v="18184612091"/>
    <n v="-0.28000000000000003"/>
  </r>
  <r>
    <n v="854"/>
    <x v="28"/>
    <x v="853"/>
    <x v="6"/>
    <x v="0"/>
    <x v="2"/>
    <x v="55"/>
    <x v="1"/>
    <n v="4.4000000953674299"/>
    <n v="2738.30004882812"/>
    <x v="853"/>
    <n v="34868307655"/>
    <n v="-0.79"/>
  </r>
  <r>
    <n v="855"/>
    <x v="28"/>
    <x v="854"/>
    <x v="0"/>
    <x v="1"/>
    <x v="2"/>
    <x v="54"/>
    <x v="1"/>
    <n v="4.4180002212524396"/>
    <n v="2738.60009765625"/>
    <x v="854"/>
    <n v="41184819348"/>
    <n v="-1.35"/>
  </r>
  <r>
    <n v="856"/>
    <x v="28"/>
    <x v="855"/>
    <x v="1"/>
    <x v="1"/>
    <x v="2"/>
    <x v="54"/>
    <x v="1"/>
    <n v="4.4229998588562003"/>
    <n v="2736.10009765625"/>
    <x v="855"/>
    <n v="46046889204"/>
    <n v="2.2799999999999998"/>
  </r>
  <r>
    <n v="857"/>
    <x v="28"/>
    <x v="856"/>
    <x v="2"/>
    <x v="1"/>
    <x v="2"/>
    <x v="54"/>
    <x v="1"/>
    <n v="4.4299998283386204"/>
    <n v="2740.30004882812"/>
    <x v="856"/>
    <n v="118592653963"/>
    <n v="9.0500000000000007"/>
  </r>
  <r>
    <n v="858"/>
    <x v="28"/>
    <x v="857"/>
    <x v="3"/>
    <x v="1"/>
    <x v="3"/>
    <x v="69"/>
    <x v="1"/>
    <n v="4.42000007629394"/>
    <n v="2667.60009765625"/>
    <x v="857"/>
    <n v="63467654989"/>
    <n v="0.35"/>
  </r>
  <r>
    <n v="859"/>
    <x v="28"/>
    <x v="858"/>
    <x v="4"/>
    <x v="1"/>
    <x v="3"/>
    <x v="57"/>
    <x v="1"/>
    <n v="4.4229998588562003"/>
    <n v="2698.39990234375"/>
    <x v="858"/>
    <n v="55176858003"/>
    <n v="0.84"/>
  </r>
  <r>
    <n v="860"/>
    <x v="28"/>
    <x v="859"/>
    <x v="5"/>
    <x v="0"/>
    <x v="3"/>
    <x v="57"/>
    <x v="1"/>
    <n v="4.4229998588562003"/>
    <n v="2687.5"/>
    <x v="859"/>
    <n v="29009480361"/>
    <n v="0.3"/>
  </r>
  <r>
    <n v="861"/>
    <x v="28"/>
    <x v="860"/>
    <x v="6"/>
    <x v="0"/>
    <x v="3"/>
    <x v="61"/>
    <x v="1"/>
    <n v="4.4229998588562003"/>
    <n v="2698.39990234375"/>
    <x v="860"/>
    <n v="82570594495"/>
    <n v="4.8099999999999996"/>
  </r>
  <r>
    <n v="862"/>
    <x v="28"/>
    <x v="861"/>
    <x v="0"/>
    <x v="1"/>
    <x v="3"/>
    <x v="59"/>
    <x v="1"/>
    <n v="4.4149999618530202"/>
    <n v="2687.5"/>
    <x v="861"/>
    <n v="117966845037"/>
    <n v="10.220000000000001"/>
  </r>
  <r>
    <n v="863"/>
    <x v="28"/>
    <x v="862"/>
    <x v="1"/>
    <x v="1"/>
    <x v="3"/>
    <x v="63"/>
    <x v="1"/>
    <n v="4.4229998588562003"/>
    <n v="2611.19995117187"/>
    <x v="862"/>
    <n v="133673285375"/>
    <n v="-0.84"/>
  </r>
  <r>
    <n v="864"/>
    <x v="28"/>
    <x v="863"/>
    <x v="2"/>
    <x v="1"/>
    <x v="3"/>
    <x v="67"/>
    <x v="1"/>
    <n v="4.3899998664855904"/>
    <n v="2600"/>
    <x v="863"/>
    <n v="123559027869"/>
    <n v="2.99"/>
  </r>
  <r>
    <n v="865"/>
    <x v="28"/>
    <x v="864"/>
    <x v="3"/>
    <x v="1"/>
    <x v="3"/>
    <x v="68"/>
    <x v="1"/>
    <n v="4.3829998970031703"/>
    <n v="2580.80004882812"/>
    <x v="864"/>
    <n v="87616705248"/>
    <n v="-3.68"/>
  </r>
  <r>
    <n v="866"/>
    <x v="28"/>
    <x v="865"/>
    <x v="4"/>
    <x v="1"/>
    <x v="3"/>
    <x v="63"/>
    <x v="1"/>
    <n v="4.3930001258850098"/>
    <n v="2568.19995117187"/>
    <x v="865"/>
    <n v="78243109518"/>
    <n v="4.37"/>
  </r>
  <r>
    <n v="867"/>
    <x v="28"/>
    <x v="866"/>
    <x v="5"/>
    <x v="0"/>
    <x v="3"/>
    <x v="71"/>
    <x v="1"/>
    <n v="4.3930001258850098"/>
    <n v="2565.69995117187"/>
    <x v="866"/>
    <n v="44333192814"/>
    <n v="-0.56000000000000005"/>
  </r>
  <r>
    <n v="868"/>
    <x v="28"/>
    <x v="867"/>
    <x v="6"/>
    <x v="0"/>
    <x v="3"/>
    <x v="65"/>
    <x v="1"/>
    <n v="4.3930001258850098"/>
    <n v="2568.19995117187"/>
    <x v="867"/>
    <n v="46350159305"/>
    <n v="-0.79"/>
  </r>
  <r>
    <n v="869"/>
    <x v="28"/>
    <x v="868"/>
    <x v="0"/>
    <x v="1"/>
    <x v="3"/>
    <x v="64"/>
    <x v="1"/>
    <n v="4.4029998779296804"/>
    <n v="2565.69995117187"/>
    <x v="868"/>
    <n v="75535775084"/>
    <n v="0.78"/>
  </r>
  <r>
    <n v="870"/>
    <x v="28"/>
    <x v="869"/>
    <x v="1"/>
    <x v="1"/>
    <x v="3"/>
    <x v="65"/>
    <x v="1"/>
    <n v="4.4079999923706001"/>
    <n v="2610.60009765625"/>
    <x v="869"/>
    <n v="74521048295"/>
    <n v="1.99"/>
  </r>
  <r>
    <n v="871"/>
    <x v="28"/>
    <x v="870"/>
    <x v="2"/>
    <x v="1"/>
    <x v="3"/>
    <x v="64"/>
    <x v="1"/>
    <n v="4.4099998474120996"/>
    <n v="2627.10009765625"/>
    <x v="870"/>
    <n v="71730956426"/>
    <n v="2.16"/>
  </r>
  <r>
    <n v="872"/>
    <x v="28"/>
    <x v="871"/>
    <x v="3"/>
    <x v="1"/>
    <x v="3"/>
    <x v="62"/>
    <x v="1"/>
    <n v="4.4130001068115199"/>
    <n v="2648.19995117187"/>
    <x v="871"/>
    <n v="106024505582"/>
    <n v="4.42"/>
  </r>
  <r>
    <n v="873"/>
    <x v="28"/>
    <x v="872"/>
    <x v="4"/>
    <x v="1"/>
    <x v="3"/>
    <x v="72"/>
    <x v="1"/>
    <n v="4.4149999618530202"/>
    <n v="2672.10009765625"/>
    <x v="872"/>
    <n v="78473580551"/>
    <n v="0.5"/>
  </r>
  <r>
    <n v="874"/>
    <x v="28"/>
    <x v="873"/>
    <x v="5"/>
    <x v="0"/>
    <x v="3"/>
    <x v="73"/>
    <x v="1"/>
    <n v="4.4149999618530202"/>
    <n v="2709.89990234375"/>
    <x v="873"/>
    <n v="44414644677"/>
    <n v="-1.23"/>
  </r>
  <r>
    <n v="875"/>
    <x v="28"/>
    <x v="874"/>
    <x v="6"/>
    <x v="0"/>
    <x v="3"/>
    <x v="63"/>
    <x v="1"/>
    <n v="4.4149999618530202"/>
    <n v="2672.10009765625"/>
    <x v="874"/>
    <n v="51712020623"/>
    <n v="0.24"/>
  </r>
  <r>
    <n v="876"/>
    <x v="28"/>
    <x v="875"/>
    <x v="0"/>
    <x v="1"/>
    <x v="3"/>
    <x v="62"/>
    <x v="1"/>
    <n v="4.4050002098083496"/>
    <n v="2709.89990234375"/>
    <x v="875"/>
    <n v="80909462490"/>
    <n v="-5.01"/>
  </r>
  <r>
    <n v="877"/>
    <x v="28"/>
    <x v="876"/>
    <x v="1"/>
    <x v="1"/>
    <x v="3"/>
    <x v="60"/>
    <x v="1"/>
    <n v="4.3949999809265101"/>
    <n v="2616.80004882812"/>
    <x v="876"/>
    <n v="91656519855"/>
    <n v="-1.2"/>
  </r>
  <r>
    <n v="878"/>
    <x v="28"/>
    <x v="877"/>
    <x v="2"/>
    <x v="1"/>
    <x v="3"/>
    <x v="57"/>
    <x v="1"/>
    <n v="4.3850002288818297"/>
    <n v="2620.30004882812"/>
    <x v="877"/>
    <n v="71133452438"/>
    <n v="4.32"/>
  </r>
  <r>
    <n v="879"/>
    <x v="28"/>
    <x v="878"/>
    <x v="3"/>
    <x v="1"/>
    <x v="3"/>
    <x v="69"/>
    <x v="1"/>
    <n v="4.3850002288818297"/>
    <n v="2639.89990234375"/>
    <x v="878"/>
    <n v="52260008261"/>
    <n v="-0.32"/>
  </r>
  <r>
    <n v="880"/>
    <x v="28"/>
    <x v="879"/>
    <x v="4"/>
    <x v="1"/>
    <x v="3"/>
    <x v="61"/>
    <x v="1"/>
    <n v="4.3730001449584899"/>
    <n v="2620.30004882812"/>
    <x v="879"/>
    <n v="54968682476"/>
    <n v="1.89"/>
  </r>
  <r>
    <n v="881"/>
    <x v="28"/>
    <x v="880"/>
    <x v="5"/>
    <x v="0"/>
    <x v="3"/>
    <x v="67"/>
    <x v="1"/>
    <n v="4.3730001449584899"/>
    <n v="2657"/>
    <x v="880"/>
    <n v="31634227866"/>
    <n v="-1.04"/>
  </r>
  <r>
    <n v="882"/>
    <x v="29"/>
    <x v="881"/>
    <x v="6"/>
    <x v="0"/>
    <x v="3"/>
    <x v="66"/>
    <x v="1"/>
    <n v="4.3730001449584899"/>
    <n v="2620.30004882812"/>
    <x v="881"/>
    <n v="36590695296"/>
    <n v="0.86"/>
  </r>
  <r>
    <n v="883"/>
    <x v="29"/>
    <x v="882"/>
    <x v="0"/>
    <x v="1"/>
    <x v="3"/>
    <x v="63"/>
    <x v="1"/>
    <n v="4.38000011444091"/>
    <n v="2657"/>
    <x v="882"/>
    <n v="72680784305"/>
    <n v="-1.45"/>
  </r>
  <r>
    <n v="884"/>
    <x v="29"/>
    <x v="883"/>
    <x v="1"/>
    <x v="1"/>
    <x v="3"/>
    <x v="59"/>
    <x v="1"/>
    <n v="4.3569998741149902"/>
    <n v="2634.89990234375"/>
    <x v="883"/>
    <n v="67067810961"/>
    <n v="0.14000000000000001"/>
  </r>
  <r>
    <n v="885"/>
    <x v="29"/>
    <x v="884"/>
    <x v="2"/>
    <x v="1"/>
    <x v="3"/>
    <x v="61"/>
    <x v="1"/>
    <n v="4.3449997901916504"/>
    <n v="2644.69995117187"/>
    <x v="884"/>
    <n v="77199817112"/>
    <n v="2.88"/>
  </r>
  <r>
    <n v="886"/>
    <x v="29"/>
    <x v="885"/>
    <x v="3"/>
    <x v="1"/>
    <x v="3"/>
    <x v="67"/>
    <x v="1"/>
    <n v="4.3299999237060502"/>
    <n v="2653.80004882812"/>
    <x v="885"/>
    <n v="149218945580"/>
    <n v="-2.2000000000000002"/>
  </r>
  <r>
    <n v="887"/>
    <x v="29"/>
    <x v="886"/>
    <x v="4"/>
    <x v="1"/>
    <x v="2"/>
    <x v="52"/>
    <x v="1"/>
    <n v="4.29500007629394"/>
    <n v="2626.60009765625"/>
    <x v="886"/>
    <n v="94534772658"/>
    <n v="3.44"/>
  </r>
  <r>
    <n v="888"/>
    <x v="29"/>
    <x v="887"/>
    <x v="5"/>
    <x v="0"/>
    <x v="3"/>
    <x v="57"/>
    <x v="1"/>
    <n v="4.29500007629394"/>
    <n v="2638.60009765625"/>
    <x v="887"/>
    <n v="44177510897"/>
    <n v="0"/>
  </r>
  <r>
    <n v="889"/>
    <x v="29"/>
    <x v="888"/>
    <x v="6"/>
    <x v="0"/>
    <x v="3"/>
    <x v="60"/>
    <x v="1"/>
    <n v="4.29500007629394"/>
    <n v="2626.60009765625"/>
    <x v="888"/>
    <n v="44125751925"/>
    <n v="1.31"/>
  </r>
  <r>
    <n v="890"/>
    <x v="29"/>
    <x v="889"/>
    <x v="0"/>
    <x v="1"/>
    <x v="3"/>
    <x v="61"/>
    <x v="1"/>
    <n v="4.2930002212524396"/>
    <n v="2638.60009765625"/>
    <x v="889"/>
    <n v="110676473908"/>
    <n v="-3.76"/>
  </r>
  <r>
    <n v="891"/>
    <x v="29"/>
    <x v="890"/>
    <x v="1"/>
    <x v="1"/>
    <x v="3"/>
    <x v="61"/>
    <x v="1"/>
    <n v="4.2849998474120996"/>
    <n v="2664.89990234375"/>
    <x v="890"/>
    <n v="104823780634"/>
    <n v="-0.78"/>
  </r>
  <r>
    <n v="892"/>
    <x v="29"/>
    <x v="891"/>
    <x v="2"/>
    <x v="1"/>
    <x v="2"/>
    <x v="55"/>
    <x v="1"/>
    <n v="4.25500011444091"/>
    <n v="2697.60009765625"/>
    <x v="891"/>
    <n v="85391409936"/>
    <n v="4.6500000000000004"/>
  </r>
  <r>
    <n v="893"/>
    <x v="29"/>
    <x v="892"/>
    <x v="3"/>
    <x v="1"/>
    <x v="3"/>
    <x v="64"/>
    <x v="1"/>
    <n v="4.22300004959106"/>
    <n v="2733.80004882812"/>
    <x v="892"/>
    <n v="72073983533"/>
    <n v="-1.1200000000000001"/>
  </r>
  <r>
    <n v="894"/>
    <x v="29"/>
    <x v="893"/>
    <x v="4"/>
    <x v="1"/>
    <x v="3"/>
    <x v="59"/>
    <x v="1"/>
    <n v="4.2179999351501403"/>
    <n v="2687.5"/>
    <x v="893"/>
    <n v="56894751583"/>
    <n v="1.42"/>
  </r>
  <r>
    <n v="895"/>
    <x v="29"/>
    <x v="894"/>
    <x v="5"/>
    <x v="0"/>
    <x v="3"/>
    <x v="64"/>
    <x v="1"/>
    <n v="4.2179999351501403"/>
    <n v="2656"/>
    <x v="894"/>
    <n v="40422968793"/>
    <n v="-0.09"/>
  </r>
  <r>
    <n v="896"/>
    <x v="29"/>
    <x v="895"/>
    <x v="6"/>
    <x v="0"/>
    <x v="3"/>
    <x v="63"/>
    <x v="1"/>
    <n v="4.2179999351501403"/>
    <n v="2687.5"/>
    <x v="895"/>
    <n v="51145914137"/>
    <n v="2.89"/>
  </r>
  <r>
    <n v="897"/>
    <x v="29"/>
    <x v="896"/>
    <x v="0"/>
    <x v="1"/>
    <x v="3"/>
    <x v="64"/>
    <x v="1"/>
    <n v="4.2280001640319798"/>
    <n v="2656"/>
    <x v="896"/>
    <n v="91020417816"/>
    <n v="1.66"/>
  </r>
  <r>
    <n v="898"/>
    <x v="29"/>
    <x v="897"/>
    <x v="1"/>
    <x v="1"/>
    <x v="3"/>
    <x v="74"/>
    <x v="1"/>
    <n v="4.2399997711181596"/>
    <n v="2651.39990234375"/>
    <x v="897"/>
    <n v="68589364868"/>
    <n v="0.1"/>
  </r>
  <r>
    <n v="899"/>
    <x v="29"/>
    <x v="898"/>
    <x v="2"/>
    <x v="1"/>
    <x v="3"/>
    <x v="66"/>
    <x v="1"/>
    <n v="4.2319998741149902"/>
    <n v="2644.39990234375"/>
    <x v="898"/>
    <n v="93865656139"/>
    <n v="-5.75"/>
  </r>
  <r>
    <n v="900"/>
    <x v="29"/>
    <x v="899"/>
    <x v="3"/>
    <x v="1"/>
    <x v="3"/>
    <x v="57"/>
    <x v="1"/>
    <n v="4.2199997901916504"/>
    <n v="2636.5"/>
    <x v="899"/>
    <n v="97221662392"/>
    <n v="-2.5499999999999998"/>
  </r>
  <r>
    <n v="901"/>
    <x v="29"/>
    <x v="900"/>
    <x v="4"/>
    <x v="1"/>
    <x v="2"/>
    <x v="55"/>
    <x v="1"/>
    <n v="4.2150001525878897"/>
    <n v="2592.19995117187"/>
    <x v="900"/>
    <n v="105634083408"/>
    <n v="0.27"/>
  </r>
  <r>
    <n v="902"/>
    <x v="29"/>
    <x v="901"/>
    <x v="5"/>
    <x v="0"/>
    <x v="2"/>
    <x v="56"/>
    <x v="1"/>
    <n v="4.2150001525878897"/>
    <n v="2628.69995117187"/>
    <x v="901"/>
    <n v="51765334294"/>
    <n v="-0.54"/>
  </r>
  <r>
    <n v="903"/>
    <x v="29"/>
    <x v="902"/>
    <x v="6"/>
    <x v="0"/>
    <x v="2"/>
    <x v="56"/>
    <x v="1"/>
    <n v="4.2150001525878897"/>
    <n v="2592.19995117187"/>
    <x v="902"/>
    <n v="43147981314"/>
    <n v="-2.1800000000000002"/>
  </r>
  <r>
    <n v="904"/>
    <x v="29"/>
    <x v="903"/>
    <x v="0"/>
    <x v="1"/>
    <x v="2"/>
    <x v="54"/>
    <x v="1"/>
    <n v="4.2150001525878897"/>
    <n v="2628.69995117187"/>
    <x v="903"/>
    <n v="65239002919"/>
    <n v="-0.44"/>
  </r>
  <r>
    <n v="905"/>
    <x v="29"/>
    <x v="904"/>
    <x v="1"/>
    <x v="1"/>
    <x v="2"/>
    <x v="56"/>
    <x v="1"/>
    <n v="4.1999998092651296"/>
    <n v="2612.30004882812"/>
    <x v="904"/>
    <n v="47114953674"/>
    <n v="4.21"/>
  </r>
  <r>
    <n v="906"/>
    <x v="29"/>
    <x v="905"/>
    <x v="2"/>
    <x v="1"/>
    <x v="2"/>
    <x v="56"/>
    <x v="1"/>
    <n v="4.1999998092651296"/>
    <n v="2620"/>
    <x v="905"/>
    <n v="33700394629"/>
    <n v="0.63"/>
  </r>
  <r>
    <n v="907"/>
    <x v="29"/>
    <x v="906"/>
    <x v="3"/>
    <x v="1"/>
    <x v="3"/>
    <x v="60"/>
    <x v="1"/>
    <n v="4.2150001525878897"/>
    <n v="2612.30004882812"/>
    <x v="906"/>
    <n v="47054980873"/>
    <n v="-3.53"/>
  </r>
  <r>
    <n v="908"/>
    <x v="29"/>
    <x v="907"/>
    <x v="4"/>
    <x v="1"/>
    <x v="2"/>
    <x v="55"/>
    <x v="1"/>
    <n v="4.1779999732971103"/>
    <n v="2638.80004882812"/>
    <x v="907"/>
    <n v="52419934565"/>
    <n v="-1.7"/>
  </r>
  <r>
    <n v="909"/>
    <x v="29"/>
    <x v="908"/>
    <x v="5"/>
    <x v="0"/>
    <x v="2"/>
    <x v="52"/>
    <x v="1"/>
    <n v="4.1779999732971103"/>
    <n v="2617.19995117187"/>
    <x v="908"/>
    <n v="24107436185"/>
    <n v="1.06"/>
  </r>
  <r>
    <n v="910"/>
    <x v="29"/>
    <x v="909"/>
    <x v="6"/>
    <x v="0"/>
    <x v="2"/>
    <x v="56"/>
    <x v="1"/>
    <n v="4.1779999732971103"/>
    <n v="2638.80004882812"/>
    <x v="909"/>
    <n v="29635885267"/>
    <n v="-1.72"/>
  </r>
  <r>
    <n v="911"/>
    <x v="29"/>
    <x v="910"/>
    <x v="0"/>
    <x v="1"/>
    <x v="2"/>
    <x v="48"/>
    <x v="1"/>
    <n v="4.1820001602172798"/>
    <n v="2617.19995117187"/>
    <x v="910"/>
    <n v="56188003691"/>
    <n v="-0.95"/>
  </r>
  <r>
    <n v="912"/>
    <x v="29"/>
    <x v="911"/>
    <x v="1"/>
    <x v="1"/>
    <x v="2"/>
    <x v="43"/>
    <x v="1"/>
    <n v="4.2080001831054599"/>
    <n v="2606.10009765625"/>
    <x v="911"/>
    <n v="43625106843"/>
    <n v="0.85"/>
  </r>
  <r>
    <n v="913"/>
    <x v="30"/>
    <x v="912"/>
    <x v="2"/>
    <x v="1"/>
    <x v="2"/>
    <x v="45"/>
    <x v="1"/>
    <n v="4.2080001831054599"/>
    <n v="2629.19995117187"/>
    <x v="912"/>
    <n v="24519888919"/>
    <n v="1.06"/>
  </r>
  <r>
    <n v="914"/>
    <x v="30"/>
    <x v="913"/>
    <x v="3"/>
    <x v="1"/>
    <x v="2"/>
    <x v="54"/>
    <x v="1"/>
    <n v="4.2080001831054599"/>
    <n v="2606.10009765625"/>
    <x v="913"/>
    <n v="46009564411"/>
    <n v="2.61"/>
  </r>
  <r>
    <n v="915"/>
    <x v="30"/>
    <x v="914"/>
    <x v="4"/>
    <x v="1"/>
    <x v="2"/>
    <x v="55"/>
    <x v="1"/>
    <n v="4.1929998397827104"/>
    <n v="2658.89990234375"/>
    <x v="914"/>
    <n v="35611391163"/>
    <n v="1.26"/>
  </r>
  <r>
    <n v="916"/>
    <x v="30"/>
    <x v="915"/>
    <x v="5"/>
    <x v="0"/>
    <x v="2"/>
    <x v="56"/>
    <x v="1"/>
    <n v="4.1929998397827104"/>
    <n v="2645"/>
    <x v="915"/>
    <n v="22342608078"/>
    <n v="0.13"/>
  </r>
  <r>
    <n v="917"/>
    <x v="30"/>
    <x v="916"/>
    <x v="6"/>
    <x v="0"/>
    <x v="2"/>
    <x v="52"/>
    <x v="18"/>
    <n v="4.1929998397827104"/>
    <n v="2658.89990234375"/>
    <x v="916"/>
    <n v="20525254825"/>
    <n v="0.08"/>
  </r>
  <r>
    <n v="918"/>
    <x v="30"/>
    <x v="917"/>
    <x v="0"/>
    <x v="1"/>
    <x v="3"/>
    <x v="59"/>
    <x v="1"/>
    <n v="4.1900000572204501"/>
    <n v="2645"/>
    <x v="917"/>
    <n v="51823432705"/>
    <n v="3.83"/>
  </r>
  <r>
    <n v="919"/>
    <x v="30"/>
    <x v="918"/>
    <x v="1"/>
    <x v="1"/>
    <x v="3"/>
    <x v="61"/>
    <x v="1"/>
    <n v="4.2030000686645499"/>
    <n v="2638.39990234375"/>
    <x v="918"/>
    <n v="58685738547"/>
    <n v="-5.05"/>
  </r>
  <r>
    <n v="920"/>
    <x v="30"/>
    <x v="919"/>
    <x v="2"/>
    <x v="1"/>
    <x v="2"/>
    <x v="54"/>
    <x v="1"/>
    <n v="4.2049999237060502"/>
    <n v="2656.69995117187"/>
    <x v="919"/>
    <n v="63875859171"/>
    <n v="-1.94"/>
  </r>
  <r>
    <n v="921"/>
    <x v="30"/>
    <x v="920"/>
    <x v="3"/>
    <x v="1"/>
    <x v="2"/>
    <x v="49"/>
    <x v="1"/>
    <n v="4.2049999237060502"/>
    <n v="2664.5"/>
    <x v="920"/>
    <n v="62777261693"/>
    <n v="-2.69"/>
  </r>
  <r>
    <n v="922"/>
    <x v="30"/>
    <x v="921"/>
    <x v="4"/>
    <x v="1"/>
    <x v="2"/>
    <x v="32"/>
    <x v="1"/>
    <n v="4.2129998207092196"/>
    <n v="2683.80004882812"/>
    <x v="921"/>
    <n v="62058693684"/>
    <n v="2.4"/>
  </r>
  <r>
    <n v="923"/>
    <x v="30"/>
    <x v="922"/>
    <x v="5"/>
    <x v="0"/>
    <x v="2"/>
    <x v="49"/>
    <x v="1"/>
    <n v="4.2129998207092196"/>
    <n v="2708.5"/>
    <x v="922"/>
    <n v="18860894100"/>
    <n v="-0.14000000000000001"/>
  </r>
  <r>
    <n v="924"/>
    <x v="30"/>
    <x v="923"/>
    <x v="6"/>
    <x v="0"/>
    <x v="2"/>
    <x v="41"/>
    <x v="1"/>
    <n v="4.2129998207092196"/>
    <n v="2683.80004882812"/>
    <x v="923"/>
    <n v="20885130965"/>
    <n v="-0.08"/>
  </r>
  <r>
    <n v="925"/>
    <x v="30"/>
    <x v="924"/>
    <x v="0"/>
    <x v="1"/>
    <x v="2"/>
    <x v="35"/>
    <x v="1"/>
    <n v="4.2179999351501403"/>
    <n v="2708.5"/>
    <x v="924"/>
    <n v="72978998252"/>
    <n v="0.03"/>
  </r>
  <r>
    <n v="926"/>
    <x v="30"/>
    <x v="925"/>
    <x v="1"/>
    <x v="1"/>
    <x v="2"/>
    <x v="44"/>
    <x v="1"/>
    <n v="4.2129998207092196"/>
    <n v="2673.5"/>
    <x v="925"/>
    <n v="53769675818"/>
    <n v="2.13"/>
  </r>
  <r>
    <n v="927"/>
    <x v="30"/>
    <x v="926"/>
    <x v="2"/>
    <x v="1"/>
    <x v="2"/>
    <x v="54"/>
    <x v="1"/>
    <n v="4.2049999237060502"/>
    <n v="2677.5"/>
    <x v="926"/>
    <n v="57805923627"/>
    <n v="4.1100000000000003"/>
  </r>
  <r>
    <n v="928"/>
    <x v="30"/>
    <x v="927"/>
    <x v="3"/>
    <x v="1"/>
    <x v="3"/>
    <x v="57"/>
    <x v="1"/>
    <n v="4.1950001716613698"/>
    <n v="2712.5"/>
    <x v="927"/>
    <n v="54103781805"/>
    <n v="-0.74"/>
  </r>
  <r>
    <n v="929"/>
    <x v="30"/>
    <x v="928"/>
    <x v="4"/>
    <x v="1"/>
    <x v="3"/>
    <x v="57"/>
    <x v="1"/>
    <n v="4.1929998397827104"/>
    <n v="2746.39990234375"/>
    <x v="928"/>
    <n v="71888972663"/>
    <n v="4.72"/>
  </r>
  <r>
    <n v="930"/>
    <x v="30"/>
    <x v="929"/>
    <x v="5"/>
    <x v="0"/>
    <x v="3"/>
    <x v="69"/>
    <x v="1"/>
    <n v="4.1929998397827104"/>
    <n v="2744.30004882812"/>
    <x v="929"/>
    <n v="50445655726"/>
    <n v="-0.05"/>
  </r>
  <r>
    <n v="931"/>
    <x v="30"/>
    <x v="930"/>
    <x v="6"/>
    <x v="0"/>
    <x v="3"/>
    <x v="69"/>
    <x v="1"/>
    <n v="4.1929998397827104"/>
    <n v="2746.39990234375"/>
    <x v="930"/>
    <n v="76789928525"/>
    <n v="-3.18"/>
  </r>
  <r>
    <n v="932"/>
    <x v="30"/>
    <x v="931"/>
    <x v="0"/>
    <x v="1"/>
    <x v="3"/>
    <x v="59"/>
    <x v="1"/>
    <n v="4.1929998397827104"/>
    <n v="2744.30004882812"/>
    <x v="931"/>
    <n v="126279678351"/>
    <n v="0.92"/>
  </r>
  <r>
    <n v="933"/>
    <x v="30"/>
    <x v="932"/>
    <x v="1"/>
    <x v="1"/>
    <x v="3"/>
    <x v="59"/>
    <x v="1"/>
    <n v="4.19700002670288"/>
    <n v="2746.39990234375"/>
    <x v="932"/>
    <n v="88733878242"/>
    <n v="4.05"/>
  </r>
  <r>
    <n v="934"/>
    <x v="30"/>
    <x v="933"/>
    <x v="2"/>
    <x v="1"/>
    <x v="3"/>
    <x v="67"/>
    <x v="1"/>
    <n v="4.2150001525878897"/>
    <n v="2755"/>
    <x v="933"/>
    <n v="53878181052"/>
    <n v="-2.35"/>
  </r>
  <r>
    <n v="935"/>
    <x v="30"/>
    <x v="934"/>
    <x v="3"/>
    <x v="1"/>
    <x v="3"/>
    <x v="57"/>
    <x v="1"/>
    <n v="4.2129998207092196"/>
    <n v="2767.60009765625"/>
    <x v="934"/>
    <n v="104104515428"/>
    <n v="0.3"/>
  </r>
  <r>
    <n v="936"/>
    <x v="30"/>
    <x v="935"/>
    <x v="4"/>
    <x v="1"/>
    <x v="3"/>
    <x v="57"/>
    <x v="1"/>
    <n v="4.2049999237060502"/>
    <n v="2763.10009765625"/>
    <x v="935"/>
    <n v="52388229265"/>
    <n v="0.83"/>
  </r>
  <r>
    <n v="937"/>
    <x v="30"/>
    <x v="936"/>
    <x v="5"/>
    <x v="0"/>
    <x v="3"/>
    <x v="57"/>
    <x v="1"/>
    <n v="4.2049999237060502"/>
    <n v="2777.30004882812"/>
    <x v="936"/>
    <n v="23888996502"/>
    <n v="-0.1"/>
  </r>
  <r>
    <n v="938"/>
    <x v="30"/>
    <x v="937"/>
    <x v="6"/>
    <x v="0"/>
    <x v="2"/>
    <x v="56"/>
    <x v="1"/>
    <n v="4.2049999237060502"/>
    <n v="2763.10009765625"/>
    <x v="937"/>
    <n v="22543395879"/>
    <n v="-1.94"/>
  </r>
  <r>
    <n v="939"/>
    <x v="30"/>
    <x v="938"/>
    <x v="0"/>
    <x v="1"/>
    <x v="2"/>
    <x v="53"/>
    <x v="1"/>
    <n v="4.1880002021789497"/>
    <n v="2777.30004882812"/>
    <x v="938"/>
    <n v="89006608428"/>
    <n v="-0.57999999999999996"/>
  </r>
  <r>
    <n v="940"/>
    <x v="30"/>
    <x v="939"/>
    <x v="1"/>
    <x v="1"/>
    <x v="2"/>
    <x v="52"/>
    <x v="1"/>
    <n v="4.1900000572204501"/>
    <n v="2737.5"/>
    <x v="939"/>
    <n v="47180685494"/>
    <n v="-0.74"/>
  </r>
  <r>
    <n v="941"/>
    <x v="30"/>
    <x v="940"/>
    <x v="2"/>
    <x v="1"/>
    <x v="2"/>
    <x v="52"/>
    <x v="1"/>
    <n v="4.1880002021789497"/>
    <n v="2766.80004882812"/>
    <x v="940"/>
    <n v="47432049818"/>
    <n v="2.34"/>
  </r>
  <r>
    <n v="942"/>
    <x v="30"/>
    <x v="941"/>
    <x v="3"/>
    <x v="1"/>
    <x v="2"/>
    <x v="54"/>
    <x v="1"/>
    <n v="4.1820001602172798"/>
    <n v="2769.10009765625"/>
    <x v="941"/>
    <n v="41915744521"/>
    <n v="1"/>
  </r>
  <r>
    <n v="943"/>
    <x v="30"/>
    <x v="942"/>
    <x v="4"/>
    <x v="1"/>
    <x v="3"/>
    <x v="59"/>
    <x v="1"/>
    <n v="4.1880002021789497"/>
    <n v="2823"/>
    <x v="942"/>
    <n v="45732764360"/>
    <n v="-2.2200000000000002"/>
  </r>
  <r>
    <n v="944"/>
    <x v="31"/>
    <x v="943"/>
    <x v="5"/>
    <x v="0"/>
    <x v="2"/>
    <x v="46"/>
    <x v="1"/>
    <n v="4.1880002021789497"/>
    <n v="2812.5"/>
    <x v="943"/>
    <n v="27757944848"/>
    <n v="-1.71"/>
  </r>
  <r>
    <n v="945"/>
    <x v="31"/>
    <x v="944"/>
    <x v="6"/>
    <x v="0"/>
    <x v="2"/>
    <x v="37"/>
    <x v="1"/>
    <n v="4.1880002021789497"/>
    <n v="2823"/>
    <x v="944"/>
    <n v="63091816853"/>
    <n v="-2.95"/>
  </r>
  <r>
    <n v="946"/>
    <x v="31"/>
    <x v="945"/>
    <x v="0"/>
    <x v="1"/>
    <x v="1"/>
    <x v="22"/>
    <x v="1"/>
    <n v="4.1900000572204501"/>
    <n v="2812.5"/>
    <x v="945"/>
    <n v="115400897748"/>
    <n v="3.8"/>
  </r>
  <r>
    <n v="947"/>
    <x v="31"/>
    <x v="946"/>
    <x v="1"/>
    <x v="1"/>
    <x v="2"/>
    <x v="52"/>
    <x v="1"/>
    <n v="4.2129998207092196"/>
    <n v="2833.89990234375"/>
    <x v="946"/>
    <n v="73002130211"/>
    <n v="-3.48"/>
  </r>
  <r>
    <n v="948"/>
    <x v="31"/>
    <x v="947"/>
    <x v="2"/>
    <x v="1"/>
    <x v="2"/>
    <x v="33"/>
    <x v="1"/>
    <n v="4.21000003814697"/>
    <n v="2853.30004882812"/>
    <x v="947"/>
    <n v="49125911241"/>
    <n v="-1.28"/>
  </r>
  <r>
    <n v="949"/>
    <x v="31"/>
    <x v="948"/>
    <x v="3"/>
    <x v="1"/>
    <x v="1"/>
    <x v="40"/>
    <x v="1"/>
    <n v="4.2129998207092196"/>
    <n v="2871.60009765625"/>
    <x v="948"/>
    <n v="45302471947"/>
    <n v="-0.02"/>
  </r>
  <r>
    <n v="950"/>
    <x v="31"/>
    <x v="949"/>
    <x v="4"/>
    <x v="1"/>
    <x v="1"/>
    <x v="22"/>
    <x v="1"/>
    <n v="4.2280001640319798"/>
    <n v="2856"/>
    <x v="949"/>
    <n v="55741290456"/>
    <n v="-7.0000000000000007E-2"/>
  </r>
  <r>
    <n v="951"/>
    <x v="31"/>
    <x v="950"/>
    <x v="5"/>
    <x v="0"/>
    <x v="1"/>
    <x v="22"/>
    <x v="1"/>
    <n v="4.2280001640319798"/>
    <n v="2867.30004882812"/>
    <x v="950"/>
    <n v="22447526395"/>
    <n v="-0.05"/>
  </r>
  <r>
    <n v="952"/>
    <x v="31"/>
    <x v="951"/>
    <x v="6"/>
    <x v="0"/>
    <x v="1"/>
    <x v="19"/>
    <x v="1"/>
    <n v="4.2280001640319798"/>
    <n v="2856"/>
    <x v="951"/>
    <n v="27732901800"/>
    <n v="0.02"/>
  </r>
  <r>
    <n v="953"/>
    <x v="31"/>
    <x v="952"/>
    <x v="0"/>
    <x v="1"/>
    <x v="1"/>
    <x v="51"/>
    <x v="1"/>
    <n v="4.2280001640319798"/>
    <n v="2867.30004882812"/>
    <x v="952"/>
    <n v="40078962391"/>
    <n v="0.97"/>
  </r>
  <r>
    <n v="954"/>
    <x v="31"/>
    <x v="953"/>
    <x v="1"/>
    <x v="1"/>
    <x v="1"/>
    <x v="20"/>
    <x v="1"/>
    <n v="4.2249999046325604"/>
    <n v="2914.30004882812"/>
    <x v="953"/>
    <n v="37488783272"/>
    <n v="-1.73"/>
  </r>
  <r>
    <n v="955"/>
    <x v="31"/>
    <x v="954"/>
    <x v="2"/>
    <x v="1"/>
    <x v="1"/>
    <x v="19"/>
    <x v="1"/>
    <n v="4.2280001640319798"/>
    <n v="2912.5"/>
    <x v="954"/>
    <n v="49340445530"/>
    <n v="2.23"/>
  </r>
  <r>
    <n v="956"/>
    <x v="31"/>
    <x v="955"/>
    <x v="3"/>
    <x v="1"/>
    <x v="2"/>
    <x v="32"/>
    <x v="1"/>
    <n v="4.2129998207092196"/>
    <n v="2909"/>
    <x v="955"/>
    <n v="37147280860"/>
    <n v="-1.29"/>
  </r>
  <r>
    <n v="957"/>
    <x v="31"/>
    <x v="956"/>
    <x v="4"/>
    <x v="1"/>
    <x v="1"/>
    <x v="39"/>
    <x v="1"/>
    <n v="4.2129998207092196"/>
    <n v="2925.89990234375"/>
    <x v="956"/>
    <n v="32697987277"/>
    <n v="0.92"/>
  </r>
  <r>
    <n v="958"/>
    <x v="31"/>
    <x v="957"/>
    <x v="5"/>
    <x v="0"/>
    <x v="2"/>
    <x v="32"/>
    <x v="1"/>
    <n v="4.2129998207092196"/>
    <n v="2883.60009765625"/>
    <x v="957"/>
    <n v="17047266288"/>
    <n v="7.0000000000000007E-2"/>
  </r>
  <r>
    <n v="959"/>
    <x v="31"/>
    <x v="958"/>
    <x v="6"/>
    <x v="0"/>
    <x v="2"/>
    <x v="33"/>
    <x v="1"/>
    <n v="4.2129998207092196"/>
    <n v="2925.89990234375"/>
    <x v="958"/>
    <n v="16536755396"/>
    <n v="-1.44"/>
  </r>
  <r>
    <n v="960"/>
    <x v="31"/>
    <x v="959"/>
    <x v="0"/>
    <x v="1"/>
    <x v="2"/>
    <x v="30"/>
    <x v="1"/>
    <n v="4.2129998207092196"/>
    <n v="2883.60009765625"/>
    <x v="959"/>
    <n v="27336550690"/>
    <n v="-0.42"/>
  </r>
  <r>
    <n v="961"/>
    <x v="31"/>
    <x v="960"/>
    <x v="1"/>
    <x v="1"/>
    <x v="1"/>
    <x v="20"/>
    <x v="1"/>
    <n v="4.2129998207092196"/>
    <n v="2925.89990234375"/>
    <x v="960"/>
    <n v="37325720482"/>
    <n v="-0.24"/>
  </r>
  <r>
    <n v="962"/>
    <x v="31"/>
    <x v="961"/>
    <x v="2"/>
    <x v="1"/>
    <x v="1"/>
    <x v="22"/>
    <x v="1"/>
    <n v="4.2179999351501403"/>
    <n v="2931.60009765625"/>
    <x v="961"/>
    <n v="28990872862"/>
    <n v="1.1499999999999999"/>
  </r>
  <r>
    <n v="963"/>
    <x v="31"/>
    <x v="962"/>
    <x v="3"/>
    <x v="1"/>
    <x v="1"/>
    <x v="40"/>
    <x v="1"/>
    <n v="4.2049999237060502"/>
    <n v="2919.39990234375"/>
    <x v="962"/>
    <n v="31668022771"/>
    <n v="1.76"/>
  </r>
  <r>
    <n v="964"/>
    <x v="31"/>
    <x v="963"/>
    <x v="4"/>
    <x v="1"/>
    <x v="2"/>
    <x v="34"/>
    <x v="1"/>
    <n v="4.19700002670288"/>
    <n v="2940"/>
    <x v="963"/>
    <n v="49608706470"/>
    <n v="-2.25"/>
  </r>
  <r>
    <n v="965"/>
    <x v="31"/>
    <x v="964"/>
    <x v="5"/>
    <x v="0"/>
    <x v="1"/>
    <x v="40"/>
    <x v="1"/>
    <n v="4.19700002670288"/>
    <n v="2937.60009765625"/>
    <x v="964"/>
    <n v="18353824477"/>
    <n v="0.47"/>
  </r>
  <r>
    <n v="966"/>
    <x v="31"/>
    <x v="965"/>
    <x v="6"/>
    <x v="0"/>
    <x v="2"/>
    <x v="32"/>
    <x v="1"/>
    <n v="4.19700002670288"/>
    <n v="2940"/>
    <x v="965"/>
    <n v="16999478976"/>
    <n v="-0.31"/>
  </r>
  <r>
    <n v="967"/>
    <x v="31"/>
    <x v="966"/>
    <x v="0"/>
    <x v="1"/>
    <x v="1"/>
    <x v="40"/>
    <x v="1"/>
    <n v="4.1900000572204501"/>
    <n v="2937.60009765625"/>
    <x v="966"/>
    <n v="44046480529"/>
    <n v="-5.04"/>
  </r>
  <r>
    <n v="968"/>
    <x v="31"/>
    <x v="967"/>
    <x v="1"/>
    <x v="1"/>
    <x v="1"/>
    <x v="25"/>
    <x v="1"/>
    <n v="4.1820001602172798"/>
    <n v="2947.89990234375"/>
    <x v="967"/>
    <n v="92139104128"/>
    <n v="-2.93"/>
  </r>
  <r>
    <n v="969"/>
    <x v="31"/>
    <x v="968"/>
    <x v="2"/>
    <x v="1"/>
    <x v="0"/>
    <x v="8"/>
    <x v="1"/>
    <n v="4.1929998397827104"/>
    <n v="2904.5"/>
    <x v="968"/>
    <n v="64597492134"/>
    <n v="-4.95"/>
  </r>
  <r>
    <n v="970"/>
    <x v="31"/>
    <x v="969"/>
    <x v="3"/>
    <x v="1"/>
    <x v="0"/>
    <x v="75"/>
    <x v="1"/>
    <n v="4.1950001716613698"/>
    <n v="2916.80004882812"/>
    <x v="969"/>
    <n v="52659591954"/>
    <n v="0.42"/>
  </r>
  <r>
    <n v="971"/>
    <x v="31"/>
    <x v="970"/>
    <x v="4"/>
    <x v="1"/>
    <x v="0"/>
    <x v="6"/>
    <x v="1"/>
    <n v="4.1929998397827104"/>
    <n v="2883.19995117187"/>
    <x v="970"/>
    <n v="83610570576"/>
    <n v="-0.39"/>
  </r>
  <r>
    <n v="972"/>
    <x v="32"/>
    <x v="971"/>
    <x v="5"/>
    <x v="0"/>
    <x v="0"/>
    <x v="3"/>
    <x v="19"/>
    <n v="4.1929998397827104"/>
    <n v="2836.80004882812"/>
    <x v="971"/>
    <n v="29190628396"/>
    <n v="1.97"/>
  </r>
  <r>
    <n v="973"/>
    <x v="32"/>
    <x v="972"/>
    <x v="6"/>
    <x v="0"/>
    <x v="1"/>
    <x v="13"/>
    <x v="1"/>
    <n v="4.1929998397827104"/>
    <n v="2883.19995117187"/>
    <x v="972"/>
    <n v="58398341092"/>
    <n v="9.5500000000000007"/>
  </r>
  <r>
    <n v="974"/>
    <x v="32"/>
    <x v="973"/>
    <x v="0"/>
    <x v="1"/>
    <x v="1"/>
    <x v="12"/>
    <x v="1"/>
    <n v="4.1929998397827104"/>
    <n v="2836.80004882812"/>
    <x v="973"/>
    <n v="70072228536"/>
    <n v="-8.68"/>
  </r>
  <r>
    <n v="975"/>
    <x v="32"/>
    <x v="974"/>
    <x v="1"/>
    <x v="1"/>
    <x v="0"/>
    <x v="7"/>
    <x v="1"/>
    <n v="4.1950001716613698"/>
    <n v="2890.19995117187"/>
    <x v="974"/>
    <n v="68095241474"/>
    <n v="1.34"/>
  </r>
  <r>
    <n v="976"/>
    <x v="32"/>
    <x v="975"/>
    <x v="2"/>
    <x v="1"/>
    <x v="0"/>
    <x v="3"/>
    <x v="1"/>
    <n v="4.2049999237060502"/>
    <n v="2909.60009765625"/>
    <x v="975"/>
    <n v="50498988027"/>
    <n v="3.9"/>
  </r>
  <r>
    <n v="977"/>
    <x v="32"/>
    <x v="976"/>
    <x v="3"/>
    <x v="1"/>
    <x v="1"/>
    <x v="25"/>
    <x v="1"/>
    <n v="4.19700002670288"/>
    <n v="2915.30004882812"/>
    <x v="976"/>
    <n v="47749810486"/>
    <n v="-0.73"/>
  </r>
  <r>
    <n v="978"/>
    <x v="32"/>
    <x v="977"/>
    <x v="4"/>
    <x v="1"/>
    <x v="1"/>
    <x v="11"/>
    <x v="1"/>
    <n v="4.19700002670288"/>
    <n v="2916.60009765625"/>
    <x v="977"/>
    <n v="65945677657"/>
    <n v="-3.58"/>
  </r>
  <r>
    <n v="979"/>
    <x v="32"/>
    <x v="978"/>
    <x v="5"/>
    <x v="0"/>
    <x v="1"/>
    <x v="14"/>
    <x v="1"/>
    <n v="4.19700002670288"/>
    <n v="2904.69995117187"/>
    <x v="978"/>
    <n v="18206118081"/>
    <n v="-0.68"/>
  </r>
  <r>
    <n v="980"/>
    <x v="32"/>
    <x v="979"/>
    <x v="6"/>
    <x v="0"/>
    <x v="1"/>
    <x v="24"/>
    <x v="1"/>
    <n v="4.19700002670288"/>
    <n v="2916.60009765625"/>
    <x v="979"/>
    <n v="30899345977"/>
    <n v="-6.45"/>
  </r>
  <r>
    <n v="981"/>
    <x v="32"/>
    <x v="980"/>
    <x v="0"/>
    <x v="1"/>
    <x v="0"/>
    <x v="3"/>
    <x v="1"/>
    <n v="4.1849999427795401"/>
    <n v="2904.69995117187"/>
    <x v="980"/>
    <n v="54061099422"/>
    <n v="-2.57"/>
  </r>
  <r>
    <n v="982"/>
    <x v="32"/>
    <x v="981"/>
    <x v="1"/>
    <x v="1"/>
    <x v="0"/>
    <x v="4"/>
    <x v="1"/>
    <n v="4.1950001716613698"/>
    <n v="2891"/>
    <x v="981"/>
    <n v="54702837196"/>
    <n v="5.51"/>
  </r>
  <r>
    <n v="983"/>
    <x v="32"/>
    <x v="982"/>
    <x v="2"/>
    <x v="1"/>
    <x v="1"/>
    <x v="11"/>
    <x v="1"/>
    <n v="4.19700002670288"/>
    <n v="2912.89990234375"/>
    <x v="982"/>
    <n v="40353484454"/>
    <n v="1.04"/>
  </r>
  <r>
    <n v="984"/>
    <x v="32"/>
    <x v="983"/>
    <x v="3"/>
    <x v="1"/>
    <x v="1"/>
    <x v="21"/>
    <x v="1"/>
    <n v="4.1880002021789497"/>
    <n v="2939.10009765625"/>
    <x v="983"/>
    <n v="31412940153"/>
    <n v="-3.17"/>
  </r>
  <r>
    <n v="985"/>
    <x v="32"/>
    <x v="984"/>
    <x v="4"/>
    <x v="1"/>
    <x v="1"/>
    <x v="24"/>
    <x v="1"/>
    <n v="4.1880002021789497"/>
    <n v="2984.30004882812"/>
    <x v="984"/>
    <n v="29588112414"/>
    <n v="3.58"/>
  </r>
  <r>
    <n v="986"/>
    <x v="32"/>
    <x v="985"/>
    <x v="5"/>
    <x v="0"/>
    <x v="1"/>
    <x v="19"/>
    <x v="1"/>
    <n v="4.1880002021789497"/>
    <n v="2994.5"/>
    <x v="985"/>
    <n v="13650491277"/>
    <n v="0.45"/>
  </r>
  <r>
    <n v="987"/>
    <x v="32"/>
    <x v="986"/>
    <x v="6"/>
    <x v="0"/>
    <x v="1"/>
    <x v="9"/>
    <x v="1"/>
    <n v="4.1880002021789497"/>
    <n v="2984.30004882812"/>
    <x v="986"/>
    <n v="21330270174"/>
    <n v="-2.09"/>
  </r>
  <r>
    <n v="988"/>
    <x v="32"/>
    <x v="987"/>
    <x v="0"/>
    <x v="1"/>
    <x v="1"/>
    <x v="15"/>
    <x v="1"/>
    <n v="4.1880002021789497"/>
    <n v="2994.5"/>
    <x v="987"/>
    <n v="25092785558"/>
    <n v="1.81"/>
  </r>
  <r>
    <n v="989"/>
    <x v="32"/>
    <x v="988"/>
    <x v="1"/>
    <x v="1"/>
    <x v="1"/>
    <x v="11"/>
    <x v="1"/>
    <n v="4.1950001716613698"/>
    <n v="3000"/>
    <x v="988"/>
    <n v="24095774594"/>
    <n v="-1.61"/>
  </r>
  <r>
    <n v="990"/>
    <x v="32"/>
    <x v="989"/>
    <x v="2"/>
    <x v="1"/>
    <x v="1"/>
    <x v="15"/>
    <x v="1"/>
    <n v="4.1900000572204501"/>
    <n v="3035.10009765625"/>
    <x v="989"/>
    <n v="34931960257"/>
    <n v="5"/>
  </r>
  <r>
    <n v="991"/>
    <x v="32"/>
    <x v="990"/>
    <x v="3"/>
    <x v="1"/>
    <x v="1"/>
    <x v="40"/>
    <x v="1"/>
    <n v="4.1820001602172798"/>
    <n v="3035.89990234375"/>
    <x v="990"/>
    <n v="29028988961"/>
    <n v="-3.09"/>
  </r>
  <r>
    <n v="992"/>
    <x v="32"/>
    <x v="991"/>
    <x v="4"/>
    <x v="1"/>
    <x v="1"/>
    <x v="10"/>
    <x v="1"/>
    <n v="4.1849999427795401"/>
    <n v="3040"/>
    <x v="991"/>
    <n v="19030452299"/>
    <n v="-0.15"/>
  </r>
  <r>
    <n v="993"/>
    <x v="32"/>
    <x v="992"/>
    <x v="5"/>
    <x v="0"/>
    <x v="1"/>
    <x v="15"/>
    <x v="1"/>
    <n v="4.1849999427795401"/>
    <n v="3018.19995117187"/>
    <x v="992"/>
    <n v="9863214091"/>
    <n v="-0.25"/>
  </r>
  <r>
    <n v="994"/>
    <x v="32"/>
    <x v="993"/>
    <x v="6"/>
    <x v="0"/>
    <x v="1"/>
    <x v="9"/>
    <x v="1"/>
    <n v="4.1849999427795401"/>
    <n v="3040"/>
    <x v="993"/>
    <n v="12594615537"/>
    <n v="2.65"/>
  </r>
  <r>
    <n v="995"/>
    <x v="32"/>
    <x v="994"/>
    <x v="0"/>
    <x v="1"/>
    <x v="1"/>
    <x v="21"/>
    <x v="1"/>
    <n v="4.1820001602172798"/>
    <n v="3018.19995117187"/>
    <x v="994"/>
    <n v="34582604933"/>
    <n v="1.68"/>
  </r>
  <r>
    <n v="996"/>
    <x v="32"/>
    <x v="995"/>
    <x v="1"/>
    <x v="1"/>
    <x v="1"/>
    <x v="19"/>
    <x v="1"/>
    <n v="4.1820001602172798"/>
    <n v="3013.10009765625"/>
    <x v="995"/>
    <n v="30005840049"/>
    <n v="-0.03"/>
  </r>
  <r>
    <n v="997"/>
    <x v="32"/>
    <x v="996"/>
    <x v="2"/>
    <x v="1"/>
    <x v="1"/>
    <x v="20"/>
    <x v="1"/>
    <n v="4.1900000572204501"/>
    <n v="3023.69995117187"/>
    <x v="996"/>
    <n v="26704046038"/>
    <n v="-0.65"/>
  </r>
  <r>
    <n v="998"/>
    <x v="32"/>
    <x v="997"/>
    <x v="3"/>
    <x v="1"/>
    <x v="1"/>
    <x v="28"/>
    <x v="1"/>
    <n v="4.1880002021789497"/>
    <n v="3020.89990234375"/>
    <x v="997"/>
    <n v="24413471941"/>
    <n v="0.32"/>
  </r>
  <r>
    <n v="999"/>
    <x v="32"/>
    <x v="998"/>
    <x v="4"/>
    <x v="1"/>
    <x v="1"/>
    <x v="22"/>
    <x v="1"/>
    <n v="4.1880002021789497"/>
    <n v="3060.19995117187"/>
    <x v="998"/>
    <n v="34198619509"/>
    <n v="-3.24"/>
  </r>
  <r>
    <n v="1000"/>
    <x v="32"/>
    <x v="999"/>
    <x v="5"/>
    <x v="0"/>
    <x v="1"/>
    <x v="13"/>
    <x v="1"/>
    <n v="4.1880002021789497"/>
    <n v="3086.5"/>
    <x v="999"/>
    <n v="16969396135"/>
    <n v="-2.08"/>
  </r>
  <r>
    <n v="1001"/>
    <x v="32"/>
    <x v="1000"/>
    <x v="6"/>
    <x v="0"/>
    <x v="1"/>
    <x v="15"/>
    <x v="20"/>
    <n v="4.1880002021789497"/>
    <n v="3060.19995117187"/>
    <x v="1000"/>
    <n v="13636264960"/>
    <n v="-0.9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x v="0"/>
    <s v="jul/22"/>
    <d v="2022-07-04T00:00:00"/>
    <s v="lunes"/>
    <s v="Cerrado"/>
    <x v="0"/>
    <x v="0"/>
    <n v="1"/>
    <n v="1.62999999523162"/>
    <n v="1761.80004882812"/>
    <x v="0"/>
    <n v="21594638208"/>
    <n v="0.34"/>
  </r>
  <r>
    <x v="1"/>
    <s v="jul/22"/>
    <d v="2022-07-05T00:00:00"/>
    <s v="martes"/>
    <s v=" Abierto"/>
    <x v="0"/>
    <x v="1"/>
    <s v="-"/>
    <n v="1.62999999523162"/>
    <n v="1761.80004882812"/>
    <x v="1"/>
    <n v="26715546990"/>
    <n v="-0.2"/>
  </r>
  <r>
    <x v="2"/>
    <s v="jul/22"/>
    <d v="2022-07-06T00:00:00"/>
    <s v="miércoles"/>
    <s v=" Abierto"/>
    <x v="0"/>
    <x v="2"/>
    <s v="-"/>
    <n v="1.8400000333786"/>
    <n v="1761.80004882812"/>
    <x v="2"/>
    <n v="24598943708"/>
    <n v="1.77"/>
  </r>
  <r>
    <x v="3"/>
    <s v="jul/22"/>
    <d v="2022-07-07T00:00:00"/>
    <s v="jueves"/>
    <s v=" Abierto"/>
    <x v="0"/>
    <x v="2"/>
    <s v="-"/>
    <n v="1.85300004482269"/>
    <n v="1734.90002441406"/>
    <x v="3"/>
    <n v="25814972520"/>
    <n v="5.3"/>
  </r>
  <r>
    <x v="4"/>
    <s v="jul/22"/>
    <d v="2022-07-08T00:00:00"/>
    <s v="viernes"/>
    <s v=" Abierto"/>
    <x v="0"/>
    <x v="3"/>
    <s v="-"/>
    <n v="1.84300005435943"/>
    <n v="1737.90002441406"/>
    <x v="4"/>
    <n v="49899834488"/>
    <n v="0.43"/>
  </r>
  <r>
    <x v="5"/>
    <s v="jul/22"/>
    <d v="2022-07-09T00:00:00"/>
    <s v="sábado"/>
    <s v="Cerrado"/>
    <x v="0"/>
    <x v="4"/>
    <s v="-"/>
    <n v="1.84300005435943"/>
    <n v="1740.59997558593"/>
    <x v="5"/>
    <n v="29641127858"/>
    <n v="-0.64"/>
  </r>
  <r>
    <x v="6"/>
    <s v="jul/22"/>
    <d v="2022-07-10T00:00:00"/>
    <s v="domingo"/>
    <s v="Cerrado"/>
    <x v="0"/>
    <x v="4"/>
    <s v="-"/>
    <n v="1.84300005435943"/>
    <n v="1737.90002441406"/>
    <x v="6"/>
    <n v="28688807249"/>
    <n v="-3.39"/>
  </r>
  <r>
    <x v="7"/>
    <s v="jul/22"/>
    <d v="2022-07-11T00:00:00"/>
    <s v="lunes"/>
    <s v=" Abierto"/>
    <x v="0"/>
    <x v="5"/>
    <s v="-"/>
    <n v="1.9529999494552599"/>
    <n v="1740.59997558593"/>
    <x v="7"/>
    <n v="24150249025"/>
    <n v="-4.2699999999999996"/>
  </r>
  <r>
    <x v="8"/>
    <s v="jul/22"/>
    <d v="2022-07-12T00:00:00"/>
    <s v="martes"/>
    <s v=" Abierto"/>
    <x v="0"/>
    <x v="6"/>
    <s v="-"/>
    <n v="2.1129999160766602"/>
    <n v="1730"/>
    <x v="8"/>
    <n v="25810220018"/>
    <n v="-3.24"/>
  </r>
  <r>
    <x v="9"/>
    <s v="jul/22"/>
    <d v="2022-07-13T00:00:00"/>
    <s v="miércoles"/>
    <s v=" Abierto"/>
    <x v="0"/>
    <x v="7"/>
    <s v="-"/>
    <n v="2.3229999542236301"/>
    <n v="1723.30004882812"/>
    <x v="9"/>
    <n v="33042430345"/>
    <n v="4.5999999999999996"/>
  </r>
  <r>
    <x v="10"/>
    <s v="jul/22"/>
    <d v="2022-07-14T00:00:00"/>
    <s v="jueves"/>
    <s v=" Abierto"/>
    <x v="0"/>
    <x v="2"/>
    <s v="-"/>
    <n v="2.2730000019073402"/>
    <n v="1734.19995117187"/>
    <x v="10"/>
    <n v="31158743333"/>
    <n v="1.77"/>
  </r>
  <r>
    <x v="11"/>
    <s v="jul/22"/>
    <d v="2022-07-15T00:00:00"/>
    <s v="viernes"/>
    <s v=" Abierto"/>
    <x v="0"/>
    <x v="7"/>
    <s v="-"/>
    <n v="2.2400000095367401"/>
    <n v="1704.5"/>
    <x v="11"/>
    <n v="25905575359"/>
    <n v="1.3"/>
  </r>
  <r>
    <x v="12"/>
    <s v="jul/22"/>
    <d v="2022-07-16T00:00:00"/>
    <s v="sábado"/>
    <s v="Cerrado"/>
    <x v="0"/>
    <x v="8"/>
    <s v="-"/>
    <n v="2.2400000095367401"/>
    <n v="1702.40002441406"/>
    <x v="12"/>
    <n v="24302954056"/>
    <n v="1.7"/>
  </r>
  <r>
    <x v="13"/>
    <s v="jul/22"/>
    <d v="2022-07-17T00:00:00"/>
    <s v="domingo"/>
    <s v="Cerrado"/>
    <x v="0"/>
    <x v="4"/>
    <s v="-"/>
    <n v="2.2400000095367401"/>
    <n v="1704.5"/>
    <x v="13"/>
    <n v="22927802083"/>
    <n v="-1.94"/>
  </r>
  <r>
    <x v="14"/>
    <s v="jul/22"/>
    <d v="2022-07-18T00:00:00"/>
    <s v="lunes"/>
    <s v=" Abierto"/>
    <x v="0"/>
    <x v="3"/>
    <s v="-"/>
    <n v="2.2599999904632502"/>
    <n v="1702.40002441406"/>
    <x v="14"/>
    <n v="39974475562"/>
    <n v="8.2100000000000009"/>
  </r>
  <r>
    <x v="15"/>
    <s v="jul/22"/>
    <d v="2022-07-19T00:00:00"/>
    <s v="martes"/>
    <s v=" Abierto"/>
    <x v="1"/>
    <x v="9"/>
    <s v="-"/>
    <n v="2.45000004768371"/>
    <n v="1709.19995117187"/>
    <x v="15"/>
    <n v="48765202697"/>
    <n v="4.0199999999999996"/>
  </r>
  <r>
    <x v="16"/>
    <s v="jul/22"/>
    <d v="2022-07-20T00:00:00"/>
    <s v="miércoles"/>
    <s v=" Abierto"/>
    <x v="1"/>
    <x v="10"/>
    <s v="-"/>
    <n v="2.3780000209808301"/>
    <n v="1710"/>
    <x v="16"/>
    <n v="42932549127"/>
    <n v="-0.67"/>
  </r>
  <r>
    <x v="17"/>
    <s v="jul/22"/>
    <d v="2022-07-21T00:00:00"/>
    <s v="jueves"/>
    <s v=" Abierto"/>
    <x v="1"/>
    <x v="11"/>
    <s v="-"/>
    <n v="2.3599998950958199"/>
    <n v="1699.5"/>
    <x v="17"/>
    <n v="33631012204"/>
    <n v="-0.28999999999999998"/>
  </r>
  <r>
    <x v="18"/>
    <s v="jul/22"/>
    <d v="2022-07-22T00:00:00"/>
    <s v="viernes"/>
    <s v=" Abierto"/>
    <x v="1"/>
    <x v="12"/>
    <s v="-"/>
    <n v="2.3550000190734801"/>
    <n v="1712.69995117187"/>
    <x v="18"/>
    <n v="31421555646"/>
    <n v="-1.94"/>
  </r>
  <r>
    <x v="19"/>
    <s v="jul/22"/>
    <d v="2022-07-23T00:00:00"/>
    <s v="sábado"/>
    <s v="Cerrado"/>
    <x v="1"/>
    <x v="10"/>
    <s v="-"/>
    <n v="2.3550000190734801"/>
    <n v="1727.09997558593"/>
    <x v="19"/>
    <n v="24021799169"/>
    <n v="-1.1000000000000001"/>
  </r>
  <r>
    <x v="20"/>
    <s v="jul/22"/>
    <d v="2022-07-24T00:00:00"/>
    <s v="domingo"/>
    <s v="Cerrado"/>
    <x v="1"/>
    <x v="9"/>
    <s v="-"/>
    <n v="2.3550000190734801"/>
    <n v="1712.69995117187"/>
    <x v="20"/>
    <n v="23565495303"/>
    <n v="0.64"/>
  </r>
  <r>
    <x v="21"/>
    <s v="jul/22"/>
    <d v="2022-07-25T00:00:00"/>
    <s v="lunes"/>
    <s v=" Abierto"/>
    <x v="1"/>
    <x v="9"/>
    <s v="-"/>
    <n v="2.3929998874664302"/>
    <n v="1727.09997558593"/>
    <x v="21"/>
    <n v="35574561406"/>
    <n v="-5.52"/>
  </r>
  <r>
    <x v="22"/>
    <s v="jul/22"/>
    <d v="2022-07-26T00:00:00"/>
    <s v="martes"/>
    <s v=" Abierto"/>
    <x v="1"/>
    <x v="13"/>
    <s v="-"/>
    <n v="2.4749999046325599"/>
    <n v="1719"/>
    <x v="22"/>
    <n v="28624673855"/>
    <n v="-0.56999999999999995"/>
  </r>
  <r>
    <x v="23"/>
    <s v="jul/22"/>
    <d v="2022-07-27T00:00:00"/>
    <s v="miércoles"/>
    <s v=" Abierto"/>
    <x v="1"/>
    <x v="14"/>
    <s v="-"/>
    <n v="2.3829998970031698"/>
    <n v="1717.69995117187"/>
    <x v="23"/>
    <n v="31758955233"/>
    <n v="7.96"/>
  </r>
  <r>
    <x v="24"/>
    <s v="jul/22"/>
    <d v="2022-07-28T00:00:00"/>
    <s v="jueves"/>
    <s v=" Abierto"/>
    <x v="1"/>
    <x v="15"/>
    <s v="-"/>
    <n v="2.30800008773803"/>
    <n v="1719.09997558593"/>
    <x v="24"/>
    <n v="40212386158"/>
    <n v="3.98"/>
  </r>
  <r>
    <x v="25"/>
    <s v="jul/22"/>
    <d v="2022-07-29T00:00:00"/>
    <s v="viernes"/>
    <s v=" Abierto"/>
    <x v="1"/>
    <x v="16"/>
    <s v="-"/>
    <n v="2.2980000972747798"/>
    <n v="1750.30004882812"/>
    <x v="25"/>
    <n v="35887249746"/>
    <n v="-0.16"/>
  </r>
  <r>
    <x v="26"/>
    <s v="jul/22"/>
    <d v="2022-07-30T00:00:00"/>
    <s v="sábado"/>
    <s v="Cerrado"/>
    <x v="1"/>
    <x v="17"/>
    <s v="-"/>
    <n v="2.2980000972747798"/>
    <n v="1762.90002441406"/>
    <x v="26"/>
    <n v="28148218301"/>
    <n v="-0.62"/>
  </r>
  <r>
    <x v="27"/>
    <s v="jul/22"/>
    <d v="2022-07-31T00:00:00"/>
    <s v="domingo"/>
    <s v="Cerrado"/>
    <x v="1"/>
    <x v="16"/>
    <s v="-"/>
    <n v="2.2980000972747798"/>
    <n v="1750.30004882812"/>
    <x v="27"/>
    <n v="23553591896"/>
    <n v="-1.35"/>
  </r>
  <r>
    <x v="28"/>
    <s v="ago/22"/>
    <d v="2022-08-01T00:00:00"/>
    <s v="lunes"/>
    <s v=" Abierto"/>
    <x v="1"/>
    <x v="12"/>
    <s v="-"/>
    <n v="2.2650001049041699"/>
    <n v="1762.90002441406"/>
    <x v="28"/>
    <n v="25849159141"/>
    <n v="-0.1"/>
  </r>
  <r>
    <x v="29"/>
    <s v="ago/22"/>
    <d v="2022-08-02T00:00:00"/>
    <s v="martes"/>
    <s v=" Abierto"/>
    <x v="1"/>
    <x v="10"/>
    <s v="-"/>
    <n v="2.4630000591278001"/>
    <n v="1769"/>
    <x v="29"/>
    <n v="28389250717"/>
    <n v="-1.44"/>
  </r>
  <r>
    <x v="30"/>
    <s v="ago/22"/>
    <d v="2022-08-03T00:00:00"/>
    <s v="miércoles"/>
    <s v=" Abierto"/>
    <x v="1"/>
    <x v="11"/>
    <s v="-"/>
    <n v="2.4279999732971098"/>
    <n v="1771.09997558593"/>
    <x v="30"/>
    <n v="26288169966"/>
    <n v="-0.56999999999999995"/>
  </r>
  <r>
    <x v="31"/>
    <s v="ago/22"/>
    <d v="2022-08-04T00:00:00"/>
    <s v="jueves"/>
    <s v=" Abierto"/>
    <x v="1"/>
    <x v="9"/>
    <s v="-"/>
    <n v="2.3780000209808301"/>
    <n v="1758"/>
    <x v="31"/>
    <n v="25120229769"/>
    <n v="-0.94"/>
  </r>
  <r>
    <x v="32"/>
    <s v="ago/22"/>
    <d v="2022-08-05T00:00:00"/>
    <s v="viernes"/>
    <s v=" Abierto"/>
    <x v="1"/>
    <x v="10"/>
    <s v="-"/>
    <n v="2.41000008583068"/>
    <n v="1788.5"/>
    <x v="32"/>
    <n v="28881249043"/>
    <n v="2.91"/>
  </r>
  <r>
    <x v="33"/>
    <s v="ago/22"/>
    <d v="2022-08-06T00:00:00"/>
    <s v="sábado"/>
    <s v="Cerrado"/>
    <x v="1"/>
    <x v="10"/>
    <s v="-"/>
    <n v="2.41000008583068"/>
    <n v="1772.90002441406"/>
    <x v="33"/>
    <n v="15978259885"/>
    <n v="-1.41"/>
  </r>
  <r>
    <x v="34"/>
    <s v="ago/22"/>
    <d v="2022-08-07T00:00:00"/>
    <s v="domingo"/>
    <s v="Cerrado"/>
    <x v="1"/>
    <x v="9"/>
    <s v="-"/>
    <n v="2.41000008583068"/>
    <n v="1788.5"/>
    <x v="34"/>
    <n v="15886817043"/>
    <n v="0.93"/>
  </r>
  <r>
    <x v="35"/>
    <s v="ago/22"/>
    <d v="2022-08-08T00:00:00"/>
    <s v="lunes"/>
    <s v=" Abierto"/>
    <x v="1"/>
    <x v="9"/>
    <s v="-"/>
    <n v="2.46000003814697"/>
    <n v="1772.90002441406"/>
    <x v="35"/>
    <n v="28575544847"/>
    <n v="2.73"/>
  </r>
  <r>
    <x v="36"/>
    <s v="ago/22"/>
    <d v="2022-08-09T00:00:00"/>
    <s v="martes"/>
    <s v=" Abierto"/>
    <x v="1"/>
    <x v="17"/>
    <s v="-"/>
    <n v="2.5699999332427899"/>
    <n v="1786.80004882812"/>
    <x v="36"/>
    <n v="23555719219"/>
    <n v="-2.71"/>
  </r>
  <r>
    <x v="37"/>
    <s v="ago/22"/>
    <d v="2022-08-10T00:00:00"/>
    <s v="miércoles"/>
    <s v=" Abierto"/>
    <x v="1"/>
    <x v="10"/>
    <s v="-"/>
    <n v="2.53500008583068"/>
    <n v="1794"/>
    <x v="37"/>
    <n v="32837431722"/>
    <n v="3.38"/>
  </r>
  <r>
    <x v="38"/>
    <s v="ago/22"/>
    <d v="2022-08-11T00:00:00"/>
    <s v="jueves"/>
    <s v=" Abierto"/>
    <x v="1"/>
    <x v="18"/>
    <s v="-"/>
    <n v="2.4900000095367401"/>
    <n v="1795.59997558593"/>
    <x v="38"/>
    <n v="37127036580"/>
    <n v="0.04"/>
  </r>
  <r>
    <x v="39"/>
    <s v="ago/22"/>
    <d v="2022-08-12T00:00:00"/>
    <s v="viernes"/>
    <s v=" Abierto"/>
    <x v="1"/>
    <x v="17"/>
    <n v="2"/>
    <n v="2.5"/>
    <n v="1789.69995117187"/>
    <x v="39"/>
    <n v="27265804688"/>
    <n v="1.86"/>
  </r>
  <r>
    <x v="40"/>
    <s v="ago/22"/>
    <d v="2022-08-13T00:00:00"/>
    <s v="sábado"/>
    <s v="Cerrado"/>
    <x v="1"/>
    <x v="19"/>
    <s v="-"/>
    <n v="2.5"/>
    <n v="1798.59997558593"/>
    <x v="40"/>
    <n v="22987346289"/>
    <n v="0.09"/>
  </r>
  <r>
    <x v="41"/>
    <s v="ago/22"/>
    <d v="2022-08-14T00:00:00"/>
    <s v="domingo"/>
    <s v="Cerrado"/>
    <x v="1"/>
    <x v="20"/>
    <s v="-"/>
    <n v="2.5"/>
    <n v="1789.69995117187"/>
    <x v="41"/>
    <n v="22994133555"/>
    <n v="-0.43"/>
  </r>
  <r>
    <x v="42"/>
    <s v="ago/22"/>
    <d v="2022-08-15T00:00:00"/>
    <s v="lunes"/>
    <s v=" Abierto"/>
    <x v="1"/>
    <x v="21"/>
    <s v="-"/>
    <n v="2.51300001144409"/>
    <n v="1798.59997558593"/>
    <x v="42"/>
    <n v="35123501685"/>
    <n v="-0.75"/>
  </r>
  <r>
    <x v="43"/>
    <s v="ago/22"/>
    <d v="2022-08-16T00:00:00"/>
    <s v="martes"/>
    <s v=" Abierto"/>
    <x v="1"/>
    <x v="22"/>
    <s v="-"/>
    <n v="2.59800004959106"/>
    <n v="1781.40002441406"/>
    <x v="43"/>
    <n v="27753685646"/>
    <n v="-1.05"/>
  </r>
  <r>
    <x v="44"/>
    <s v="ago/22"/>
    <d v="2022-08-17T00:00:00"/>
    <s v="miércoles"/>
    <s v=" Abierto"/>
    <x v="1"/>
    <x v="18"/>
    <s v="-"/>
    <n v="2.5680000782012899"/>
    <n v="1773.19995117187"/>
    <x v="44"/>
    <n v="30931623076"/>
    <n v="-2.29"/>
  </r>
  <r>
    <x v="45"/>
    <s v="ago/22"/>
    <d v="2022-08-18T00:00:00"/>
    <s v="jueves"/>
    <s v=" Abierto"/>
    <x v="1"/>
    <x v="9"/>
    <s v="-"/>
    <n v="2.5650000572204501"/>
    <n v="1760.30004882812"/>
    <x v="45"/>
    <n v="23747613147"/>
    <n v="-0.53"/>
  </r>
  <r>
    <x v="46"/>
    <s v="ago/22"/>
    <d v="2022-08-19T00:00:00"/>
    <s v="viernes"/>
    <s v=" Abierto"/>
    <x v="1"/>
    <x v="12"/>
    <s v="-"/>
    <n v="2.5799999237060498"/>
    <n v="1755.30004882812"/>
    <x v="46"/>
    <n v="40509610260"/>
    <n v="-10.06"/>
  </r>
  <r>
    <x v="47"/>
    <s v="ago/22"/>
    <d v="2022-08-20T00:00:00"/>
    <s v="sábado"/>
    <s v="Cerrado"/>
    <x v="1"/>
    <x v="23"/>
    <s v="-"/>
    <n v="2.5799999237060498"/>
    <n v="1747.59997558593"/>
    <x v="47"/>
    <n v="27595671000"/>
    <n v="1.38"/>
  </r>
  <r>
    <x v="48"/>
    <s v="ago/22"/>
    <d v="2022-08-21T00:00:00"/>
    <s v="domingo"/>
    <s v="Cerrado"/>
    <x v="1"/>
    <x v="24"/>
    <s v="-"/>
    <n v="2.5799999237060498"/>
    <n v="1755.30004882812"/>
    <x v="48"/>
    <n v="23102307723"/>
    <n v="1.74"/>
  </r>
  <r>
    <x v="49"/>
    <s v="ago/22"/>
    <d v="2022-08-22T00:00:00"/>
    <s v="lunes"/>
    <s v=" Abierto"/>
    <x v="1"/>
    <x v="23"/>
    <s v="-"/>
    <n v="2.6480000019073402"/>
    <n v="1747.59997558593"/>
    <x v="49"/>
    <n v="31666498758"/>
    <n v="-0.63"/>
  </r>
  <r>
    <x v="50"/>
    <s v="ago/22"/>
    <d v="2022-08-23T00:00:00"/>
    <s v="martes"/>
    <s v=" Abierto"/>
    <x v="1"/>
    <x v="14"/>
    <s v="-"/>
    <n v="2.7030000686645499"/>
    <n v="1734"/>
    <x v="50"/>
    <n v="31878280659"/>
    <n v="0.6"/>
  </r>
  <r>
    <x v="51"/>
    <s v="ago/22"/>
    <d v="2022-08-24T00:00:00"/>
    <s v="miércoles"/>
    <s v=" Abierto"/>
    <x v="1"/>
    <x v="25"/>
    <s v="-"/>
    <n v="2.7130000591278001"/>
    <n v="1746.80004882812"/>
    <x v="51"/>
    <n v="31962253368"/>
    <n v="-0.62"/>
  </r>
  <r>
    <x v="52"/>
    <s v="ago/22"/>
    <d v="2022-08-25T00:00:00"/>
    <s v="jueves"/>
    <s v=" Abierto"/>
    <x v="1"/>
    <x v="25"/>
    <s v="-"/>
    <n v="2.7300000190734801"/>
    <n v="1747.80004882812"/>
    <x v="52"/>
    <n v="31028679593"/>
    <n v="0.96"/>
  </r>
  <r>
    <x v="53"/>
    <s v="ago/22"/>
    <d v="2022-08-26T00:00:00"/>
    <s v="viernes"/>
    <s v=" Abierto"/>
    <x v="1"/>
    <x v="24"/>
    <s v="-"/>
    <n v="2.75500011444091"/>
    <n v="1757.69995117187"/>
    <x v="53"/>
    <n v="42326789564"/>
    <n v="-6.21"/>
  </r>
  <r>
    <x v="54"/>
    <s v="ago/22"/>
    <d v="2022-08-27T00:00:00"/>
    <s v="sábado"/>
    <s v="Cerrado"/>
    <x v="1"/>
    <x v="14"/>
    <s v="-"/>
    <n v="2.75500011444091"/>
    <n v="1736.09997558593"/>
    <x v="54"/>
    <n v="30116729776"/>
    <n v="-1.08"/>
  </r>
  <r>
    <x v="55"/>
    <s v="ago/22"/>
    <d v="2022-08-28T00:00:00"/>
    <s v="domingo"/>
    <s v="Cerrado"/>
    <x v="1"/>
    <x v="14"/>
    <s v="-"/>
    <n v="2.75500011444091"/>
    <n v="1757.69995117187"/>
    <x v="55"/>
    <n v="24366810591"/>
    <n v="-2.12"/>
  </r>
  <r>
    <x v="56"/>
    <s v="ago/22"/>
    <d v="2022-08-29T00:00:00"/>
    <s v="lunes"/>
    <s v=" Abierto"/>
    <x v="0"/>
    <x v="4"/>
    <s v="-"/>
    <n v="2.7980000972747798"/>
    <n v="1736.09997558593"/>
    <x v="56"/>
    <n v="32637854078"/>
    <n v="3.47"/>
  </r>
  <r>
    <x v="57"/>
    <s v="ago/22"/>
    <d v="2022-08-30T00:00:00"/>
    <s v="martes"/>
    <s v=" Abierto"/>
    <x v="1"/>
    <x v="24"/>
    <s v="-"/>
    <n v="2.8729999065399099"/>
    <n v="1736.59997558593"/>
    <x v="57"/>
    <n v="34483360283"/>
    <n v="-2.4700000000000002"/>
  </r>
  <r>
    <x v="58"/>
    <s v="ago/22"/>
    <d v="2022-08-31T00:00:00"/>
    <s v="miércoles"/>
    <s v=" Abierto"/>
    <x v="0"/>
    <x v="26"/>
    <s v="-"/>
    <n v="2.8599998950958199"/>
    <n v="1723.19995117187"/>
    <x v="58"/>
    <n v="33225232872"/>
    <n v="1.28"/>
  </r>
  <r>
    <x v="59"/>
    <s v="sep/22"/>
    <d v="2022-09-01T00:00:00"/>
    <s v="jueves"/>
    <s v=" Abierto"/>
    <x v="0"/>
    <x v="3"/>
    <s v="-"/>
    <n v="2.8629999160766602"/>
    <n v="1712.80004882812"/>
    <x v="59"/>
    <n v="30182031010"/>
    <n v="0.39"/>
  </r>
  <r>
    <x v="60"/>
    <s v="sep/22"/>
    <d v="2022-09-02T00:00:00"/>
    <s v="viernes"/>
    <s v=" Abierto"/>
    <x v="1"/>
    <x v="25"/>
    <s v="-"/>
    <n v="2.8199999332427899"/>
    <n v="1696.59997558593"/>
    <x v="60"/>
    <n v="29123998928"/>
    <n v="-0.78"/>
  </r>
  <r>
    <x v="61"/>
    <s v="sep/22"/>
    <d v="2022-09-03T00:00:00"/>
    <s v="sábado"/>
    <s v="Cerrado"/>
    <x v="0"/>
    <x v="8"/>
    <s v="-"/>
    <n v="2.8199999332427899"/>
    <n v="1709.80004882812"/>
    <x v="61"/>
    <n v="23613051457"/>
    <n v="-0.69"/>
  </r>
  <r>
    <x v="62"/>
    <s v="sep/22"/>
    <d v="2022-09-04T00:00:00"/>
    <s v="domingo"/>
    <s v="Cerrado"/>
    <x v="0"/>
    <x v="3"/>
    <s v="-"/>
    <n v="2.8199999332427899"/>
    <n v="1696.59997558593"/>
    <x v="62"/>
    <n v="25245861652"/>
    <n v="0.78"/>
  </r>
  <r>
    <x v="63"/>
    <s v="sep/22"/>
    <d v="2022-09-05T00:00:00"/>
    <s v="lunes"/>
    <s v=" Abierto"/>
    <x v="0"/>
    <x v="26"/>
    <s v="-"/>
    <n v="2.8199999332427899"/>
    <n v="1709.80004882812"/>
    <x v="63"/>
    <n v="28813460025"/>
    <n v="-0.87"/>
  </r>
  <r>
    <x v="64"/>
    <s v="sep/22"/>
    <d v="2022-09-06T00:00:00"/>
    <s v="martes"/>
    <s v=" Abierto"/>
    <x v="0"/>
    <x v="5"/>
    <s v="-"/>
    <n v="2.8450000286102202"/>
    <n v="1696.59997558593"/>
    <x v="64"/>
    <n v="43403978910"/>
    <n v="-4.92"/>
  </r>
  <r>
    <x v="65"/>
    <s v="sep/22"/>
    <d v="2022-09-07T00:00:00"/>
    <s v="miércoles"/>
    <s v=" Abierto"/>
    <x v="0"/>
    <x v="4"/>
    <s v="-"/>
    <n v="2.93300008773803"/>
    <n v="1700.40002441406"/>
    <x v="65"/>
    <n v="35239757134"/>
    <n v="2.4"/>
  </r>
  <r>
    <x v="66"/>
    <s v="sep/22"/>
    <d v="2022-09-08T00:00:00"/>
    <s v="jueves"/>
    <s v=" Abierto"/>
    <x v="0"/>
    <x v="3"/>
    <s v="-"/>
    <n v="2.95000004768371"/>
    <n v="1715.30004882812"/>
    <x v="66"/>
    <n v="32194477850"/>
    <n v="0.2"/>
  </r>
  <r>
    <x v="67"/>
    <s v="sep/22"/>
    <d v="2022-09-09T00:00:00"/>
    <s v="viernes"/>
    <s v=" Abierto"/>
    <x v="0"/>
    <x v="5"/>
    <s v="-"/>
    <n v="2.9679999351501398"/>
    <n v="1708"/>
    <x v="67"/>
    <n v="48469528171"/>
    <n v="10.61"/>
  </r>
  <r>
    <x v="68"/>
    <s v="sep/22"/>
    <d v="2022-09-10T00:00:00"/>
    <s v="sábado"/>
    <s v="Cerrado"/>
    <x v="1"/>
    <x v="14"/>
    <s v="-"/>
    <n v="2.9679999351501398"/>
    <n v="1716.19995117187"/>
    <x v="68"/>
    <n v="36913738894"/>
    <n v="1.4"/>
  </r>
  <r>
    <x v="69"/>
    <s v="sep/22"/>
    <d v="2022-09-11T00:00:00"/>
    <s v="domingo"/>
    <s v="Cerrado"/>
    <x v="1"/>
    <x v="13"/>
    <s v="-"/>
    <n v="2.9679999351501398"/>
    <n v="1708"/>
    <x v="69"/>
    <n v="34493951963"/>
    <n v="0.41"/>
  </r>
  <r>
    <x v="70"/>
    <s v="sep/22"/>
    <d v="2022-09-12T00:00:00"/>
    <s v="lunes"/>
    <s v=" Abierto"/>
    <x v="1"/>
    <x v="25"/>
    <s v="-"/>
    <n v="2.9949998855590798"/>
    <n v="1716.19995117187"/>
    <x v="70"/>
    <n v="50212088965"/>
    <n v="2.76"/>
  </r>
  <r>
    <x v="71"/>
    <s v="sep/22"/>
    <d v="2022-09-13T00:00:00"/>
    <s v="martes"/>
    <s v=" Abierto"/>
    <x v="1"/>
    <x v="11"/>
    <s v="-"/>
    <n v="3.1530001163482599"/>
    <n v="1728.09997558593"/>
    <x v="71"/>
    <n v="51091116622"/>
    <n v="-9.27"/>
  </r>
  <r>
    <x v="72"/>
    <s v="sep/22"/>
    <d v="2022-09-14T00:00:00"/>
    <s v="miércoles"/>
    <s v=" Abierto"/>
    <x v="1"/>
    <x v="24"/>
    <s v="-"/>
    <n v="3.1280000209808301"/>
    <n v="1705"/>
    <x v="72"/>
    <n v="37872380889"/>
    <n v="-0.27"/>
  </r>
  <r>
    <x v="73"/>
    <s v="sep/22"/>
    <d v="2022-09-15T00:00:00"/>
    <s v="jueves"/>
    <s v=" Abierto"/>
    <x v="1"/>
    <x v="14"/>
    <s v="-"/>
    <n v="3.0950000286102202"/>
    <n v="1696.5"/>
    <x v="73"/>
    <n v="36389011503"/>
    <n v="-2.67"/>
  </r>
  <r>
    <x v="74"/>
    <s v="sep/22"/>
    <d v="2022-09-16T00:00:00"/>
    <s v="viernes"/>
    <s v=" Abierto"/>
    <x v="0"/>
    <x v="3"/>
    <s v="-"/>
    <n v="3.0699999332427899"/>
    <n v="1665.40002441406"/>
    <x v="74"/>
    <n v="30123362273"/>
    <n v="0.36"/>
  </r>
  <r>
    <x v="75"/>
    <s v="sep/22"/>
    <d v="2022-09-17T00:00:00"/>
    <s v="sábado"/>
    <s v="Cerrado"/>
    <x v="0"/>
    <x v="5"/>
    <s v="-"/>
    <n v="3.0699999332427899"/>
    <n v="1671.69995117187"/>
    <x v="75"/>
    <n v="24957448100"/>
    <n v="1.8"/>
  </r>
  <r>
    <x v="76"/>
    <s v="sep/22"/>
    <d v="2022-09-18T00:00:00"/>
    <s v="domingo"/>
    <s v="Cerrado"/>
    <x v="1"/>
    <x v="24"/>
    <s v="-"/>
    <n v="3.0699999332427899"/>
    <n v="1665.40002441406"/>
    <x v="76"/>
    <n v="31254779144"/>
    <n v="-3.52"/>
  </r>
  <r>
    <x v="77"/>
    <s v="sep/22"/>
    <d v="2022-09-19T00:00:00"/>
    <s v="lunes"/>
    <s v=" Abierto"/>
    <x v="0"/>
    <x v="8"/>
    <s v="-"/>
    <n v="3.03500008583068"/>
    <n v="1671.69995117187"/>
    <x v="77"/>
    <n v="40177002624"/>
    <n v="0.64"/>
  </r>
  <r>
    <x v="78"/>
    <s v="sep/22"/>
    <d v="2022-09-20T00:00:00"/>
    <s v="martes"/>
    <s v=" Abierto"/>
    <x v="0"/>
    <x v="26"/>
    <s v="-"/>
    <n v="3.2430000305175701"/>
    <n v="1666.19995117187"/>
    <x v="78"/>
    <n v="36791346508"/>
    <n v="-3.34"/>
  </r>
  <r>
    <x v="79"/>
    <s v="sep/22"/>
    <d v="2022-09-21T00:00:00"/>
    <s v="miércoles"/>
    <s v=" Abierto"/>
    <x v="0"/>
    <x v="26"/>
    <s v="-"/>
    <n v="3.1900000572204501"/>
    <n v="1659.69995117187"/>
    <x v="79"/>
    <n v="46363793975"/>
    <n v="-1.82"/>
  </r>
  <r>
    <x v="80"/>
    <s v="sep/22"/>
    <d v="2022-09-22T00:00:00"/>
    <s v="jueves"/>
    <s v=" Abierto"/>
    <x v="0"/>
    <x v="5"/>
    <s v="-"/>
    <n v="3.13000011444091"/>
    <n v="1664.59997558593"/>
    <x v="80"/>
    <n v="41135767926"/>
    <n v="4.67"/>
  </r>
  <r>
    <x v="81"/>
    <s v="sep/22"/>
    <d v="2022-09-23T00:00:00"/>
    <s v="viernes"/>
    <s v=" Abierto"/>
    <x v="0"/>
    <x v="3"/>
    <s v="-"/>
    <n v="3.10800004005432"/>
    <n v="1670.80004882812"/>
    <x v="81"/>
    <n v="38896078052"/>
    <n v="-0.6"/>
  </r>
  <r>
    <x v="82"/>
    <s v="sep/22"/>
    <d v="2022-09-24T00:00:00"/>
    <s v="sábado"/>
    <s v="Cerrado"/>
    <x v="0"/>
    <x v="4"/>
    <s v="-"/>
    <n v="3.10800004005432"/>
    <n v="1645.30004882812"/>
    <x v="82"/>
    <n v="26149643168"/>
    <n v="-1.87"/>
  </r>
  <r>
    <x v="83"/>
    <s v="sep/22"/>
    <d v="2022-09-25T00:00:00"/>
    <s v="domingo"/>
    <s v="Cerrado"/>
    <x v="0"/>
    <x v="4"/>
    <s v="-"/>
    <n v="3.10800004005432"/>
    <n v="1670.80004882812"/>
    <x v="83"/>
    <n v="23359966112"/>
    <n v="-0.71"/>
  </r>
  <r>
    <x v="84"/>
    <s v="sep/22"/>
    <d v="2022-09-26T00:00:00"/>
    <s v="lunes"/>
    <s v=" Abierto"/>
    <x v="0"/>
    <x v="8"/>
    <s v="-"/>
    <n v="3.1649999618530198"/>
    <n v="1645.30004882812"/>
    <x v="84"/>
    <n v="44148798321"/>
    <n v="2.2400000000000002"/>
  </r>
  <r>
    <x v="85"/>
    <s v="sep/22"/>
    <d v="2022-09-27T00:00:00"/>
    <s v="martes"/>
    <s v=" Abierto"/>
    <x v="0"/>
    <x v="3"/>
    <s v="-"/>
    <n v="3.25"/>
    <n v="1623.30004882812"/>
    <x v="85"/>
    <n v="58571439619"/>
    <n v="-0.57999999999999996"/>
  </r>
  <r>
    <x v="86"/>
    <s v="sep/22"/>
    <d v="2022-09-28T00:00:00"/>
    <s v="miércoles"/>
    <s v=" Abierto"/>
    <x v="0"/>
    <x v="3"/>
    <s v="-"/>
    <n v="3.2300000190734801"/>
    <n v="1626.69995117187"/>
    <x v="86"/>
    <n v="53071298734"/>
    <n v="1.65"/>
  </r>
  <r>
    <x v="87"/>
    <s v="sep/22"/>
    <d v="2022-09-29T00:00:00"/>
    <s v="jueves"/>
    <s v=" Abierto"/>
    <x v="0"/>
    <x v="5"/>
    <s v="-"/>
    <n v="3.2179999351501398"/>
    <n v="1660.40002441406"/>
    <x v="87"/>
    <n v="41037843771"/>
    <n v="0.75"/>
  </r>
  <r>
    <x v="88"/>
    <s v="sep/22"/>
    <d v="2022-09-30T00:00:00"/>
    <s v="viernes"/>
    <s v=" Abierto"/>
    <x v="0"/>
    <x v="8"/>
    <s v="-"/>
    <n v="3.1800000667571999"/>
    <n v="1658.5"/>
    <x v="88"/>
    <n v="43975248085"/>
    <n v="-0.72"/>
  </r>
  <r>
    <x v="89"/>
    <s v="oct/22"/>
    <d v="2022-10-01T00:00:00"/>
    <s v="sábado"/>
    <s v="Cerrado"/>
    <x v="0"/>
    <x v="3"/>
    <s v="-"/>
    <n v="3.1800000667571999"/>
    <n v="1662.40002441406"/>
    <x v="89"/>
    <n v="18719537670"/>
    <n v="-0.62"/>
  </r>
  <r>
    <x v="90"/>
    <s v="oct/22"/>
    <d v="2022-10-02T00:00:00"/>
    <s v="domingo"/>
    <s v="Cerrado"/>
    <x v="0"/>
    <x v="4"/>
    <s v="-"/>
    <n v="3.1800000667571999"/>
    <n v="1658.5"/>
    <x v="90"/>
    <n v="20765955327"/>
    <n v="-1.39"/>
  </r>
  <r>
    <x v="91"/>
    <s v="oct/22"/>
    <d v="2022-10-03T00:00:00"/>
    <s v="lunes"/>
    <s v=" Abierto"/>
    <x v="0"/>
    <x v="4"/>
    <s v="-"/>
    <n v="3.1500000953674299"/>
    <n v="1662.40002441406"/>
    <x v="91"/>
    <n v="30484729489"/>
    <n v="3.04"/>
  </r>
  <r>
    <x v="92"/>
    <s v="oct/22"/>
    <d v="2022-10-04T00:00:00"/>
    <s v="martes"/>
    <s v=" Abierto"/>
    <x v="0"/>
    <x v="3"/>
    <s v="-"/>
    <n v="3.3150000572204501"/>
    <n v="1692.90002441406"/>
    <x v="92"/>
    <n v="35887278685"/>
    <n v="3.63"/>
  </r>
  <r>
    <x v="93"/>
    <s v="oct/22"/>
    <d v="2022-10-05T00:00:00"/>
    <s v="miércoles"/>
    <s v=" Abierto"/>
    <x v="1"/>
    <x v="25"/>
    <s v="-"/>
    <n v="3.2929999828338601"/>
    <n v="1721.09997558593"/>
    <x v="93"/>
    <n v="33223790572"/>
    <n v="-0.87"/>
  </r>
  <r>
    <x v="94"/>
    <s v="oct/22"/>
    <d v="2022-10-06T00:00:00"/>
    <s v="jueves"/>
    <s v=" Abierto"/>
    <x v="1"/>
    <x v="13"/>
    <s v="-"/>
    <n v="3.2880001068115199"/>
    <n v="1711.40002441406"/>
    <x v="94"/>
    <n v="34711412966"/>
    <n v="-1.02"/>
  </r>
  <r>
    <x v="95"/>
    <s v="oct/22"/>
    <d v="2022-10-07T00:00:00"/>
    <s v="viernes"/>
    <s v=" Abierto"/>
    <x v="0"/>
    <x v="26"/>
    <s v="-"/>
    <n v="3.2929999828338601"/>
    <n v="1711.69995117187"/>
    <x v="95"/>
    <n v="29227315390"/>
    <n v="-2.0499999999999998"/>
  </r>
  <r>
    <x v="96"/>
    <s v="oct/22"/>
    <d v="2022-10-08T00:00:00"/>
    <s v="sábado"/>
    <s v="Cerrado"/>
    <x v="0"/>
    <x v="4"/>
    <s v="-"/>
    <n v="3.2929999828338601"/>
    <n v="1700.5"/>
    <x v="96"/>
    <n v="16437423167"/>
    <n v="-0.67"/>
  </r>
  <r>
    <x v="97"/>
    <s v="oct/22"/>
    <d v="2022-10-09T00:00:00"/>
    <s v="domingo"/>
    <s v="Cerrado"/>
    <x v="0"/>
    <x v="5"/>
    <s v="-"/>
    <n v="3.2929999828338601"/>
    <n v="1711.69995117187"/>
    <x v="97"/>
    <n v="16837262532"/>
    <n v="0.15"/>
  </r>
  <r>
    <x v="98"/>
    <s v="oct/22"/>
    <d v="2022-10-10T00:00:00"/>
    <s v="lunes"/>
    <s v=" Abierto"/>
    <x v="0"/>
    <x v="5"/>
    <s v="-"/>
    <n v="3.28500008583068"/>
    <n v="1700.5"/>
    <x v="98"/>
    <n v="27425022774"/>
    <n v="-1.57"/>
  </r>
  <r>
    <x v="99"/>
    <s v="oct/22"/>
    <d v="2022-10-11T00:00:00"/>
    <s v="martes"/>
    <s v=" Abierto"/>
    <x v="0"/>
    <x v="4"/>
    <s v="-"/>
    <n v="3.3399999141693102"/>
    <n v="1667.30004882812"/>
    <x v="99"/>
    <n v="28711532910"/>
    <n v="-0.47"/>
  </r>
  <r>
    <x v="100"/>
    <s v="oct/22"/>
    <d v="2022-10-12T00:00:00"/>
    <s v="miércoles"/>
    <s v=" Abierto"/>
    <x v="0"/>
    <x v="3"/>
    <s v="-"/>
    <n v="3.5329999923706001"/>
    <n v="1678.69995117187"/>
    <x v="100"/>
    <n v="24950173846"/>
    <n v="0.56000000000000005"/>
  </r>
  <r>
    <x v="101"/>
    <s v="oct/22"/>
    <d v="2022-10-13T00:00:00"/>
    <s v="jueves"/>
    <s v=" Abierto"/>
    <x v="0"/>
    <x v="3"/>
    <s v="-"/>
    <n v="3.5829999446868799"/>
    <n v="1670.30004882812"/>
    <x v="101"/>
    <n v="44219840004"/>
    <n v="1.18"/>
  </r>
  <r>
    <x v="102"/>
    <s v="oct/22"/>
    <d v="2022-10-14T00:00:00"/>
    <s v="viernes"/>
    <s v=" Abierto"/>
    <x v="0"/>
    <x v="4"/>
    <s v="-"/>
    <n v="3.6280000209808301"/>
    <n v="1670"/>
    <x v="102"/>
    <n v="38452356727"/>
    <n v="-1.02"/>
  </r>
  <r>
    <x v="103"/>
    <s v="oct/22"/>
    <d v="2022-10-15T00:00:00"/>
    <s v="sábado"/>
    <s v="Cerrado"/>
    <x v="0"/>
    <x v="4"/>
    <s v="-"/>
    <n v="3.6280000209808301"/>
    <n v="1641.69995117187"/>
    <x v="103"/>
    <n v="16192235532"/>
    <n v="-0.62"/>
  </r>
  <r>
    <x v="104"/>
    <s v="oct/22"/>
    <d v="2022-10-16T00:00:00"/>
    <s v="domingo"/>
    <s v="Cerrado"/>
    <x v="0"/>
    <x v="4"/>
    <s v="-"/>
    <n v="3.6280000209808301"/>
    <n v="1670"/>
    <x v="104"/>
    <n v="17988916650"/>
    <n v="1.05"/>
  </r>
  <r>
    <x v="105"/>
    <s v="oct/22"/>
    <d v="2022-10-17T00:00:00"/>
    <s v="lunes"/>
    <s v=" Abierto"/>
    <x v="0"/>
    <x v="3"/>
    <s v="-"/>
    <n v="3.6879999637603702"/>
    <n v="1641.69995117187"/>
    <x v="105"/>
    <n v="27472552998"/>
    <n v="1.47"/>
  </r>
  <r>
    <x v="106"/>
    <s v="oct/22"/>
    <d v="2022-10-18T00:00:00"/>
    <s v="martes"/>
    <s v=" Abierto"/>
    <x v="0"/>
    <x v="5"/>
    <s v="-"/>
    <n v="3.8329999446868799"/>
    <n v="1657"/>
    <x v="106"/>
    <n v="30580012344"/>
    <n v="-1.1100000000000001"/>
  </r>
  <r>
    <x v="107"/>
    <s v="oct/22"/>
    <d v="2022-10-19T00:00:00"/>
    <s v="miércoles"/>
    <s v=" Abierto"/>
    <x v="0"/>
    <x v="26"/>
    <s v="-"/>
    <n v="3.8929998874664302"/>
    <n v="1649"/>
    <x v="107"/>
    <n v="22425387184"/>
    <n v="-1.01"/>
  </r>
  <r>
    <x v="108"/>
    <s v="oct/22"/>
    <d v="2022-10-20T00:00:00"/>
    <s v="jueves"/>
    <s v=" Abierto"/>
    <x v="0"/>
    <x v="26"/>
    <s v="-"/>
    <n v="3.8900001049041699"/>
    <n v="1627.5"/>
    <x v="108"/>
    <n v="24493974420"/>
    <n v="-0.45"/>
  </r>
  <r>
    <x v="109"/>
    <s v="oct/22"/>
    <d v="2022-10-21T00:00:00"/>
    <s v="viernes"/>
    <s v=" Abierto"/>
    <x v="0"/>
    <x v="26"/>
    <s v="-"/>
    <n v="3.8849999904632502"/>
    <n v="1630.80004882812"/>
    <x v="109"/>
    <n v="32459287866"/>
    <n v="0.62"/>
  </r>
  <r>
    <x v="110"/>
    <s v="oct/22"/>
    <d v="2022-10-22T00:00:00"/>
    <s v="sábado"/>
    <s v="Cerrado"/>
    <x v="0"/>
    <x v="3"/>
    <s v="-"/>
    <n v="3.8849999904632502"/>
    <n v="1651"/>
    <x v="110"/>
    <n v="16104440957"/>
    <n v="0.19"/>
  </r>
  <r>
    <x v="111"/>
    <s v="oct/22"/>
    <d v="2022-10-23T00:00:00"/>
    <s v="domingo"/>
    <s v="Cerrado"/>
    <x v="0"/>
    <x v="26"/>
    <s v="-"/>
    <n v="3.8849999904632502"/>
    <n v="1630.80004882812"/>
    <x v="111"/>
    <n v="22128794335"/>
    <n v="1.87"/>
  </r>
  <r>
    <x v="112"/>
    <s v="oct/22"/>
    <d v="2022-10-24T00:00:00"/>
    <s v="lunes"/>
    <s v=" Abierto"/>
    <x v="0"/>
    <x v="5"/>
    <s v="-"/>
    <n v="3.9130001068115199"/>
    <n v="1651"/>
    <x v="112"/>
    <n v="30202235805"/>
    <n v="-1.1299999999999999"/>
  </r>
  <r>
    <x v="113"/>
    <s v="oct/22"/>
    <d v="2022-10-25T00:00:00"/>
    <s v="martes"/>
    <s v=" Abierto"/>
    <x v="0"/>
    <x v="3"/>
    <s v="-"/>
    <n v="3.9649999141693102"/>
    <n v="1648.69995117187"/>
    <x v="113"/>
    <n v="47761524910"/>
    <n v="3.88"/>
  </r>
  <r>
    <x v="114"/>
    <s v="oct/22"/>
    <d v="2022-10-26T00:00:00"/>
    <s v="miércoles"/>
    <s v=" Abierto"/>
    <x v="1"/>
    <x v="12"/>
    <s v="-"/>
    <n v="3.9300000667571999"/>
    <n v="1652.80004882812"/>
    <x v="114"/>
    <n v="58895950537"/>
    <n v="3.36"/>
  </r>
  <r>
    <x v="115"/>
    <s v="oct/22"/>
    <d v="2022-10-27T00:00:00"/>
    <s v="jueves"/>
    <s v=" Abierto"/>
    <x v="1"/>
    <x v="15"/>
    <s v="-"/>
    <n v="3.9300000667571999"/>
    <n v="1664"/>
    <x v="115"/>
    <n v="49625110402"/>
    <n v="-2.33"/>
  </r>
  <r>
    <x v="116"/>
    <s v="oct/22"/>
    <d v="2022-10-28T00:00:00"/>
    <s v="viernes"/>
    <s v=" Abierto"/>
    <x v="1"/>
    <x v="9"/>
    <s v="-"/>
    <n v="3.9700000286102202"/>
    <n v="1660.69995117187"/>
    <x v="116"/>
    <n v="43994715910"/>
    <n v="1.53"/>
  </r>
  <r>
    <x v="117"/>
    <s v="oct/22"/>
    <d v="2022-10-29T00:00:00"/>
    <s v="sábado"/>
    <s v="Cerrado"/>
    <x v="1"/>
    <x v="11"/>
    <s v="-"/>
    <n v="3.9700000286102202"/>
    <n v="1639.59997558593"/>
    <x v="117"/>
    <n v="40369840645"/>
    <n v="1.08"/>
  </r>
  <r>
    <x v="118"/>
    <s v="oct/22"/>
    <d v="2022-10-30T00:00:00"/>
    <s v="domingo"/>
    <s v="Cerrado"/>
    <x v="1"/>
    <x v="11"/>
    <s v="-"/>
    <n v="3.9700000286102202"/>
    <n v="1660.69995117187"/>
    <x v="118"/>
    <n v="31486345556"/>
    <n v="-0.88"/>
  </r>
  <r>
    <x v="119"/>
    <s v="oct/22"/>
    <d v="2022-10-31T00:00:00"/>
    <s v="lunes"/>
    <s v=" Abierto"/>
    <x v="1"/>
    <x v="10"/>
    <s v="-"/>
    <n v="3.9749999046325599"/>
    <n v="1639.59997558593"/>
    <x v="119"/>
    <n v="45668466815"/>
    <n v="-0.68"/>
  </r>
  <r>
    <x v="120"/>
    <s v="nov/22"/>
    <d v="2022-11-01T00:00:00"/>
    <s v="martes"/>
    <s v=" Abierto"/>
    <x v="1"/>
    <x v="9"/>
    <s v="-"/>
    <n v="4.0500001907348597"/>
    <n v="1635.90002441406"/>
    <x v="120"/>
    <n v="39819303159"/>
    <n v="-0.05"/>
  </r>
  <r>
    <x v="121"/>
    <s v="nov/22"/>
    <d v="2022-11-02T00:00:00"/>
    <s v="miércoles"/>
    <s v=" Abierto"/>
    <x v="1"/>
    <x v="9"/>
    <n v="3"/>
    <n v="4.0250000953674299"/>
    <n v="1645"/>
    <x v="121"/>
    <n v="55552169483"/>
    <n v="-1.59"/>
  </r>
  <r>
    <x v="122"/>
    <s v="nov/22"/>
    <d v="2022-11-03T00:00:00"/>
    <s v="jueves"/>
    <s v=" Abierto"/>
    <x v="1"/>
    <x v="9"/>
    <s v="-"/>
    <n v="4.0250000953674299"/>
    <n v="1645.69995117187"/>
    <x v="122"/>
    <n v="43228750179"/>
    <n v="0.25"/>
  </r>
  <r>
    <x v="123"/>
    <s v="nov/22"/>
    <d v="2022-11-04T00:00:00"/>
    <s v="viernes"/>
    <s v=" Abierto"/>
    <x v="1"/>
    <x v="9"/>
    <s v="-"/>
    <n v="4.01300001144409"/>
    <n v="1627.30004882812"/>
    <x v="123"/>
    <n v="64072727950"/>
    <n v="4.6399999999999997"/>
  </r>
  <r>
    <x v="124"/>
    <s v="nov/22"/>
    <d v="2022-11-05T00:00:00"/>
    <s v="sábado"/>
    <s v="Cerrado"/>
    <x v="1"/>
    <x v="27"/>
    <s v="-"/>
    <n v="4.01300001144409"/>
    <n v="1672.5"/>
    <x v="124"/>
    <n v="37846047609"/>
    <n v="0.64"/>
  </r>
  <r>
    <x v="125"/>
    <s v="nov/22"/>
    <d v="2022-11-06T00:00:00"/>
    <s v="domingo"/>
    <s v="Cerrado"/>
    <x v="1"/>
    <x v="28"/>
    <s v="-"/>
    <n v="4.01300001144409"/>
    <n v="1627.30004882812"/>
    <x v="125"/>
    <n v="35082693210"/>
    <n v="-1.67"/>
  </r>
  <r>
    <x v="126"/>
    <s v="nov/22"/>
    <d v="2022-11-07T00:00:00"/>
    <s v="lunes"/>
    <s v=" Abierto"/>
    <x v="1"/>
    <x v="12"/>
    <s v="-"/>
    <n v="3.98300004005432"/>
    <n v="1672.5"/>
    <x v="126"/>
    <n v="53510852236"/>
    <n v="-1.55"/>
  </r>
  <r>
    <x v="127"/>
    <s v="nov/22"/>
    <d v="2022-11-08T00:00:00"/>
    <s v="martes"/>
    <s v=" Abierto"/>
    <x v="1"/>
    <x v="10"/>
    <s v="-"/>
    <n v="4.0900001525878897"/>
    <n v="1676.5"/>
    <x v="127"/>
    <n v="118992465607"/>
    <n v="-10.01"/>
  </r>
  <r>
    <x v="128"/>
    <s v="nov/22"/>
    <d v="2022-11-09T00:00:00"/>
    <s v="miércoles"/>
    <s v=" Abierto"/>
    <x v="1"/>
    <x v="23"/>
    <s v="-"/>
    <n v="4.0929999351501403"/>
    <n v="1712.09997558593"/>
    <x v="128"/>
    <n v="102905151606"/>
    <n v="-14.35"/>
  </r>
  <r>
    <x v="129"/>
    <s v="nov/22"/>
    <d v="2022-11-10T00:00:00"/>
    <s v="jueves"/>
    <s v=" Abierto"/>
    <x v="0"/>
    <x v="5"/>
    <s v="-"/>
    <n v="4.0549998283386204"/>
    <n v="1710.09997558593"/>
    <x v="129"/>
    <n v="83202283721"/>
    <n v="10.74"/>
  </r>
  <r>
    <x v="130"/>
    <s v="nov/22"/>
    <d v="2022-11-11T00:00:00"/>
    <s v="viernes"/>
    <s v=" Abierto"/>
    <x v="1"/>
    <x v="25"/>
    <s v="-"/>
    <n v="4.0630002021789497"/>
    <n v="1750.30004882812"/>
    <x v="130"/>
    <n v="55871616488"/>
    <n v="-3.14"/>
  </r>
  <r>
    <x v="131"/>
    <s v="nov/22"/>
    <d v="2022-11-12T00:00:00"/>
    <s v="sábado"/>
    <s v="Cerrado"/>
    <x v="0"/>
    <x v="8"/>
    <s v="-"/>
    <n v="4.0630002021789497"/>
    <n v="1766"/>
    <x v="131"/>
    <n v="29717699419"/>
    <n v="-1.38"/>
  </r>
  <r>
    <x v="132"/>
    <s v="nov/22"/>
    <d v="2022-11-13T00:00:00"/>
    <s v="domingo"/>
    <s v="Cerrado"/>
    <x v="0"/>
    <x v="5"/>
    <s v="-"/>
    <n v="4.0630002021789497"/>
    <n v="1750.30004882812"/>
    <x v="132"/>
    <n v="27209183682"/>
    <n v="-2.65"/>
  </r>
  <r>
    <x v="133"/>
    <s v="nov/22"/>
    <d v="2022-11-14T00:00:00"/>
    <s v="lunes"/>
    <s v=" Abierto"/>
    <x v="0"/>
    <x v="4"/>
    <s v="-"/>
    <n v="4.0679998397827104"/>
    <n v="1766"/>
    <x v="133"/>
    <n v="49630243054"/>
    <n v="1.62"/>
  </r>
  <r>
    <x v="134"/>
    <s v="nov/22"/>
    <d v="2022-11-15T00:00:00"/>
    <s v="martes"/>
    <s v=" Abierto"/>
    <x v="0"/>
    <x v="5"/>
    <s v="-"/>
    <n v="4.13000011444091"/>
    <n v="1773.59997558593"/>
    <x v="134"/>
    <n v="36599436183"/>
    <n v="1.6"/>
  </r>
  <r>
    <x v="135"/>
    <s v="nov/22"/>
    <d v="2022-11-16T00:00:00"/>
    <s v="miércoles"/>
    <s v=" Abierto"/>
    <x v="0"/>
    <x v="26"/>
    <s v="-"/>
    <n v="4.125"/>
    <n v="1773.80004882812"/>
    <x v="135"/>
    <n v="33925512989"/>
    <n v="-1.27"/>
  </r>
  <r>
    <x v="136"/>
    <s v="nov/22"/>
    <d v="2022-11-17T00:00:00"/>
    <s v="jueves"/>
    <s v=" Abierto"/>
    <x v="0"/>
    <x v="3"/>
    <s v="-"/>
    <n v="4.1129999160766602"/>
    <n v="1773"/>
    <x v="136"/>
    <n v="27868914022"/>
    <n v="0.11"/>
  </r>
  <r>
    <x v="137"/>
    <s v="nov/22"/>
    <d v="2022-11-18T00:00:00"/>
    <s v="viernes"/>
    <s v=" Abierto"/>
    <x v="0"/>
    <x v="26"/>
    <s v="-"/>
    <n v="4.1350002288818297"/>
    <n v="1760.80004882812"/>
    <x v="137"/>
    <n v="26862218609"/>
    <n v="0.06"/>
  </r>
  <r>
    <x v="138"/>
    <s v="nov/22"/>
    <d v="2022-11-19T00:00:00"/>
    <s v="sábado"/>
    <s v="Cerrado"/>
    <x v="0"/>
    <x v="26"/>
    <s v="-"/>
    <n v="4.1350002288818297"/>
    <n v="1751.90002441406"/>
    <x v="138"/>
    <n v="16106223492"/>
    <n v="0.08"/>
  </r>
  <r>
    <x v="139"/>
    <s v="nov/22"/>
    <d v="2022-11-20T00:00:00"/>
    <s v="domingo"/>
    <s v="Cerrado"/>
    <x v="0"/>
    <x v="4"/>
    <s v="-"/>
    <n v="4.1350002288818297"/>
    <n v="1760.80004882812"/>
    <x v="139"/>
    <n v="21313378652"/>
    <n v="-2.5099999999999998"/>
  </r>
  <r>
    <x v="140"/>
    <s v="nov/22"/>
    <d v="2022-11-21T00:00:00"/>
    <s v="lunes"/>
    <s v=" Abierto"/>
    <x v="0"/>
    <x v="8"/>
    <s v="-"/>
    <n v="4.09800004959106"/>
    <n v="1751.90002441406"/>
    <x v="140"/>
    <n v="37429485518"/>
    <n v="-3.1"/>
  </r>
  <r>
    <x v="141"/>
    <s v="nov/22"/>
    <d v="2022-11-22T00:00:00"/>
    <s v="martes"/>
    <s v=" Abierto"/>
    <x v="0"/>
    <x v="5"/>
    <s v="-"/>
    <n v="4.1979999542236301"/>
    <n v="1737.40002441406"/>
    <x v="141"/>
    <n v="30726828760"/>
    <n v="2.5499999999999998"/>
  </r>
  <r>
    <x v="142"/>
    <s v="nov/22"/>
    <d v="2022-11-23T00:00:00"/>
    <s v="miércoles"/>
    <s v=" Abierto"/>
    <x v="0"/>
    <x v="5"/>
    <s v="-"/>
    <n v="4.1999998092651296"/>
    <n v="1738.30004882812"/>
    <x v="142"/>
    <n v="32958875628"/>
    <n v="2.6"/>
  </r>
  <r>
    <x v="143"/>
    <s v="nov/22"/>
    <d v="2022-11-24T00:00:00"/>
    <s v="jueves"/>
    <s v=" Abierto"/>
    <x v="0"/>
    <x v="3"/>
    <s v="-"/>
    <n v="4.1999998092651296"/>
    <n v="1744.90002441406"/>
    <x v="143"/>
    <n v="26129037414"/>
    <n v="-0.04"/>
  </r>
  <r>
    <x v="144"/>
    <s v="nov/22"/>
    <d v="2022-11-25T00:00:00"/>
    <s v="viernes"/>
    <s v=" Abierto"/>
    <x v="0"/>
    <x v="3"/>
    <s v="-"/>
    <n v="4.1750001907348597"/>
    <n v="1738.30004882812"/>
    <x v="144"/>
    <n v="18678255976"/>
    <n v="-0.5"/>
  </r>
  <r>
    <x v="145"/>
    <s v="nov/22"/>
    <d v="2022-11-26T00:00:00"/>
    <s v="sábado"/>
    <s v="Cerrado"/>
    <x v="0"/>
    <x v="5"/>
    <s v="-"/>
    <n v="4.1750001907348597"/>
    <n v="1753.30004882812"/>
    <x v="145"/>
    <n v="18000008764"/>
    <n v="-0.35"/>
  </r>
  <r>
    <x v="146"/>
    <s v="nov/22"/>
    <d v="2022-11-27T00:00:00"/>
    <s v="domingo"/>
    <s v="Cerrado"/>
    <x v="1"/>
    <x v="13"/>
    <s v="-"/>
    <n v="4.1750001907348597"/>
    <n v="1738.30004882812"/>
    <x v="146"/>
    <n v="20443898509"/>
    <n v="-0.12"/>
  </r>
  <r>
    <x v="147"/>
    <s v="nov/22"/>
    <d v="2022-11-28T00:00:00"/>
    <s v="lunes"/>
    <s v=" Abierto"/>
    <x v="1"/>
    <x v="14"/>
    <s v="-"/>
    <n v="4.18300008773803"/>
    <n v="1753.30004882812"/>
    <x v="147"/>
    <n v="27743025156"/>
    <n v="-1.38"/>
  </r>
  <r>
    <x v="148"/>
    <s v="nov/22"/>
    <d v="2022-11-29T00:00:00"/>
    <s v="martes"/>
    <s v=" Abierto"/>
    <x v="1"/>
    <x v="13"/>
    <s v="-"/>
    <n v="4.2529997825622496"/>
    <n v="1740.09997558593"/>
    <x v="148"/>
    <n v="23581685468"/>
    <n v="1.4"/>
  </r>
  <r>
    <x v="149"/>
    <s v="nov/22"/>
    <d v="2022-11-30T00:00:00"/>
    <s v="miércoles"/>
    <s v=" Abierto"/>
    <x v="1"/>
    <x v="23"/>
    <s v="-"/>
    <n v="4.2529997825622496"/>
    <n v="1748.40002441406"/>
    <x v="149"/>
    <n v="29523576583"/>
    <n v="4.4000000000000004"/>
  </r>
  <r>
    <x v="150"/>
    <s v="dic/22"/>
    <d v="2022-12-01T00:00:00"/>
    <s v="jueves"/>
    <s v=" Abierto"/>
    <x v="1"/>
    <x v="24"/>
    <s v="-"/>
    <n v="4.1929998397827104"/>
    <n v="1746"/>
    <x v="150"/>
    <n v="22895392882"/>
    <n v="-1.17"/>
  </r>
  <r>
    <x v="151"/>
    <s v="dic/22"/>
    <d v="2022-12-02T00:00:00"/>
    <s v="viernes"/>
    <s v=" Abierto"/>
    <x v="1"/>
    <x v="24"/>
    <s v="-"/>
    <n v="4.2080001831054599"/>
    <n v="1801.09997558593"/>
    <x v="151"/>
    <n v="19539705127"/>
    <n v="0.72"/>
  </r>
  <r>
    <x v="152"/>
    <s v="dic/22"/>
    <d v="2022-12-03T00:00:00"/>
    <s v="sábado"/>
    <s v="Cerrado"/>
    <x v="1"/>
    <x v="24"/>
    <s v="-"/>
    <n v="4.2080001831054599"/>
    <n v="1795.90002441406"/>
    <x v="152"/>
    <n v="16217776704"/>
    <n v="-1.06"/>
  </r>
  <r>
    <x v="153"/>
    <s v="dic/22"/>
    <d v="2022-12-04T00:00:00"/>
    <s v="domingo"/>
    <s v="Cerrado"/>
    <x v="1"/>
    <x v="13"/>
    <s v="-"/>
    <n v="4.2080001831054599"/>
    <n v="1801.09997558593"/>
    <x v="153"/>
    <n v="16824520830"/>
    <n v="1.31"/>
  </r>
  <r>
    <x v="154"/>
    <s v="dic/22"/>
    <d v="2022-12-05T00:00:00"/>
    <s v="lunes"/>
    <s v=" Abierto"/>
    <x v="1"/>
    <x v="13"/>
    <s v="-"/>
    <n v="4.1579999923706001"/>
    <n v="1795.90002441406"/>
    <x v="154"/>
    <n v="22209086834"/>
    <n v="-0.91"/>
  </r>
  <r>
    <x v="155"/>
    <s v="dic/22"/>
    <d v="2022-12-06T00:00:00"/>
    <s v="martes"/>
    <s v=" Abierto"/>
    <x v="1"/>
    <x v="25"/>
    <s v="-"/>
    <n v="4.2199997901916504"/>
    <n v="1767.40002441406"/>
    <x v="155"/>
    <n v="19889922369"/>
    <n v="0.68"/>
  </r>
  <r>
    <x v="156"/>
    <s v="dic/22"/>
    <d v="2022-12-07T00:00:00"/>
    <s v="miércoles"/>
    <s v=" Abierto"/>
    <x v="1"/>
    <x v="23"/>
    <s v="-"/>
    <n v="4.18300008773803"/>
    <n v="1769.30004882812"/>
    <x v="156"/>
    <n v="19675404389"/>
    <n v="-1.41"/>
  </r>
  <r>
    <x v="157"/>
    <s v="dic/22"/>
    <d v="2022-12-08T00:00:00"/>
    <s v="jueves"/>
    <s v=" Abierto"/>
    <x v="1"/>
    <x v="25"/>
    <s v="-"/>
    <n v="4.1500000953674299"/>
    <n v="1785.5"/>
    <x v="157"/>
    <n v="20496603770"/>
    <n v="2.29"/>
  </r>
  <r>
    <x v="158"/>
    <s v="dic/22"/>
    <d v="2022-12-09T00:00:00"/>
    <s v="viernes"/>
    <s v=" Abierto"/>
    <x v="1"/>
    <x v="13"/>
    <s v="-"/>
    <n v="4.1729998588562003"/>
    <n v="1788.69995117187"/>
    <x v="158"/>
    <n v="20328426366"/>
    <n v="-0.57999999999999996"/>
  </r>
  <r>
    <x v="159"/>
    <s v="dic/22"/>
    <d v="2022-12-10T00:00:00"/>
    <s v="sábado"/>
    <s v="Cerrado"/>
    <x v="1"/>
    <x v="24"/>
    <s v="-"/>
    <n v="4.1729998588562003"/>
    <n v="1798.09997558593"/>
    <x v="159"/>
    <n v="12706781969"/>
    <n v="-0.03"/>
  </r>
  <r>
    <x v="160"/>
    <s v="dic/22"/>
    <d v="2022-12-11T00:00:00"/>
    <s v="domingo"/>
    <s v="Cerrado"/>
    <x v="1"/>
    <x v="13"/>
    <s v="-"/>
    <n v="4.1729998588562003"/>
    <n v="1788.69995117187"/>
    <x v="160"/>
    <n v="14122486832"/>
    <n v="-0.14000000000000001"/>
  </r>
  <r>
    <x v="161"/>
    <s v="dic/22"/>
    <d v="2022-12-12T00:00:00"/>
    <s v="lunes"/>
    <s v=" Abierto"/>
    <x v="1"/>
    <x v="24"/>
    <n v="4"/>
    <n v="4.1680002212524396"/>
    <n v="1798.09997558593"/>
    <x v="161"/>
    <n v="19617581341"/>
    <n v="0.6"/>
  </r>
  <r>
    <x v="162"/>
    <s v="dic/22"/>
    <d v="2022-12-13T00:00:00"/>
    <s v="martes"/>
    <s v=" Abierto"/>
    <x v="1"/>
    <x v="24"/>
    <s v="-"/>
    <n v="4.2480001449584899"/>
    <n v="1780.5"/>
    <x v="162"/>
    <n v="26634741631"/>
    <n v="3.34"/>
  </r>
  <r>
    <x v="163"/>
    <s v="dic/22"/>
    <d v="2022-12-14T00:00:00"/>
    <s v="miércoles"/>
    <s v=" Abierto"/>
    <x v="1"/>
    <x v="9"/>
    <s v="-"/>
    <n v="4.2199997901916504"/>
    <n v="1813.90002441406"/>
    <x v="163"/>
    <n v="25534481470"/>
    <n v="0.19"/>
  </r>
  <r>
    <x v="164"/>
    <s v="dic/22"/>
    <d v="2022-12-15T00:00:00"/>
    <s v="jueves"/>
    <s v=" Abierto"/>
    <x v="1"/>
    <x v="10"/>
    <s v="-"/>
    <n v="4.2129998207092196"/>
    <n v="1807.5"/>
    <x v="164"/>
    <n v="20964448341"/>
    <n v="-2.5299999999999998"/>
  </r>
  <r>
    <x v="165"/>
    <s v="dic/22"/>
    <d v="2022-12-16T00:00:00"/>
    <s v="viernes"/>
    <s v=" Abierto"/>
    <x v="1"/>
    <x v="23"/>
    <s v="-"/>
    <n v="4.1630001068115199"/>
    <n v="1777.19995117187"/>
    <x v="165"/>
    <n v="24031608960"/>
    <n v="-4.13"/>
  </r>
  <r>
    <x v="166"/>
    <s v="dic/22"/>
    <d v="2022-12-17T00:00:00"/>
    <s v="sábado"/>
    <s v="Cerrado"/>
    <x v="1"/>
    <x v="14"/>
    <s v="-"/>
    <n v="4.1630001068115199"/>
    <n v="1790"/>
    <x v="166"/>
    <n v="14463581825"/>
    <n v="0.89"/>
  </r>
  <r>
    <x v="167"/>
    <s v="dic/22"/>
    <d v="2022-12-18T00:00:00"/>
    <s v="domingo"/>
    <s v="Cerrado"/>
    <x v="1"/>
    <x v="13"/>
    <s v="-"/>
    <n v="4.1630001068115199"/>
    <n v="1777.19995117187"/>
    <x v="167"/>
    <n v="10924354698"/>
    <n v="-0.22"/>
  </r>
  <r>
    <x v="168"/>
    <s v="dic/22"/>
    <d v="2022-12-19T00:00:00"/>
    <s v="lunes"/>
    <s v=" Abierto"/>
    <x v="1"/>
    <x v="23"/>
    <s v="-"/>
    <n v="4.1630001068115199"/>
    <n v="1790"/>
    <x v="168"/>
    <n v="17221074814"/>
    <n v="-1.9"/>
  </r>
  <r>
    <x v="169"/>
    <s v="dic/22"/>
    <d v="2022-12-20T00:00:00"/>
    <s v="martes"/>
    <s v=" Abierto"/>
    <x v="1"/>
    <x v="23"/>
    <s v="-"/>
    <n v="4.2300000190734801"/>
    <n v="1787.69995117187"/>
    <x v="169"/>
    <n v="22722096615"/>
    <n v="2.84"/>
  </r>
  <r>
    <x v="170"/>
    <s v="dic/22"/>
    <d v="2022-12-21T00:00:00"/>
    <s v="miércoles"/>
    <s v=" Abierto"/>
    <x v="1"/>
    <x v="13"/>
    <s v="-"/>
    <n v="4.2049999237060502"/>
    <n v="1815.90002441406"/>
    <x v="170"/>
    <n v="14882945045"/>
    <n v="-0.53"/>
  </r>
  <r>
    <x v="171"/>
    <s v="dic/22"/>
    <d v="2022-12-22T00:00:00"/>
    <s v="jueves"/>
    <s v=" Abierto"/>
    <x v="1"/>
    <x v="14"/>
    <s v="-"/>
    <n v="4.2080001831054599"/>
    <n v="1815.90002441406"/>
    <x v="171"/>
    <n v="16441573050"/>
    <n v="0.08"/>
  </r>
  <r>
    <x v="172"/>
    <s v="dic/22"/>
    <d v="2022-12-23T00:00:00"/>
    <s v="viernes"/>
    <s v=" Abierto"/>
    <x v="1"/>
    <x v="24"/>
    <s v="-"/>
    <n v="4.1929998397827104"/>
    <n v="1787"/>
    <x v="172"/>
    <n v="15329265213"/>
    <n v="-0.2"/>
  </r>
  <r>
    <x v="173"/>
    <s v="dic/22"/>
    <d v="2022-12-24T00:00:00"/>
    <s v="sábado"/>
    <s v="Cerrado"/>
    <x v="1"/>
    <x v="23"/>
    <s v="-"/>
    <n v="4.1929998397827104"/>
    <n v="1795.90002441406"/>
    <x v="173"/>
    <n v="9744636213"/>
    <n v="0.3"/>
  </r>
  <r>
    <x v="174"/>
    <s v="dic/22"/>
    <d v="2022-12-25T00:00:00"/>
    <s v="domingo"/>
    <s v="Cerrado"/>
    <x v="1"/>
    <x v="23"/>
    <s v="-"/>
    <n v="4.1929998397827104"/>
    <n v="1787"/>
    <x v="174"/>
    <n v="11656379938"/>
    <n v="-0.03"/>
  </r>
  <r>
    <x v="175"/>
    <s v="dic/22"/>
    <d v="2022-12-26T00:00:00"/>
    <s v="lunes"/>
    <s v=" Abierto"/>
    <x v="1"/>
    <x v="14"/>
    <s v="-"/>
    <n v="4.1929998397827104"/>
    <n v="1795.90002441406"/>
    <x v="175"/>
    <n v="11886957804"/>
    <n v="0.46"/>
  </r>
  <r>
    <x v="176"/>
    <s v="dic/22"/>
    <d v="2022-12-27T00:00:00"/>
    <s v="martes"/>
    <s v=" Abierto"/>
    <x v="1"/>
    <x v="24"/>
    <s v="-"/>
    <n v="4.1950001716613698"/>
    <n v="1787"/>
    <x v="176"/>
    <n v="15748580239"/>
    <n v="-1.2"/>
  </r>
  <r>
    <x v="177"/>
    <s v="dic/22"/>
    <d v="2022-12-28T00:00:00"/>
    <s v="miércoles"/>
    <s v=" Abierto"/>
    <x v="1"/>
    <x v="14"/>
    <s v="-"/>
    <n v="4.3379998207092196"/>
    <n v="1814.80004882812"/>
    <x v="177"/>
    <n v="17005713920"/>
    <n v="-0.98"/>
  </r>
  <r>
    <x v="178"/>
    <s v="dic/22"/>
    <d v="2022-12-29T00:00:00"/>
    <s v="jueves"/>
    <s v=" Abierto"/>
    <x v="1"/>
    <x v="14"/>
    <s v="-"/>
    <n v="4.29500007629394"/>
    <n v="1807.90002441406"/>
    <x v="178"/>
    <n v="14472237479"/>
    <n v="0.54"/>
  </r>
  <r>
    <x v="179"/>
    <s v="dic/22"/>
    <d v="2022-12-30T00:00:00"/>
    <s v="viernes"/>
    <s v=" Abierto"/>
    <x v="1"/>
    <x v="14"/>
    <s v="-"/>
    <n v="4.2600002288818297"/>
    <n v="1819.5"/>
    <x v="179"/>
    <n v="15929162910"/>
    <n v="-0.24"/>
  </r>
  <r>
    <x v="180"/>
    <s v="dic/22"/>
    <d v="2022-12-31T00:00:00"/>
    <s v="sábado"/>
    <s v="Cerrado"/>
    <x v="1"/>
    <x v="25"/>
    <s v="-"/>
    <n v="4.2600002288818297"/>
    <n v="1819.69995117187"/>
    <x v="180"/>
    <n v="11239186456"/>
    <n v="-0.33"/>
  </r>
  <r>
    <x v="181"/>
    <s v="ene/23"/>
    <d v="2023-01-01T00:00:00"/>
    <s v="domingo"/>
    <s v="Cerrado"/>
    <x v="1"/>
    <x v="13"/>
    <s v="-"/>
    <n v="4.2600002288818297"/>
    <n v="1819.5"/>
    <x v="181"/>
    <n v="9244361700"/>
    <n v="0.47"/>
  </r>
  <r>
    <x v="182"/>
    <s v="ene/23"/>
    <d v="2023-01-02T00:00:00"/>
    <s v="lunes"/>
    <s v=" Abierto"/>
    <x v="1"/>
    <x v="24"/>
    <s v="-"/>
    <n v="4.2600002288818297"/>
    <n v="1819.69995117187"/>
    <x v="182"/>
    <n v="12097775227"/>
    <n v="0.38"/>
  </r>
  <r>
    <x v="183"/>
    <s v="ene/23"/>
    <d v="2023-01-03T00:00:00"/>
    <s v="martes"/>
    <s v=" Abierto"/>
    <x v="1"/>
    <x v="13"/>
    <s v="-"/>
    <n v="4.25500011444091"/>
    <n v="1819.5"/>
    <x v="183"/>
    <n v="13903079207"/>
    <n v="-0.05"/>
  </r>
  <r>
    <x v="184"/>
    <s v="ene/23"/>
    <d v="2023-01-04T00:00:00"/>
    <s v="miércoles"/>
    <s v=" Abierto"/>
    <x v="1"/>
    <x v="23"/>
    <s v="-"/>
    <n v="4.4000000953674299"/>
    <n v="1839.69995117187"/>
    <x v="184"/>
    <n v="18421743322"/>
    <n v="1.1000000000000001"/>
  </r>
  <r>
    <x v="185"/>
    <s v="ene/23"/>
    <d v="2023-01-05T00:00:00"/>
    <s v="jueves"/>
    <s v=" Abierto"/>
    <x v="1"/>
    <x v="23"/>
    <s v="-"/>
    <n v="4.4980001449584899"/>
    <n v="1852.80004882812"/>
    <x v="185"/>
    <n v="13692758566"/>
    <n v="-0.16"/>
  </r>
  <r>
    <x v="186"/>
    <s v="ene/23"/>
    <d v="2023-01-06T00:00:00"/>
    <s v="viernes"/>
    <s v=" Abierto"/>
    <x v="1"/>
    <x v="13"/>
    <s v="-"/>
    <n v="4.4930000305175701"/>
    <n v="1834.80004882812"/>
    <x v="186"/>
    <n v="14413662913"/>
    <n v="0.68"/>
  </r>
  <r>
    <x v="187"/>
    <s v="ene/23"/>
    <d v="2023-01-07T00:00:00"/>
    <s v="sábado"/>
    <s v="Cerrado"/>
    <x v="1"/>
    <x v="25"/>
    <s v="-"/>
    <n v="4.4930000305175701"/>
    <n v="1864.19995117187"/>
    <x v="187"/>
    <n v="7714767174"/>
    <n v="0.02"/>
  </r>
  <r>
    <x v="188"/>
    <s v="ene/23"/>
    <d v="2023-01-08T00:00:00"/>
    <s v="domingo"/>
    <s v="Cerrado"/>
    <x v="1"/>
    <x v="25"/>
    <s v="-"/>
    <n v="4.4930000305175701"/>
    <n v="1834.80004882812"/>
    <x v="188"/>
    <n v="9768827914"/>
    <n v="0.8"/>
  </r>
  <r>
    <x v="189"/>
    <s v="ene/23"/>
    <d v="2023-01-09T00:00:00"/>
    <s v="lunes"/>
    <s v=" Abierto"/>
    <x v="1"/>
    <x v="25"/>
    <s v="-"/>
    <n v="4.4829998016357404"/>
    <n v="1864.19995117187"/>
    <x v="189"/>
    <n v="18624736866"/>
    <n v="0.62"/>
  </r>
  <r>
    <x v="190"/>
    <s v="ene/23"/>
    <d v="2023-01-10T00:00:00"/>
    <s v="martes"/>
    <s v=" Abierto"/>
    <x v="1"/>
    <x v="13"/>
    <s v="-"/>
    <n v="4.5650000572204501"/>
    <n v="1872.69995117187"/>
    <x v="190"/>
    <n v="15808338949"/>
    <n v="1.45"/>
  </r>
  <r>
    <x v="191"/>
    <s v="ene/23"/>
    <d v="2023-01-11T00:00:00"/>
    <s v="miércoles"/>
    <s v=" Abierto"/>
    <x v="1"/>
    <x v="13"/>
    <s v="-"/>
    <n v="4.5549998283386204"/>
    <n v="1871.59997558593"/>
    <x v="191"/>
    <n v="18372283782"/>
    <n v="2.8"/>
  </r>
  <r>
    <x v="192"/>
    <s v="ene/23"/>
    <d v="2023-01-12T00:00:00"/>
    <s v="jueves"/>
    <s v=" Abierto"/>
    <x v="1"/>
    <x v="9"/>
    <s v="-"/>
    <n v="4.4749999046325604"/>
    <n v="1874.59997558593"/>
    <x v="192"/>
    <n v="34971338710"/>
    <n v="5.21"/>
  </r>
  <r>
    <x v="193"/>
    <s v="ene/23"/>
    <d v="2023-01-13T00:00:00"/>
    <s v="viernes"/>
    <s v=" Abierto"/>
    <x v="1"/>
    <x v="10"/>
    <s v="-"/>
    <n v="4.4879999160766602"/>
    <n v="1895.5"/>
    <x v="193"/>
    <n v="29225029694"/>
    <n v="5.51"/>
  </r>
  <r>
    <x v="194"/>
    <s v="ene/23"/>
    <d v="2023-01-14T00:00:00"/>
    <s v="sábado"/>
    <s v="Cerrado"/>
    <x v="1"/>
    <x v="19"/>
    <s v="-"/>
    <n v="4.4879999160766602"/>
    <n v="1918.40002441406"/>
    <x v="194"/>
    <n v="38967784639"/>
    <n v="5.36"/>
  </r>
  <r>
    <x v="195"/>
    <s v="ene/23"/>
    <d v="2023-01-15T00:00:00"/>
    <s v="domingo"/>
    <s v="Cerrado"/>
    <x v="2"/>
    <x v="29"/>
    <s v="-"/>
    <n v="4.4879999160766602"/>
    <n v="1895.5"/>
    <x v="195"/>
    <n v="19298407543"/>
    <n v="-0.46"/>
  </r>
  <r>
    <x v="196"/>
    <s v="ene/23"/>
    <d v="2023-01-16T00:00:00"/>
    <s v="lunes"/>
    <s v=" Abierto"/>
    <x v="1"/>
    <x v="21"/>
    <s v="-"/>
    <n v="4.4879999160766602"/>
    <n v="1918.40002441406"/>
    <x v="196"/>
    <n v="26792494050"/>
    <n v="1.38"/>
  </r>
  <r>
    <x v="197"/>
    <s v="ene/23"/>
    <d v="2023-01-17T00:00:00"/>
    <s v="martes"/>
    <s v=" Abierto"/>
    <x v="2"/>
    <x v="30"/>
    <s v="-"/>
    <n v="4.4930000305175701"/>
    <n v="1895.5"/>
    <x v="197"/>
    <n v="24999983362"/>
    <n v="-0.04"/>
  </r>
  <r>
    <x v="198"/>
    <s v="ene/23"/>
    <d v="2023-01-18T00:00:00"/>
    <s v="miércoles"/>
    <s v=" Abierto"/>
    <x v="2"/>
    <x v="29"/>
    <s v="-"/>
    <n v="4.5300002098083496"/>
    <n v="1907.19995117187"/>
    <x v="198"/>
    <n v="30005625418"/>
    <n v="-2.23"/>
  </r>
  <r>
    <x v="199"/>
    <s v="ene/23"/>
    <d v="2023-01-19T00:00:00"/>
    <s v="jueves"/>
    <s v=" Abierto"/>
    <x v="1"/>
    <x v="21"/>
    <s v="-"/>
    <n v="4.5250000953674299"/>
    <n v="1904.40002441406"/>
    <x v="199"/>
    <n v="21152848261"/>
    <n v="1.92"/>
  </r>
  <r>
    <x v="200"/>
    <s v="ene/23"/>
    <d v="2023-01-20T00:00:00"/>
    <s v="viernes"/>
    <s v=" Abierto"/>
    <x v="2"/>
    <x v="30"/>
    <s v="-"/>
    <n v="4.5380001068115199"/>
    <n v="1922.09997558593"/>
    <x v="200"/>
    <n v="28799154319"/>
    <n v="7.54"/>
  </r>
  <r>
    <x v="201"/>
    <s v="ene/23"/>
    <d v="2023-01-21T00:00:00"/>
    <s v="sábado"/>
    <s v="Cerrado"/>
    <x v="2"/>
    <x v="31"/>
    <s v="-"/>
    <n v="4.5380001068115199"/>
    <n v="1926.40002441406"/>
    <x v="201"/>
    <n v="32442278429"/>
    <n v="0.45"/>
  </r>
  <r>
    <x v="202"/>
    <s v="ene/23"/>
    <d v="2023-01-22T00:00:00"/>
    <s v="domingo"/>
    <s v="Cerrado"/>
    <x v="2"/>
    <x v="31"/>
    <s v="-"/>
    <n v="4.5380001068115199"/>
    <n v="1922.09997558593"/>
    <x v="202"/>
    <n v="24746386230"/>
    <n v="-0.25"/>
  </r>
  <r>
    <x v="203"/>
    <s v="ene/23"/>
    <d v="2023-01-23T00:00:00"/>
    <s v="lunes"/>
    <s v=" Abierto"/>
    <x v="2"/>
    <x v="32"/>
    <s v="-"/>
    <n v="4.5349998474120996"/>
    <n v="1926.40002441406"/>
    <x v="203"/>
    <n v="26518700512"/>
    <n v="0.94"/>
  </r>
  <r>
    <x v="204"/>
    <s v="ene/23"/>
    <d v="2023-01-24T00:00:00"/>
    <s v="martes"/>
    <s v=" Abierto"/>
    <x v="2"/>
    <x v="29"/>
    <s v="-"/>
    <n v="4.5729999542236301"/>
    <n v="1927.09997558593"/>
    <x v="204"/>
    <n v="26405069715"/>
    <n v="-1.3"/>
  </r>
  <r>
    <x v="205"/>
    <s v="ene/23"/>
    <d v="2023-01-25T00:00:00"/>
    <s v="miércoles"/>
    <s v=" Abierto"/>
    <x v="2"/>
    <x v="30"/>
    <n v="5"/>
    <n v="4.54500007629394"/>
    <n v="1933.90002441406"/>
    <x v="205"/>
    <n v="30685366709"/>
    <n v="2.13"/>
  </r>
  <r>
    <x v="206"/>
    <s v="ene/23"/>
    <d v="2023-01-26T00:00:00"/>
    <s v="jueves"/>
    <s v=" Abierto"/>
    <x v="2"/>
    <x v="33"/>
    <s v="-"/>
    <n v="4.5430002212524396"/>
    <n v="1941.19995117187"/>
    <x v="206"/>
    <n v="26357839322"/>
    <n v="-0.37"/>
  </r>
  <r>
    <x v="207"/>
    <s v="ene/23"/>
    <d v="2023-01-27T00:00:00"/>
    <s v="viernes"/>
    <s v=" Abierto"/>
    <x v="2"/>
    <x v="34"/>
    <s v="-"/>
    <n v="4.5479998588562003"/>
    <n v="1929.09997558593"/>
    <x v="207"/>
    <n v="25383335641"/>
    <n v="0.2"/>
  </r>
  <r>
    <x v="208"/>
    <s v="ene/23"/>
    <d v="2023-01-28T00:00:00"/>
    <s v="sábado"/>
    <s v="Cerrado"/>
    <x v="2"/>
    <x v="29"/>
    <s v="-"/>
    <n v="4.5479998588562003"/>
    <n v="1928.59997558593"/>
    <x v="208"/>
    <n v="14712928379"/>
    <n v="-0.21"/>
  </r>
  <r>
    <x v="209"/>
    <s v="ene/23"/>
    <d v="2023-01-29T00:00:00"/>
    <s v="domingo"/>
    <s v="Cerrado"/>
    <x v="2"/>
    <x v="34"/>
    <s v="-"/>
    <n v="4.5479998588562003"/>
    <n v="1929.09997558593"/>
    <x v="209"/>
    <n v="27423687259"/>
    <n v="3.23"/>
  </r>
  <r>
    <x v="210"/>
    <s v="ene/23"/>
    <d v="2023-01-30T00:00:00"/>
    <s v="lunes"/>
    <s v=" Abierto"/>
    <x v="2"/>
    <x v="35"/>
    <s v="-"/>
    <n v="4.5349998474120996"/>
    <n v="1928.59997558593"/>
    <x v="210"/>
    <n v="27205595568"/>
    <n v="-3.93"/>
  </r>
  <r>
    <x v="211"/>
    <s v="ene/23"/>
    <d v="2023-01-31T00:00:00"/>
    <s v="martes"/>
    <s v=" Abierto"/>
    <x v="2"/>
    <x v="30"/>
    <s v="-"/>
    <n v="4.5700001716613698"/>
    <n v="1922.90002441406"/>
    <x v="211"/>
    <n v="22837828665"/>
    <n v="1.31"/>
  </r>
  <r>
    <x v="212"/>
    <s v="feb/23"/>
    <d v="2023-02-01T00:00:00"/>
    <s v="miércoles"/>
    <s v=" Abierto"/>
    <x v="2"/>
    <x v="36"/>
    <s v="-"/>
    <n v="4.5199999809265101"/>
    <n v="1929.5"/>
    <x v="212"/>
    <n v="26683255504"/>
    <n v="2.5299999999999998"/>
  </r>
  <r>
    <x v="213"/>
    <s v="feb/23"/>
    <d v="2023-02-02T00:00:00"/>
    <s v="jueves"/>
    <s v=" Abierto"/>
    <x v="2"/>
    <x v="37"/>
    <s v="-"/>
    <n v="4.5100002288818297"/>
    <n v="1927.80004882812"/>
    <x v="213"/>
    <n v="32066936882"/>
    <n v="-1.06"/>
  </r>
  <r>
    <x v="214"/>
    <s v="feb/23"/>
    <d v="2023-02-03T00:00:00"/>
    <s v="viernes"/>
    <s v=" Abierto"/>
    <x v="2"/>
    <x v="37"/>
    <s v="-"/>
    <n v="4.5229997634887598"/>
    <n v="1916.30004882812"/>
    <x v="214"/>
    <n v="27083066007"/>
    <n v="-0.1"/>
  </r>
  <r>
    <x v="215"/>
    <s v="feb/23"/>
    <d v="2023-02-04T00:00:00"/>
    <s v="sábado"/>
    <s v="Cerrado"/>
    <x v="2"/>
    <x v="38"/>
    <s v="-"/>
    <n v="4.5229997634887598"/>
    <n v="1862.90002441406"/>
    <x v="215"/>
    <n v="15639298538"/>
    <n v="-0.5"/>
  </r>
  <r>
    <x v="216"/>
    <s v="feb/23"/>
    <d v="2023-02-05T00:00:00"/>
    <s v="domingo"/>
    <s v="Cerrado"/>
    <x v="2"/>
    <x v="38"/>
    <s v="-"/>
    <n v="4.5229997634887598"/>
    <n v="1916.30004882812"/>
    <x v="216"/>
    <n v="19564262605"/>
    <n v="-1.61"/>
  </r>
  <r>
    <x v="217"/>
    <s v="feb/23"/>
    <d v="2023-02-06T00:00:00"/>
    <s v="lunes"/>
    <s v=" Abierto"/>
    <x v="2"/>
    <x v="36"/>
    <s v="-"/>
    <n v="4.5329999923706001"/>
    <n v="1862.90002441406"/>
    <x v="217"/>
    <n v="23825006542"/>
    <n v="-0.85"/>
  </r>
  <r>
    <x v="218"/>
    <s v="feb/23"/>
    <d v="2023-02-07T00:00:00"/>
    <s v="martes"/>
    <s v=" Abierto"/>
    <x v="2"/>
    <x v="33"/>
    <s v="-"/>
    <n v="4.5700001716613698"/>
    <n v="1866.19995117187"/>
    <x v="218"/>
    <n v="27187964471"/>
    <n v="2.2200000000000002"/>
  </r>
  <r>
    <x v="219"/>
    <s v="feb/23"/>
    <d v="2023-02-08T00:00:00"/>
    <s v="miércoles"/>
    <s v=" Abierto"/>
    <x v="2"/>
    <x v="38"/>
    <s v="-"/>
    <n v="4.58500003814697"/>
    <n v="1871.69995117187"/>
    <x v="219"/>
    <n v="25371367758"/>
    <n v="-1.4"/>
  </r>
  <r>
    <x v="220"/>
    <s v="feb/23"/>
    <d v="2023-02-09T00:00:00"/>
    <s v="jueves"/>
    <s v=" Abierto"/>
    <x v="2"/>
    <x v="34"/>
    <s v="-"/>
    <n v="4.6129999160766602"/>
    <n v="1877.40002441406"/>
    <x v="220"/>
    <n v="32572572185"/>
    <n v="-4.88"/>
  </r>
  <r>
    <x v="221"/>
    <s v="feb/23"/>
    <d v="2023-02-10T00:00:00"/>
    <s v="viernes"/>
    <s v=" Abierto"/>
    <x v="1"/>
    <x v="39"/>
    <s v="-"/>
    <n v="4.6350002288818297"/>
    <n v="1866.19995117187"/>
    <x v="221"/>
    <n v="27078406594"/>
    <n v="-0.77"/>
  </r>
  <r>
    <x v="222"/>
    <s v="feb/23"/>
    <d v="2023-02-11T00:00:00"/>
    <s v="sábado"/>
    <s v="Cerrado"/>
    <x v="1"/>
    <x v="40"/>
    <s v="-"/>
    <n v="4.6350002288818297"/>
    <n v="1862.80004882812"/>
    <x v="222"/>
    <n v="16356226232"/>
    <n v="1.01"/>
  </r>
  <r>
    <x v="223"/>
    <s v="feb/23"/>
    <d v="2023-02-12T00:00:00"/>
    <s v="domingo"/>
    <s v="Cerrado"/>
    <x v="2"/>
    <x v="32"/>
    <s v="-"/>
    <n v="4.6350002288818297"/>
    <n v="1866.19995117187"/>
    <x v="223"/>
    <n v="17821046406"/>
    <n v="-0.38"/>
  </r>
  <r>
    <x v="224"/>
    <s v="feb/23"/>
    <d v="2023-02-13T00:00:00"/>
    <s v="lunes"/>
    <s v=" Abierto"/>
    <x v="1"/>
    <x v="39"/>
    <s v="-"/>
    <n v="4.6449999809265101"/>
    <n v="1862.80004882812"/>
    <x v="224"/>
    <n v="23918742607"/>
    <n v="0.09"/>
  </r>
  <r>
    <x v="225"/>
    <s v="feb/23"/>
    <d v="2023-02-14T00:00:00"/>
    <s v="martes"/>
    <s v=" Abierto"/>
    <x v="2"/>
    <x v="32"/>
    <s v="-"/>
    <n v="4.6599998474120996"/>
    <n v="1851.90002441406"/>
    <x v="225"/>
    <n v="26792596581"/>
    <n v="1.89"/>
  </r>
  <r>
    <x v="226"/>
    <s v="feb/23"/>
    <d v="2023-02-15T00:00:00"/>
    <s v="miércoles"/>
    <s v=" Abierto"/>
    <x v="2"/>
    <x v="31"/>
    <s v="-"/>
    <n v="4.6430001258850098"/>
    <n v="1854"/>
    <x v="226"/>
    <n v="32483312909"/>
    <n v="9.39"/>
  </r>
  <r>
    <x v="227"/>
    <s v="feb/23"/>
    <d v="2023-02-16T00:00:00"/>
    <s v="jueves"/>
    <s v=" Abierto"/>
    <x v="2"/>
    <x v="41"/>
    <s v="-"/>
    <n v="4.6649999618530202"/>
    <n v="1834.19995117187"/>
    <x v="227"/>
    <n v="39316664596"/>
    <n v="-2.82"/>
  </r>
  <r>
    <x v="228"/>
    <s v="feb/23"/>
    <d v="2023-02-17T00:00:00"/>
    <s v="viernes"/>
    <s v=" Abierto"/>
    <x v="2"/>
    <x v="35"/>
    <s v="-"/>
    <n v="4.6799998283386204"/>
    <n v="1842"/>
    <x v="228"/>
    <n v="41358451255"/>
    <n v="3.99"/>
  </r>
  <r>
    <x v="229"/>
    <s v="feb/23"/>
    <d v="2023-02-18T00:00:00"/>
    <s v="sábado"/>
    <s v="Cerrado"/>
    <x v="2"/>
    <x v="37"/>
    <s v="-"/>
    <n v="4.6799998283386204"/>
    <n v="1840.40002441406"/>
    <x v="229"/>
    <n v="19625427158"/>
    <n v="0.31"/>
  </r>
  <r>
    <x v="230"/>
    <s v="feb/23"/>
    <d v="2023-02-19T00:00:00"/>
    <s v="domingo"/>
    <s v="Cerrado"/>
    <x v="2"/>
    <x v="37"/>
    <s v="-"/>
    <n v="4.6799998283386204"/>
    <n v="1842"/>
    <x v="230"/>
    <n v="25555105670"/>
    <n v="-1.27"/>
  </r>
  <r>
    <x v="231"/>
    <s v="feb/23"/>
    <d v="2023-02-20T00:00:00"/>
    <s v="lunes"/>
    <s v=" Abierto"/>
    <x v="2"/>
    <x v="38"/>
    <s v="-"/>
    <n v="4.6799998283386204"/>
    <n v="1840.40002441406"/>
    <x v="231"/>
    <n v="28987376573"/>
    <n v="2.06"/>
  </r>
  <r>
    <x v="232"/>
    <s v="feb/23"/>
    <d v="2023-02-21T00:00:00"/>
    <s v="martes"/>
    <s v=" Abierto"/>
    <x v="2"/>
    <x v="37"/>
    <s v="-"/>
    <n v="4.6880002021789497"/>
    <n v="1842"/>
    <x v="232"/>
    <n v="31252098714"/>
    <n v="-1.58"/>
  </r>
  <r>
    <x v="233"/>
    <s v="feb/23"/>
    <d v="2023-02-22T00:00:00"/>
    <s v="miércoles"/>
    <s v=" Abierto"/>
    <x v="2"/>
    <x v="42"/>
    <s v="-"/>
    <n v="4.6950001716613698"/>
    <n v="1833"/>
    <x v="233"/>
    <n v="30199996781"/>
    <n v="-1.01"/>
  </r>
  <r>
    <x v="234"/>
    <s v="feb/23"/>
    <d v="2023-02-23T00:00:00"/>
    <s v="jueves"/>
    <s v=" Abierto"/>
    <x v="2"/>
    <x v="36"/>
    <s v="-"/>
    <n v="4.6900000572204501"/>
    <n v="1832"/>
    <x v="234"/>
    <n v="30476264066"/>
    <n v="-1"/>
  </r>
  <r>
    <x v="235"/>
    <s v="feb/23"/>
    <d v="2023-02-24T00:00:00"/>
    <s v="viernes"/>
    <s v=" Abierto"/>
    <x v="2"/>
    <x v="31"/>
    <s v="-"/>
    <n v="4.7030000686645499"/>
    <n v="1818"/>
    <x v="235"/>
    <n v="26811744928"/>
    <n v="-3.13"/>
  </r>
  <r>
    <x v="236"/>
    <s v="feb/23"/>
    <d v="2023-02-25T00:00:00"/>
    <s v="sábado"/>
    <s v="Cerrado"/>
    <x v="2"/>
    <x v="29"/>
    <s v="-"/>
    <n v="4.7030000686645499"/>
    <n v="1808.80004882812"/>
    <x v="236"/>
    <n v="16100721565"/>
    <n v="-0.1"/>
  </r>
  <r>
    <x v="237"/>
    <s v="feb/23"/>
    <d v="2023-02-26T00:00:00"/>
    <s v="domingo"/>
    <s v="Cerrado"/>
    <x v="2"/>
    <x v="30"/>
    <s v="-"/>
    <n v="4.7030000686645499"/>
    <n v="1818"/>
    <x v="237"/>
    <n v="16644534842"/>
    <n v="1.66"/>
  </r>
  <r>
    <x v="238"/>
    <s v="feb/23"/>
    <d v="2023-02-27T00:00:00"/>
    <s v="lunes"/>
    <s v=" Abierto"/>
    <x v="2"/>
    <x v="32"/>
    <s v="-"/>
    <n v="4.6649999618530202"/>
    <n v="1808.80004882812"/>
    <x v="238"/>
    <n v="22660763494"/>
    <n v="-0.16"/>
  </r>
  <r>
    <x v="239"/>
    <s v="feb/23"/>
    <d v="2023-02-28T00:00:00"/>
    <s v="martes"/>
    <s v=" Abierto"/>
    <x v="2"/>
    <x v="31"/>
    <s v="-"/>
    <n v="4.71000003814697"/>
    <n v="1817"/>
    <x v="239"/>
    <n v="20535363434"/>
    <n v="-1.6"/>
  </r>
  <r>
    <x v="240"/>
    <s v="mar/23"/>
    <d v="2023-03-01T00:00:00"/>
    <s v="miércoles"/>
    <s v=" Abierto"/>
    <x v="2"/>
    <x v="32"/>
    <s v="-"/>
    <n v="4.7249999046325604"/>
    <n v="1828.90002441406"/>
    <x v="240"/>
    <n v="24662841200"/>
    <n v="2.16"/>
  </r>
  <r>
    <x v="241"/>
    <s v="mar/23"/>
    <d v="2023-03-02T00:00:00"/>
    <s v="jueves"/>
    <s v=" Abierto"/>
    <x v="2"/>
    <x v="30"/>
    <s v="-"/>
    <n v="4.72300004959106"/>
    <n v="1837.69995117187"/>
    <x v="241"/>
    <n v="20386398516"/>
    <n v="-0.72"/>
  </r>
  <r>
    <x v="242"/>
    <s v="mar/23"/>
    <d v="2023-03-03T00:00:00"/>
    <s v="viernes"/>
    <s v=" Abierto"/>
    <x v="2"/>
    <x v="32"/>
    <s v="-"/>
    <n v="4.7179999351501403"/>
    <n v="1833.5"/>
    <x v="242"/>
    <n v="26062404610"/>
    <n v="-4.74"/>
  </r>
  <r>
    <x v="243"/>
    <s v="mar/23"/>
    <d v="2023-03-04T00:00:00"/>
    <s v="sábado"/>
    <s v="Cerrado"/>
    <x v="2"/>
    <x v="32"/>
    <s v="-"/>
    <n v="4.7179999351501403"/>
    <n v="1847.69995117187"/>
    <x v="243"/>
    <n v="11166012913"/>
    <n v="-0.04"/>
  </r>
  <r>
    <x v="244"/>
    <s v="mar/23"/>
    <d v="2023-03-05T00:00:00"/>
    <s v="domingo"/>
    <s v="Cerrado"/>
    <x v="1"/>
    <x v="20"/>
    <s v="-"/>
    <n v="4.7179999351501403"/>
    <n v="1833.5"/>
    <x v="244"/>
    <n v="13317001733"/>
    <n v="0.37"/>
  </r>
  <r>
    <x v="245"/>
    <s v="mar/23"/>
    <d v="2023-03-06T00:00:00"/>
    <s v="lunes"/>
    <s v=" Abierto"/>
    <x v="1"/>
    <x v="39"/>
    <s v="-"/>
    <n v="4.7280001640319798"/>
    <n v="1847.69995117187"/>
    <x v="245"/>
    <n v="17353192895"/>
    <n v="-0.03"/>
  </r>
  <r>
    <x v="246"/>
    <s v="mar/23"/>
    <d v="2023-03-07T00:00:00"/>
    <s v="martes"/>
    <s v=" Abierto"/>
    <x v="1"/>
    <x v="40"/>
    <s v="-"/>
    <n v="4.8449997901916504"/>
    <n v="1847.90002441406"/>
    <x v="246"/>
    <n v="22765452204"/>
    <n v="-0.94"/>
  </r>
  <r>
    <x v="247"/>
    <s v="mar/23"/>
    <d v="2023-03-08T00:00:00"/>
    <s v="miércoles"/>
    <s v=" Abierto"/>
    <x v="2"/>
    <x v="32"/>
    <s v="-"/>
    <n v="4.8829998970031703"/>
    <n v="1813.90002441406"/>
    <x v="247"/>
    <n v="22536575684"/>
    <n v="-2.2599999999999998"/>
  </r>
  <r>
    <x v="248"/>
    <s v="mar/23"/>
    <d v="2023-03-09T00:00:00"/>
    <s v="jueves"/>
    <s v=" Abierto"/>
    <x v="1"/>
    <x v="22"/>
    <s v="-"/>
    <n v="4.84800004959106"/>
    <n v="1812.69995117187"/>
    <x v="248"/>
    <n v="30364664171"/>
    <n v="-6.24"/>
  </r>
  <r>
    <x v="249"/>
    <s v="mar/23"/>
    <d v="2023-03-10T00:00:00"/>
    <s v="viernes"/>
    <s v=" Abierto"/>
    <x v="1"/>
    <x v="11"/>
    <s v="-"/>
    <n v="4.8029999732971103"/>
    <n v="1829.30004882812"/>
    <x v="249"/>
    <n v="39578257695"/>
    <n v="-0.86"/>
  </r>
  <r>
    <x v="250"/>
    <s v="mar/23"/>
    <d v="2023-03-11T00:00:00"/>
    <s v="sábado"/>
    <s v="Cerrado"/>
    <x v="1"/>
    <x v="12"/>
    <s v="-"/>
    <n v="4.8029999732971103"/>
    <n v="1862"/>
    <x v="250"/>
    <n v="30180288176"/>
    <n v="2.21"/>
  </r>
  <r>
    <x v="251"/>
    <s v="mar/23"/>
    <d v="2023-03-12T00:00:00"/>
    <s v="domingo"/>
    <s v="Cerrado"/>
    <x v="1"/>
    <x v="12"/>
    <s v="-"/>
    <n v="4.8029999732971103"/>
    <n v="1829.30004882812"/>
    <x v="251"/>
    <n v="29279035521"/>
    <n v="7.42"/>
  </r>
  <r>
    <x v="252"/>
    <s v="mar/23"/>
    <d v="2023-03-13T00:00:00"/>
    <s v="lunes"/>
    <s v=" Abierto"/>
    <x v="1"/>
    <x v="40"/>
    <s v="-"/>
    <n v="4.6579999923706001"/>
    <n v="1862"/>
    <x v="252"/>
    <n v="49466362688"/>
    <n v="9.18"/>
  </r>
  <r>
    <x v="253"/>
    <s v="mar/23"/>
    <d v="2023-03-14T00:00:00"/>
    <s v="martes"/>
    <s v=" Abierto"/>
    <x v="2"/>
    <x v="36"/>
    <s v="-"/>
    <n v="4.6799998283386204"/>
    <n v="1911.69995117187"/>
    <x v="253"/>
    <n v="54622230164"/>
    <n v="2.27"/>
  </r>
  <r>
    <x v="254"/>
    <s v="mar/23"/>
    <d v="2023-03-15T00:00:00"/>
    <s v="miércoles"/>
    <s v=" Abierto"/>
    <x v="2"/>
    <x v="32"/>
    <s v="-"/>
    <n v="4.55800008773803"/>
    <n v="1906.19995117187"/>
    <x v="254"/>
    <n v="43655701450"/>
    <n v="-1.5"/>
  </r>
  <r>
    <x v="255"/>
    <s v="mar/23"/>
    <d v="2023-03-16T00:00:00"/>
    <s v="jueves"/>
    <s v=" Abierto"/>
    <x v="2"/>
    <x v="29"/>
    <s v="-"/>
    <n v="4.5300002098083496"/>
    <n v="1926.59997558593"/>
    <x v="255"/>
    <n v="33866061747"/>
    <n v="2.78"/>
  </r>
  <r>
    <x v="256"/>
    <s v="mar/23"/>
    <d v="2023-03-17T00:00:00"/>
    <s v="viernes"/>
    <s v=" Abierto"/>
    <x v="2"/>
    <x v="30"/>
    <s v="-"/>
    <n v="4.2930002212524396"/>
    <n v="1919"/>
    <x v="256"/>
    <n v="50730261335"/>
    <n v="9.4600000000000009"/>
  </r>
  <r>
    <x v="257"/>
    <s v="mar/23"/>
    <d v="2023-03-18T00:00:00"/>
    <s v="sábado"/>
    <s v="Cerrado"/>
    <x v="2"/>
    <x v="43"/>
    <s v="-"/>
    <n v="4.2930002212524396"/>
    <n v="1969.80004882812"/>
    <x v="257"/>
    <n v="35723036817"/>
    <n v="-1.67"/>
  </r>
  <r>
    <x v="258"/>
    <s v="mar/23"/>
    <d v="2023-03-19T00:00:00"/>
    <s v="domingo"/>
    <s v="Cerrado"/>
    <x v="2"/>
    <x v="44"/>
    <s v="-"/>
    <n v="4.2930002212524396"/>
    <n v="1919"/>
    <x v="258"/>
    <n v="37769448859"/>
    <n v="3.98"/>
  </r>
  <r>
    <x v="259"/>
    <s v="mar/23"/>
    <d v="2023-03-20T00:00:00"/>
    <s v="lunes"/>
    <s v=" Abierto"/>
    <x v="2"/>
    <x v="45"/>
    <s v="-"/>
    <n v="4.4650001525878897"/>
    <n v="1969.80004882812"/>
    <x v="259"/>
    <n v="44774027664"/>
    <n v="-0.97"/>
  </r>
  <r>
    <x v="260"/>
    <s v="mar/23"/>
    <d v="2023-03-21T00:00:00"/>
    <s v="martes"/>
    <s v=" Abierto"/>
    <x v="2"/>
    <x v="46"/>
    <s v="-"/>
    <n v="4.6050000190734801"/>
    <n v="1979.19995117187"/>
    <x v="260"/>
    <n v="36102192830"/>
    <n v="1.47"/>
  </r>
  <r>
    <x v="261"/>
    <s v="mar/23"/>
    <d v="2023-03-22T00:00:00"/>
    <s v="miércoles"/>
    <s v=" Abierto"/>
    <x v="2"/>
    <x v="41"/>
    <n v="6"/>
    <n v="4.5630002021789497"/>
    <n v="1938"/>
    <x v="261"/>
    <n v="33382021890"/>
    <n v="-3.08"/>
  </r>
  <r>
    <x v="262"/>
    <s v="mar/23"/>
    <d v="2023-03-23T00:00:00"/>
    <s v="jueves"/>
    <s v=" Abierto"/>
    <x v="2"/>
    <x v="47"/>
    <s v="-"/>
    <n v="4.5029997825622496"/>
    <n v="1946.80004882812"/>
    <x v="262"/>
    <n v="24220433689"/>
    <n v="3.76"/>
  </r>
  <r>
    <x v="263"/>
    <s v="mar/23"/>
    <d v="2023-03-24T00:00:00"/>
    <s v="viernes"/>
    <s v=" Abierto"/>
    <x v="2"/>
    <x v="35"/>
    <s v="-"/>
    <n v="4.5029997825622496"/>
    <n v="1993.80004882812"/>
    <x v="263"/>
    <n v="25980310960"/>
    <n v="-2.97"/>
  </r>
  <r>
    <x v="264"/>
    <s v="mar/23"/>
    <d v="2023-03-25T00:00:00"/>
    <s v="sábado"/>
    <s v="Cerrado"/>
    <x v="2"/>
    <x v="43"/>
    <s v="-"/>
    <n v="4.5029997825622496"/>
    <n v="1982.09997558593"/>
    <x v="264"/>
    <n v="13383005987"/>
    <n v="0.01"/>
  </r>
  <r>
    <x v="265"/>
    <s v="mar/23"/>
    <d v="2023-03-26T00:00:00"/>
    <s v="domingo"/>
    <s v="Cerrado"/>
    <x v="2"/>
    <x v="43"/>
    <s v="-"/>
    <n v="4.5029997825622496"/>
    <n v="1993.80004882812"/>
    <x v="265"/>
    <n v="13878363192"/>
    <n v="1.82"/>
  </r>
  <r>
    <x v="266"/>
    <s v="mar/23"/>
    <d v="2023-03-27T00:00:00"/>
    <s v="lunes"/>
    <s v=" Abierto"/>
    <x v="2"/>
    <x v="43"/>
    <s v="-"/>
    <n v="4.5830001831054599"/>
    <n v="1982.09997558593"/>
    <x v="266"/>
    <n v="18188895178"/>
    <n v="-3.05"/>
  </r>
  <r>
    <x v="267"/>
    <s v="mar/23"/>
    <d v="2023-03-28T00:00:00"/>
    <s v="martes"/>
    <s v=" Abierto"/>
    <x v="2"/>
    <x v="42"/>
    <s v="-"/>
    <n v="4.6279997825622496"/>
    <n v="1952.40002441406"/>
    <x v="267"/>
    <n v="17783600385"/>
    <n v="0.47"/>
  </r>
  <r>
    <x v="268"/>
    <s v="mar/23"/>
    <d v="2023-03-29T00:00:00"/>
    <s v="miércoles"/>
    <s v=" Abierto"/>
    <x v="2"/>
    <x v="47"/>
    <s v="-"/>
    <n v="4.63000011444091"/>
    <n v="1972.40002441406"/>
    <x v="268"/>
    <n v="20684945906"/>
    <n v="3.96"/>
  </r>
  <r>
    <x v="269"/>
    <s v="mar/23"/>
    <d v="2023-03-30T00:00:00"/>
    <s v="jueves"/>
    <s v=" Abierto"/>
    <x v="2"/>
    <x v="37"/>
    <s v="-"/>
    <n v="4.6649999618530202"/>
    <n v="1966.09997558593"/>
    <x v="269"/>
    <n v="22435349951"/>
    <n v="-1.1100000000000001"/>
  </r>
  <r>
    <x v="270"/>
    <s v="mar/23"/>
    <d v="2023-03-31T00:00:00"/>
    <s v="viernes"/>
    <s v=" Abierto"/>
    <x v="2"/>
    <x v="44"/>
    <s v="-"/>
    <n v="4.58500003814697"/>
    <n v="1980.30004882812"/>
    <x v="270"/>
    <n v="19001327598"/>
    <n v="1.59"/>
  </r>
  <r>
    <x v="271"/>
    <s v="abr/23"/>
    <d v="2023-04-01T00:00:00"/>
    <s v="sábado"/>
    <s v="Cerrado"/>
    <x v="2"/>
    <x v="35"/>
    <s v="-"/>
    <n v="4.58500003814697"/>
    <n v="1969"/>
    <x v="271"/>
    <n v="10876469901"/>
    <n v="-0.24"/>
  </r>
  <r>
    <x v="272"/>
    <s v="abr/23"/>
    <d v="2023-04-02T00:00:00"/>
    <s v="domingo"/>
    <s v="Cerrado"/>
    <x v="2"/>
    <x v="44"/>
    <s v="-"/>
    <n v="4.58500003814697"/>
    <n v="1980.30004882812"/>
    <x v="272"/>
    <n v="12284641999"/>
    <n v="-0.75"/>
  </r>
  <r>
    <x v="273"/>
    <s v="abr/23"/>
    <d v="2023-04-03T00:00:00"/>
    <s v="lunes"/>
    <s v=" Abierto"/>
    <x v="2"/>
    <x v="44"/>
    <s v="-"/>
    <n v="4.5700001716613698"/>
    <n v="1969"/>
    <x v="273"/>
    <n v="19556501327"/>
    <n v="-1.45"/>
  </r>
  <r>
    <x v="274"/>
    <s v="abr/23"/>
    <d v="2023-04-04T00:00:00"/>
    <s v="martes"/>
    <s v=" Abierto"/>
    <x v="2"/>
    <x v="41"/>
    <s v="-"/>
    <n v="4.7280001640319798"/>
    <n v="1983.90002441406"/>
    <x v="274"/>
    <n v="15284538859"/>
    <n v="1.36"/>
  </r>
  <r>
    <x v="275"/>
    <s v="abr/23"/>
    <d v="2023-04-05T00:00:00"/>
    <s v="miércoles"/>
    <s v=" Abierto"/>
    <x v="2"/>
    <x v="41"/>
    <s v="-"/>
    <n v="4.7049999237060502"/>
    <n v="2022.19995117187"/>
    <x v="275"/>
    <n v="17052315986"/>
    <n v="0.04"/>
  </r>
  <r>
    <x v="276"/>
    <s v="abr/23"/>
    <d v="2023-04-06T00:00:00"/>
    <s v="jueves"/>
    <s v=" Abierto"/>
    <x v="2"/>
    <x v="44"/>
    <s v="-"/>
    <n v="4.71000003814697"/>
    <n v="2020.90002441406"/>
    <x v="276"/>
    <n v="13837809380"/>
    <n v="-0.47"/>
  </r>
  <r>
    <x v="277"/>
    <s v="abr/23"/>
    <d v="2023-04-07T00:00:00"/>
    <s v="viernes"/>
    <s v=" Abierto"/>
    <x v="2"/>
    <x v="43"/>
    <s v="-"/>
    <n v="4.71000003814697"/>
    <n v="2011.90002441406"/>
    <x v="277"/>
    <n v="10861680497"/>
    <n v="-0.42"/>
  </r>
  <r>
    <x v="278"/>
    <s v="abr/23"/>
    <d v="2023-04-08T00:00:00"/>
    <s v="sábado"/>
    <s v="Cerrado"/>
    <x v="2"/>
    <x v="35"/>
    <s v="-"/>
    <n v="4.71000003814697"/>
    <n v="2020.90002441406"/>
    <x v="278"/>
    <n v="9373255556"/>
    <n v="0.08"/>
  </r>
  <r>
    <x v="279"/>
    <s v="abr/23"/>
    <d v="2023-04-09T00:00:00"/>
    <s v="domingo"/>
    <s v="Cerrado"/>
    <x v="2"/>
    <x v="35"/>
    <s v="-"/>
    <n v="4.71000003814697"/>
    <n v="2011.90002441406"/>
    <x v="279"/>
    <n v="12175322951"/>
    <n v="1.38"/>
  </r>
  <r>
    <x v="280"/>
    <s v="abr/23"/>
    <d v="2023-04-10T00:00:00"/>
    <s v="lunes"/>
    <s v=" Abierto"/>
    <x v="2"/>
    <x v="41"/>
    <s v="-"/>
    <n v="4.8379998207092196"/>
    <n v="2020.90002441406"/>
    <x v="280"/>
    <n v="19282400094"/>
    <n v="4.66"/>
  </r>
  <r>
    <x v="281"/>
    <s v="abr/23"/>
    <d v="2023-04-11T00:00:00"/>
    <s v="martes"/>
    <s v=" Abierto"/>
    <x v="2"/>
    <x v="46"/>
    <s v="-"/>
    <n v="4.88000011444091"/>
    <n v="1989.09997558593"/>
    <x v="281"/>
    <n v="20121259843"/>
    <n v="1.96"/>
  </r>
  <r>
    <x v="282"/>
    <s v="abr/23"/>
    <d v="2023-04-12T00:00:00"/>
    <s v="miércoles"/>
    <s v=" Abierto"/>
    <x v="2"/>
    <x v="48"/>
    <s v="-"/>
    <n v="4.8600001335143999"/>
    <n v="2004.80004882812"/>
    <x v="282"/>
    <n v="18651929926"/>
    <n v="-0.32"/>
  </r>
  <r>
    <x v="283"/>
    <s v="abr/23"/>
    <d v="2023-04-13T00:00:00"/>
    <s v="jueves"/>
    <s v=" Abierto"/>
    <x v="2"/>
    <x v="35"/>
    <s v="-"/>
    <n v="4.8550000190734801"/>
    <n v="2010.90002441406"/>
    <x v="283"/>
    <n v="17487721001"/>
    <n v="0.86"/>
  </r>
  <r>
    <x v="284"/>
    <s v="abr/23"/>
    <d v="2023-04-14T00:00:00"/>
    <s v="viernes"/>
    <s v=" Abierto"/>
    <x v="2"/>
    <x v="46"/>
    <s v="-"/>
    <n v="4.9029998779296804"/>
    <n v="2041.30004882812"/>
    <x v="284"/>
    <n v="22659995079"/>
    <n v="0.28000000000000003"/>
  </r>
  <r>
    <x v="285"/>
    <s v="abr/23"/>
    <d v="2023-04-15T00:00:00"/>
    <s v="sábado"/>
    <s v="Cerrado"/>
    <x v="2"/>
    <x v="46"/>
    <n v="7"/>
    <n v="4.9029998779296804"/>
    <n v="2002.19995117187"/>
    <x v="285"/>
    <n v="11940685378"/>
    <n v="-0.55000000000000004"/>
  </r>
  <r>
    <x v="286"/>
    <s v="abr/23"/>
    <d v="2023-04-16T00:00:00"/>
    <s v="domingo"/>
    <s v="Cerrado"/>
    <x v="2"/>
    <x v="46"/>
    <s v="-"/>
    <n v="4.9029998779296804"/>
    <n v="2041.30004882812"/>
    <x v="286"/>
    <n v="12854816417"/>
    <n v="-0.01"/>
  </r>
  <r>
    <x v="287"/>
    <s v="abr/23"/>
    <d v="2023-04-17T00:00:00"/>
    <s v="lunes"/>
    <s v=" Abierto"/>
    <x v="2"/>
    <x v="49"/>
    <s v="-"/>
    <n v="4.9229998588562003"/>
    <n v="2002.19995117187"/>
    <x v="287"/>
    <n v="17872186762"/>
    <n v="-2.87"/>
  </r>
  <r>
    <x v="288"/>
    <s v="abr/23"/>
    <d v="2023-04-18T00:00:00"/>
    <s v="martes"/>
    <s v=" Abierto"/>
    <x v="2"/>
    <x v="38"/>
    <s v="-"/>
    <n v="5.0300002098083496"/>
    <n v="1994.19995117187"/>
    <x v="288"/>
    <n v="19480529496"/>
    <n v="3.23"/>
  </r>
  <r>
    <x v="289"/>
    <s v="abr/23"/>
    <d v="2023-04-19T00:00:00"/>
    <s v="miércoles"/>
    <s v=" Abierto"/>
    <x v="2"/>
    <x v="44"/>
    <s v="-"/>
    <n v="4.9949998855590803"/>
    <n v="2007.40002441406"/>
    <x v="289"/>
    <n v="24571565421"/>
    <n v="-5.18"/>
  </r>
  <r>
    <x v="290"/>
    <s v="abr/23"/>
    <d v="2023-04-20T00:00:00"/>
    <s v="jueves"/>
    <s v=" Abierto"/>
    <x v="2"/>
    <x v="29"/>
    <s v="-"/>
    <n v="4.9450001716613698"/>
    <n v="1995.19995117187"/>
    <x v="290"/>
    <n v="21340360360"/>
    <n v="-2"/>
  </r>
  <r>
    <x v="291"/>
    <s v="abr/23"/>
    <d v="2023-04-21T00:00:00"/>
    <s v="viernes"/>
    <s v=" Abierto"/>
    <x v="2"/>
    <x v="32"/>
    <s v="-"/>
    <n v="4.9499998092651296"/>
    <n v="2007.59997558593"/>
    <x v="291"/>
    <n v="20759504330"/>
    <n v="-3.43"/>
  </r>
  <r>
    <x v="292"/>
    <s v="abr/23"/>
    <d v="2023-04-22T00:00:00"/>
    <s v="sábado"/>
    <s v="Cerrado"/>
    <x v="2"/>
    <x v="31"/>
    <s v="-"/>
    <n v="4.9499998092651296"/>
    <n v="1979.5"/>
    <x v="292"/>
    <n v="13125734602"/>
    <n v="1.98"/>
  </r>
  <r>
    <x v="293"/>
    <s v="abr/23"/>
    <d v="2023-04-23T00:00:00"/>
    <s v="domingo"/>
    <s v="Cerrado"/>
    <x v="2"/>
    <x v="36"/>
    <s v="-"/>
    <n v="4.9499998092651296"/>
    <n v="2007.59997558593"/>
    <x v="293"/>
    <n v="12785446832"/>
    <n v="-0.81"/>
  </r>
  <r>
    <x v="294"/>
    <s v="abr/23"/>
    <d v="2023-04-24T00:00:00"/>
    <s v="lunes"/>
    <s v=" Abierto"/>
    <x v="2"/>
    <x v="31"/>
    <s v="-"/>
    <n v="4.8730001449584899"/>
    <n v="1979.5"/>
    <x v="294"/>
    <n v="17703288330"/>
    <n v="-0.24"/>
  </r>
  <r>
    <x v="295"/>
    <s v="abr/23"/>
    <d v="2023-04-25T00:00:00"/>
    <s v="martes"/>
    <s v=" Abierto"/>
    <x v="2"/>
    <x v="31"/>
    <s v="-"/>
    <n v="4.9530000686645499"/>
    <n v="1989.09997558593"/>
    <x v="295"/>
    <n v="17733373139"/>
    <n v="2.84"/>
  </r>
  <r>
    <x v="296"/>
    <s v="abr/23"/>
    <d v="2023-04-26T00:00:00"/>
    <s v="miércoles"/>
    <s v=" Abierto"/>
    <x v="2"/>
    <x v="36"/>
    <s v="-"/>
    <n v="4.9850001335143999"/>
    <n v="1994"/>
    <x v="296"/>
    <n v="31854242019"/>
    <n v="0.41"/>
  </r>
  <r>
    <x v="297"/>
    <s v="abr/23"/>
    <d v="2023-04-27T00:00:00"/>
    <s v="jueves"/>
    <s v=" Abierto"/>
    <x v="2"/>
    <x v="42"/>
    <s v="-"/>
    <n v="5"/>
    <n v="1985.69995117187"/>
    <x v="297"/>
    <n v="27153445027"/>
    <n v="3.7"/>
  </r>
  <r>
    <x v="298"/>
    <s v="abr/23"/>
    <d v="2023-04-28T00:00:00"/>
    <s v="viernes"/>
    <s v=" Abierto"/>
    <x v="2"/>
    <x v="43"/>
    <s v="-"/>
    <n v="4.9229998588562003"/>
    <n v="1989.90002441406"/>
    <x v="298"/>
    <n v="17544464887"/>
    <n v="-0.45"/>
  </r>
  <r>
    <x v="299"/>
    <s v="abr/23"/>
    <d v="2023-04-29T00:00:00"/>
    <s v="sábado"/>
    <s v="Cerrado"/>
    <x v="2"/>
    <x v="43"/>
    <s v="-"/>
    <n v="4.9229998588562003"/>
    <n v="1990.09997558593"/>
    <x v="299"/>
    <n v="10662634333"/>
    <n v="-0.31"/>
  </r>
  <r>
    <x v="300"/>
    <s v="abr/23"/>
    <d v="2023-04-30T00:00:00"/>
    <s v="domingo"/>
    <s v="Cerrado"/>
    <x v="2"/>
    <x v="37"/>
    <s v="-"/>
    <n v="4.9229998588562003"/>
    <n v="1989.90002441406"/>
    <x v="300"/>
    <n v="14652199272"/>
    <n v="7.0000000000000007E-2"/>
  </r>
  <r>
    <x v="301"/>
    <s v="may/23"/>
    <d v="2023-05-01T00:00:00"/>
    <s v="lunes"/>
    <s v=" Abierto"/>
    <x v="2"/>
    <x v="44"/>
    <s v="-"/>
    <n v="4.8649997711181596"/>
    <n v="1990.09997558593"/>
    <x v="301"/>
    <n v="18655599976"/>
    <n v="-4.0199999999999996"/>
  </r>
  <r>
    <x v="302"/>
    <s v="may/23"/>
    <d v="2023-05-02T00:00:00"/>
    <s v="martes"/>
    <s v=" Abierto"/>
    <x v="2"/>
    <x v="34"/>
    <s v="-"/>
    <n v="5.0399999618530202"/>
    <n v="1983.40002441406"/>
    <x v="302"/>
    <n v="16432924527"/>
    <n v="2.1"/>
  </r>
  <r>
    <x v="303"/>
    <s v="may/23"/>
    <d v="2023-05-03T00:00:00"/>
    <s v="miércoles"/>
    <s v=" Abierto"/>
    <x v="2"/>
    <x v="43"/>
    <s v="-"/>
    <n v="5.0949997901916504"/>
    <n v="2014.30004882812"/>
    <x v="303"/>
    <n v="19122972518"/>
    <n v="1.1399999999999999"/>
  </r>
  <r>
    <x v="304"/>
    <s v="may/23"/>
    <d v="2023-05-04T00:00:00"/>
    <s v="jueves"/>
    <s v=" Abierto"/>
    <x v="2"/>
    <x v="43"/>
    <s v="-"/>
    <n v="5.0549998283386204"/>
    <n v="2028.59997558593"/>
    <x v="304"/>
    <n v="15548678514"/>
    <n v="-0.55000000000000004"/>
  </r>
  <r>
    <x v="305"/>
    <s v="may/23"/>
    <d v="2023-05-05T00:00:00"/>
    <s v="viernes"/>
    <s v=" Abierto"/>
    <x v="2"/>
    <x v="35"/>
    <n v="8"/>
    <n v="5.0799999237060502"/>
    <n v="2048"/>
    <x v="305"/>
    <n v="17936566518"/>
    <n v="2.38"/>
  </r>
  <r>
    <x v="306"/>
    <s v="may/23"/>
    <d v="2023-05-06T00:00:00"/>
    <s v="sábado"/>
    <s v="Cerrado"/>
    <x v="2"/>
    <x v="37"/>
    <s v="-"/>
    <n v="5.0799999237060502"/>
    <n v="2017.40002441406"/>
    <x v="306"/>
    <n v="15913866714"/>
    <n v="-2.13"/>
  </r>
  <r>
    <x v="307"/>
    <s v="may/23"/>
    <d v="2023-05-07T00:00:00"/>
    <s v="domingo"/>
    <s v="Cerrado"/>
    <x v="2"/>
    <x v="43"/>
    <s v="-"/>
    <n v="5.0799999237060502"/>
    <n v="2048"/>
    <x v="307"/>
    <n v="11301355486"/>
    <n v="-1.56"/>
  </r>
  <r>
    <x v="308"/>
    <s v="may/23"/>
    <d v="2023-05-08T00:00:00"/>
    <s v="lunes"/>
    <s v=" Abierto"/>
    <x v="2"/>
    <x v="37"/>
    <s v="-"/>
    <n v="5.0830001831054599"/>
    <n v="2017.40002441406"/>
    <x v="308"/>
    <n v="19122903752"/>
    <n v="-2.67"/>
  </r>
  <r>
    <x v="309"/>
    <s v="may/23"/>
    <d v="2023-05-09T00:00:00"/>
    <s v="martes"/>
    <s v=" Abierto"/>
    <x v="2"/>
    <x v="30"/>
    <s v="-"/>
    <n v="5.1230001449584899"/>
    <n v="2026.30004882812"/>
    <x v="309"/>
    <n v="14128593256"/>
    <n v="-0.13"/>
  </r>
  <r>
    <x v="310"/>
    <s v="may/23"/>
    <d v="2023-05-10T00:00:00"/>
    <s v="miércoles"/>
    <s v=" Abierto"/>
    <x v="2"/>
    <x v="29"/>
    <s v="-"/>
    <n v="5.0650000572204501"/>
    <n v="2036.19995117187"/>
    <x v="310"/>
    <n v="20656025026"/>
    <n v="-0.13"/>
  </r>
  <r>
    <x v="311"/>
    <s v="may/23"/>
    <d v="2023-05-11T00:00:00"/>
    <s v="jueves"/>
    <s v=" Abierto"/>
    <x v="2"/>
    <x v="29"/>
    <s v="-"/>
    <n v="5.0149998664855904"/>
    <n v="2030.5"/>
    <x v="311"/>
    <n v="16724343943"/>
    <n v="-2.25"/>
  </r>
  <r>
    <x v="312"/>
    <s v="may/23"/>
    <d v="2023-05-12T00:00:00"/>
    <s v="viernes"/>
    <s v=" Abierto"/>
    <x v="1"/>
    <x v="40"/>
    <s v="-"/>
    <n v="5.0279998779296804"/>
    <n v="2014.69995117187"/>
    <x v="312"/>
    <n v="19313599897"/>
    <n v="-0.73"/>
  </r>
  <r>
    <x v="313"/>
    <s v="may/23"/>
    <d v="2023-05-13T00:00:00"/>
    <s v="sábado"/>
    <s v="Cerrado"/>
    <x v="1"/>
    <x v="39"/>
    <s v="-"/>
    <n v="5.0279998779296804"/>
    <n v="2014.5"/>
    <x v="313"/>
    <n v="9999171605"/>
    <n v="-0.08"/>
  </r>
  <r>
    <x v="314"/>
    <s v="may/23"/>
    <d v="2023-05-14T00:00:00"/>
    <s v="domingo"/>
    <s v="Cerrado"/>
    <x v="1"/>
    <x v="39"/>
    <s v="-"/>
    <n v="5.0279998779296804"/>
    <n v="2014.69995117187"/>
    <x v="314"/>
    <n v="10014858959"/>
    <n v="0.55000000000000004"/>
  </r>
  <r>
    <x v="315"/>
    <s v="may/23"/>
    <d v="2023-05-15T00:00:00"/>
    <s v="lunes"/>
    <s v=" Abierto"/>
    <x v="2"/>
    <x v="32"/>
    <s v="-"/>
    <n v="5"/>
    <n v="2014.5"/>
    <x v="315"/>
    <n v="14413231792"/>
    <n v="0.97"/>
  </r>
  <r>
    <x v="316"/>
    <s v="may/23"/>
    <d v="2023-05-16T00:00:00"/>
    <s v="martes"/>
    <s v=" Abierto"/>
    <x v="2"/>
    <x v="33"/>
    <s v="-"/>
    <n v="5.05800008773803"/>
    <n v="2018"/>
    <x v="316"/>
    <n v="12732238816"/>
    <n v="-0.56999999999999995"/>
  </r>
  <r>
    <x v="317"/>
    <s v="may/23"/>
    <d v="2023-05-17T00:00:00"/>
    <s v="miércoles"/>
    <s v=" Abierto"/>
    <x v="2"/>
    <x v="32"/>
    <s v="-"/>
    <n v="5.0879998207092196"/>
    <n v="1988.40002441406"/>
    <x v="317"/>
    <n v="15140006925"/>
    <n v="1.34"/>
  </r>
  <r>
    <x v="318"/>
    <s v="may/23"/>
    <d v="2023-05-18T00:00:00"/>
    <s v="jueves"/>
    <s v=" Abierto"/>
    <x v="2"/>
    <x v="30"/>
    <s v="-"/>
    <n v="5.125"/>
    <n v="1980.69995117187"/>
    <x v="318"/>
    <n v="15222938600"/>
    <n v="-2.0699999999999998"/>
  </r>
  <r>
    <x v="319"/>
    <s v="may/23"/>
    <d v="2023-05-19T00:00:00"/>
    <s v="viernes"/>
    <s v=" Abierto"/>
    <x v="1"/>
    <x v="39"/>
    <s v="-"/>
    <n v="5.08500003814697"/>
    <n v="1956.5"/>
    <x v="319"/>
    <n v="11258983301"/>
    <n v="0.22"/>
  </r>
  <r>
    <x v="320"/>
    <s v="may/23"/>
    <d v="2023-05-20T00:00:00"/>
    <s v="sábado"/>
    <s v="Cerrado"/>
    <x v="1"/>
    <x v="39"/>
    <s v="-"/>
    <n v="5.08500003814697"/>
    <n v="1978.69995117187"/>
    <x v="320"/>
    <n v="7044911360"/>
    <n v="0.89"/>
  </r>
  <r>
    <x v="321"/>
    <s v="may/23"/>
    <d v="2023-05-21T00:00:00"/>
    <s v="domingo"/>
    <s v="Cerrado"/>
    <x v="2"/>
    <x v="29"/>
    <s v="-"/>
    <n v="5.08500003814697"/>
    <n v="1956.5"/>
    <x v="321"/>
    <n v="8647416921"/>
    <n v="-1.39"/>
  </r>
  <r>
    <x v="322"/>
    <s v="may/23"/>
    <d v="2023-05-22T00:00:00"/>
    <s v="lunes"/>
    <s v=" Abierto"/>
    <x v="1"/>
    <x v="40"/>
    <s v="-"/>
    <n v="5.0949997901916504"/>
    <n v="1978.69995117187"/>
    <x v="322"/>
    <n v="11056770492"/>
    <n v="0.36"/>
  </r>
  <r>
    <x v="323"/>
    <s v="may/23"/>
    <d v="2023-05-23T00:00:00"/>
    <s v="martes"/>
    <s v=" Abierto"/>
    <x v="2"/>
    <x v="32"/>
    <s v="-"/>
    <n v="5.1529998779296804"/>
    <n v="1974.80004882812"/>
    <x v="323"/>
    <n v="13697203143"/>
    <n v="1.39"/>
  </r>
  <r>
    <x v="324"/>
    <s v="may/23"/>
    <d v="2023-05-24T00:00:00"/>
    <s v="miércoles"/>
    <s v=" Abierto"/>
    <x v="2"/>
    <x v="32"/>
    <s v="-"/>
    <n v="5.1849999427795401"/>
    <n v="1972.40002441406"/>
    <x v="324"/>
    <n v="16299104428"/>
    <n v="-3.27"/>
  </r>
  <r>
    <x v="325"/>
    <s v="may/23"/>
    <d v="2023-05-25T00:00:00"/>
    <s v="jueves"/>
    <s v=" Abierto"/>
    <x v="2"/>
    <x v="30"/>
    <s v="-"/>
    <n v="5.1630001068115199"/>
    <n v="1962.80004882812"/>
    <x v="325"/>
    <n v="13851122697"/>
    <n v="0.54"/>
  </r>
  <r>
    <x v="326"/>
    <s v="may/23"/>
    <d v="2023-05-26T00:00:00"/>
    <s v="viernes"/>
    <s v=" Abierto"/>
    <x v="1"/>
    <x v="40"/>
    <s v="-"/>
    <n v="5.1149997711181596"/>
    <n v="1943.09997558593"/>
    <x v="326"/>
    <n v="12711619225"/>
    <n v="0.92"/>
  </r>
  <r>
    <x v="327"/>
    <s v="may/23"/>
    <d v="2023-05-27T00:00:00"/>
    <s v="sábado"/>
    <s v="Cerrado"/>
    <x v="1"/>
    <x v="39"/>
    <s v="-"/>
    <n v="5.1149997711181596"/>
    <n v="1944.09997558593"/>
    <x v="327"/>
    <n v="7892015141"/>
    <n v="0.56000000000000005"/>
  </r>
  <r>
    <x v="328"/>
    <s v="may/23"/>
    <d v="2023-05-28T00:00:00"/>
    <s v="domingo"/>
    <s v="Cerrado"/>
    <x v="2"/>
    <x v="32"/>
    <s v="-"/>
    <n v="5.1149997711181596"/>
    <n v="1943.09997558593"/>
    <x v="328"/>
    <n v="14545229578"/>
    <n v="4.53"/>
  </r>
  <r>
    <x v="329"/>
    <s v="may/23"/>
    <d v="2023-05-29T00:00:00"/>
    <s v="lunes"/>
    <s v=" Abierto"/>
    <x v="2"/>
    <x v="29"/>
    <s v="-"/>
    <n v="5.1149997711181596"/>
    <n v="1944.09997558593"/>
    <x v="329"/>
    <n v="15181308984"/>
    <n v="-1.21"/>
  </r>
  <r>
    <x v="330"/>
    <s v="may/23"/>
    <d v="2023-05-30T00:00:00"/>
    <s v="martes"/>
    <s v=" Abierto"/>
    <x v="2"/>
    <x v="30"/>
    <s v="-"/>
    <n v="5.1430001258850098"/>
    <n v="1943.09997558593"/>
    <x v="330"/>
    <n v="13251081851"/>
    <n v="-0.16"/>
  </r>
  <r>
    <x v="331"/>
    <s v="may/23"/>
    <d v="2023-05-31T00:00:00"/>
    <s v="miércoles"/>
    <s v=" Abierto"/>
    <x v="2"/>
    <x v="30"/>
    <s v="-"/>
    <n v="5.2480001449584899"/>
    <n v="1958"/>
    <x v="331"/>
    <n v="15656371534"/>
    <n v="-1.74"/>
  </r>
  <r>
    <x v="332"/>
    <s v="jun/23"/>
    <d v="2023-06-01T00:00:00"/>
    <s v="jueves"/>
    <s v=" Abierto"/>
    <x v="2"/>
    <x v="29"/>
    <s v="-"/>
    <n v="5.2030000686645499"/>
    <n v="1963.90002441406"/>
    <x v="332"/>
    <n v="14678970415"/>
    <n v="-1.47"/>
  </r>
  <r>
    <x v="333"/>
    <s v="jun/23"/>
    <d v="2023-06-02T00:00:00"/>
    <s v="viernes"/>
    <s v=" Abierto"/>
    <x v="2"/>
    <x v="32"/>
    <s v="-"/>
    <n v="5.2150001525878897"/>
    <n v="1978"/>
    <x v="333"/>
    <n v="14837415000"/>
    <n v="1.6"/>
  </r>
  <r>
    <x v="334"/>
    <s v="jun/23"/>
    <d v="2023-06-03T00:00:00"/>
    <s v="sábado"/>
    <s v="Cerrado"/>
    <x v="2"/>
    <x v="31"/>
    <s v="-"/>
    <n v="5.2150001525878897"/>
    <n v="1952.40002441406"/>
    <x v="334"/>
    <n v="8385597470"/>
    <n v="-0.64"/>
  </r>
  <r>
    <x v="335"/>
    <s v="jun/23"/>
    <d v="2023-06-04T00:00:00"/>
    <s v="domingo"/>
    <s v="Cerrado"/>
    <x v="2"/>
    <x v="29"/>
    <s v="-"/>
    <n v="5.2150001525878897"/>
    <n v="1978"/>
    <x v="335"/>
    <n v="9360912318"/>
    <n v="0.16"/>
  </r>
  <r>
    <x v="336"/>
    <s v="jun/23"/>
    <d v="2023-06-05T00:00:00"/>
    <s v="lunes"/>
    <s v=" Abierto"/>
    <x v="2"/>
    <x v="31"/>
    <s v="-"/>
    <n v="5.1430001258850098"/>
    <n v="1952.40002441406"/>
    <x v="336"/>
    <n v="21513292646"/>
    <n v="-5.01"/>
  </r>
  <r>
    <x v="337"/>
    <s v="jun/23"/>
    <d v="2023-06-06T00:00:00"/>
    <s v="martes"/>
    <s v=" Abierto"/>
    <x v="1"/>
    <x v="22"/>
    <s v="-"/>
    <n v="5.1579999923706001"/>
    <n v="1958"/>
    <x v="337"/>
    <n v="21929670693"/>
    <n v="5.74"/>
  </r>
  <r>
    <x v="338"/>
    <s v="jun/23"/>
    <d v="2023-06-07T00:00:00"/>
    <s v="miércoles"/>
    <s v=" Abierto"/>
    <x v="2"/>
    <x v="31"/>
    <s v="-"/>
    <n v="5.1529998779296804"/>
    <n v="1965.5"/>
    <x v="338"/>
    <n v="19530045082"/>
    <n v="-3.28"/>
  </r>
  <r>
    <x v="339"/>
    <s v="jun/23"/>
    <d v="2023-06-08T00:00:00"/>
    <s v="jueves"/>
    <s v=" Abierto"/>
    <x v="2"/>
    <x v="32"/>
    <s v="-"/>
    <n v="5.0999999046325604"/>
    <n v="1942.69995117187"/>
    <x v="339"/>
    <n v="11904824295"/>
    <n v="0.62"/>
  </r>
  <r>
    <x v="340"/>
    <s v="jun/23"/>
    <d v="2023-06-09T00:00:00"/>
    <s v="viernes"/>
    <s v=" Abierto"/>
    <x v="2"/>
    <x v="32"/>
    <s v="-"/>
    <n v="5.0949997901916504"/>
    <n v="1963.59997558593"/>
    <x v="340"/>
    <n v="11015551640"/>
    <n v="-0.11"/>
  </r>
  <r>
    <x v="341"/>
    <s v="jun/23"/>
    <d v="2023-06-10T00:00:00"/>
    <s v="sábado"/>
    <s v="Cerrado"/>
    <x v="1"/>
    <x v="40"/>
    <s v="-"/>
    <n v="5.0949997901916504"/>
    <n v="1962.19995117187"/>
    <x v="341"/>
    <n v="19872933189"/>
    <n v="-2.38"/>
  </r>
  <r>
    <x v="342"/>
    <s v="jun/23"/>
    <d v="2023-06-11T00:00:00"/>
    <s v="domingo"/>
    <s v="Cerrado"/>
    <x v="1"/>
    <x v="20"/>
    <s v="-"/>
    <n v="5.0949997901916504"/>
    <n v="1963.59997558593"/>
    <x v="342"/>
    <n v="10732609603"/>
    <n v="0.34"/>
  </r>
  <r>
    <x v="343"/>
    <s v="jun/23"/>
    <d v="2023-06-12T00:00:00"/>
    <s v="lunes"/>
    <s v=" Abierto"/>
    <x v="1"/>
    <x v="20"/>
    <s v="-"/>
    <n v="5.0949997901916504"/>
    <n v="1962.19995117187"/>
    <x v="343"/>
    <n v="11677889997"/>
    <n v="-0.15"/>
  </r>
  <r>
    <x v="344"/>
    <s v="jun/23"/>
    <d v="2023-06-13T00:00:00"/>
    <s v="martes"/>
    <s v=" Abierto"/>
    <x v="1"/>
    <x v="21"/>
    <s v="-"/>
    <n v="5.0999999046325604"/>
    <n v="1955.30004882812"/>
    <x v="344"/>
    <n v="14143474486"/>
    <n v="0.06"/>
  </r>
  <r>
    <x v="345"/>
    <s v="jun/23"/>
    <d v="2023-06-14T00:00:00"/>
    <s v="miércoles"/>
    <s v=" Abierto"/>
    <x v="1"/>
    <x v="19"/>
    <s v="-"/>
    <n v="5.0799999237060502"/>
    <n v="1944.59997558593"/>
    <x v="345"/>
    <n v="14265717766"/>
    <n v="-3.06"/>
  </r>
  <r>
    <x v="346"/>
    <s v="jun/23"/>
    <d v="2023-06-15T00:00:00"/>
    <s v="jueves"/>
    <s v=" Abierto"/>
    <x v="1"/>
    <x v="18"/>
    <s v="-"/>
    <n v="5.0549998283386204"/>
    <n v="1955.30004882812"/>
    <x v="346"/>
    <n v="15837384409"/>
    <n v="1.8"/>
  </r>
  <r>
    <x v="347"/>
    <s v="jun/23"/>
    <d v="2023-06-16T00:00:00"/>
    <s v="viernes"/>
    <s v=" Abierto"/>
    <x v="1"/>
    <x v="20"/>
    <s v="-"/>
    <n v="5.0650000572204501"/>
    <n v="1957.80004882812"/>
    <x v="347"/>
    <n v="16324646965"/>
    <n v="2.94"/>
  </r>
  <r>
    <x v="348"/>
    <s v="jun/23"/>
    <d v="2023-06-17T00:00:00"/>
    <s v="sábado"/>
    <s v="Cerrado"/>
    <x v="1"/>
    <x v="20"/>
    <s v="-"/>
    <n v="5.0650000572204501"/>
    <n v="1958.40002441406"/>
    <x v="348"/>
    <n v="11090276850"/>
    <n v="0.7"/>
  </r>
  <r>
    <x v="349"/>
    <s v="jun/23"/>
    <d v="2023-06-18T00:00:00"/>
    <s v="domingo"/>
    <s v="Cerrado"/>
    <x v="1"/>
    <x v="40"/>
    <s v="-"/>
    <n v="5.0650000572204501"/>
    <n v="1957.80004882812"/>
    <x v="349"/>
    <n v="9565695129"/>
    <n v="-0.66"/>
  </r>
  <r>
    <x v="350"/>
    <s v="jun/23"/>
    <d v="2023-06-19T00:00:00"/>
    <s v="lunes"/>
    <s v=" Abierto"/>
    <x v="1"/>
    <x v="20"/>
    <s v="-"/>
    <n v="5.0650000572204501"/>
    <n v="1958.40002441406"/>
    <x v="350"/>
    <n v="12826986222"/>
    <n v="1.95"/>
  </r>
  <r>
    <x v="351"/>
    <s v="jun/23"/>
    <d v="2023-06-20T00:00:00"/>
    <s v="martes"/>
    <s v=" Abierto"/>
    <x v="1"/>
    <x v="40"/>
    <s v="-"/>
    <n v="5.0749998092651296"/>
    <n v="1957.80004882812"/>
    <x v="351"/>
    <n v="22211859147"/>
    <n v="5.5"/>
  </r>
  <r>
    <x v="352"/>
    <s v="jun/23"/>
    <d v="2023-06-21T00:00:00"/>
    <s v="miércoles"/>
    <s v=" Abierto"/>
    <x v="2"/>
    <x v="42"/>
    <s v="-"/>
    <n v="5.1350002288818297"/>
    <n v="1935.5"/>
    <x v="352"/>
    <n v="33346760979"/>
    <n v="6"/>
  </r>
  <r>
    <x v="353"/>
    <s v="jun/23"/>
    <d v="2023-06-22T00:00:00"/>
    <s v="jueves"/>
    <s v=" Abierto"/>
    <x v="2"/>
    <x v="48"/>
    <s v="-"/>
    <n v="5.1350002288818297"/>
    <n v="1933.30004882812"/>
    <x v="353"/>
    <n v="20653160491"/>
    <n v="-0.38"/>
  </r>
  <r>
    <x v="354"/>
    <s v="jun/23"/>
    <d v="2023-06-23T00:00:00"/>
    <s v="viernes"/>
    <s v=" Abierto"/>
    <x v="2"/>
    <x v="48"/>
    <s v="-"/>
    <n v="5.13800001144409"/>
    <n v="1912.69995117187"/>
    <x v="354"/>
    <n v="24115570085"/>
    <n v="2.62"/>
  </r>
  <r>
    <x v="355"/>
    <s v="jun/23"/>
    <d v="2023-06-24T00:00:00"/>
    <s v="sábado"/>
    <s v="Cerrado"/>
    <x v="2"/>
    <x v="41"/>
    <s v="-"/>
    <n v="5.13800001144409"/>
    <n v="1919.09997558593"/>
    <x v="355"/>
    <n v="12147822496"/>
    <n v="-0.48"/>
  </r>
  <r>
    <x v="356"/>
    <s v="jun/23"/>
    <d v="2023-06-25T00:00:00"/>
    <s v="domingo"/>
    <s v="Cerrado"/>
    <x v="2"/>
    <x v="43"/>
    <s v="-"/>
    <n v="5.13800001144409"/>
    <n v="1912.69995117187"/>
    <x v="356"/>
    <n v="12703464114"/>
    <n v="-0.22"/>
  </r>
  <r>
    <x v="357"/>
    <s v="jun/23"/>
    <d v="2023-06-26T00:00:00"/>
    <s v="lunes"/>
    <s v=" Abierto"/>
    <x v="2"/>
    <x v="34"/>
    <s v="-"/>
    <n v="5.1550002098083496"/>
    <n v="1919.09997558593"/>
    <x v="357"/>
    <n v="16493186997"/>
    <n v="-0.69"/>
  </r>
  <r>
    <x v="358"/>
    <s v="jun/23"/>
    <d v="2023-06-27T00:00:00"/>
    <s v="martes"/>
    <s v=" Abierto"/>
    <x v="2"/>
    <x v="42"/>
    <s v="-"/>
    <n v="5.1799998283386204"/>
    <n v="1923.69995117187"/>
    <x v="358"/>
    <n v="16428827944"/>
    <n v="1.38"/>
  </r>
  <r>
    <x v="359"/>
    <s v="jun/23"/>
    <d v="2023-06-28T00:00:00"/>
    <s v="miércoles"/>
    <s v=" Abierto"/>
    <x v="2"/>
    <x v="41"/>
    <s v="-"/>
    <n v="5.17000007629394"/>
    <n v="1914"/>
    <x v="359"/>
    <n v="14571500779"/>
    <n v="-1.96"/>
  </r>
  <r>
    <x v="360"/>
    <s v="jun/23"/>
    <d v="2023-06-29T00:00:00"/>
    <s v="jueves"/>
    <s v=" Abierto"/>
    <x v="2"/>
    <x v="33"/>
    <s v="-"/>
    <n v="5.1750001907348597"/>
    <n v="1912.30004882812"/>
    <x v="360"/>
    <n v="13180860821"/>
    <n v="1.19"/>
  </r>
  <r>
    <x v="361"/>
    <s v="jun/23"/>
    <d v="2023-06-30T00:00:00"/>
    <s v="viernes"/>
    <s v=" Abierto"/>
    <x v="2"/>
    <x v="36"/>
    <s v="-"/>
    <n v="5.1529998779296804"/>
    <n v="1909.19995117187"/>
    <x v="361"/>
    <n v="26387306197"/>
    <n v="0.1"/>
  </r>
  <r>
    <x v="362"/>
    <s v="jul/23"/>
    <d v="2023-07-01T00:00:00"/>
    <s v="sábado"/>
    <s v="Cerrado"/>
    <x v="2"/>
    <x v="42"/>
    <s v="-"/>
    <n v="5.1529998779296804"/>
    <n v="1921.09997558593"/>
    <x v="362"/>
    <n v="9086606733"/>
    <n v="0.37"/>
  </r>
  <r>
    <x v="363"/>
    <s v="jul/23"/>
    <d v="2023-07-02T00:00:00"/>
    <s v="domingo"/>
    <s v="Cerrado"/>
    <x v="2"/>
    <x v="44"/>
    <s v="-"/>
    <n v="5.1529998779296804"/>
    <n v="1909.19995117187"/>
    <x v="363"/>
    <n v="10533418042"/>
    <n v="0.1"/>
  </r>
  <r>
    <x v="364"/>
    <s v="jul/23"/>
    <d v="2023-07-03T00:00:00"/>
    <s v="lunes"/>
    <s v=" Abierto"/>
    <x v="2"/>
    <x v="41"/>
    <s v="-"/>
    <n v="5.1449999809265101"/>
    <n v="1921.09997558593"/>
    <x v="364"/>
    <n v="15271884873"/>
    <n v="1.75"/>
  </r>
  <r>
    <x v="365"/>
    <s v="jul/23"/>
    <d v="2023-07-04T00:00:00"/>
    <s v="martes"/>
    <s v=" Abierto"/>
    <x v="2"/>
    <x v="43"/>
    <n v="9"/>
    <n v="5.1449999809265101"/>
    <n v="1921.69995117187"/>
    <x v="365"/>
    <n v="12810828427"/>
    <n v="-1.22"/>
  </r>
  <r>
    <x v="366"/>
    <s v="jul/23"/>
    <d v="2023-07-05T00:00:00"/>
    <s v="miércoles"/>
    <s v=" Abierto"/>
    <x v="2"/>
    <x v="35"/>
    <s v="-"/>
    <n v="5.1929998397827104"/>
    <n v="1921.09997558593"/>
    <x v="366"/>
    <n v="12481622280"/>
    <n v="-0.86"/>
  </r>
  <r>
    <x v="367"/>
    <s v="jul/23"/>
    <d v="2023-07-06T00:00:00"/>
    <s v="jueves"/>
    <s v=" Abierto"/>
    <x v="2"/>
    <x v="36"/>
    <s v="-"/>
    <n v="5.2129998207092196"/>
    <n v="1919.59997558593"/>
    <x v="367"/>
    <n v="21129219509"/>
    <n v="-1.98"/>
  </r>
  <r>
    <x v="368"/>
    <s v="jul/23"/>
    <d v="2023-07-07T00:00:00"/>
    <s v="viernes"/>
    <s v=" Abierto"/>
    <x v="2"/>
    <x v="34"/>
    <s v="-"/>
    <n v="5.2129998207092196"/>
    <n v="1908.69995117187"/>
    <x v="368"/>
    <n v="13384770155"/>
    <n v="1.45"/>
  </r>
  <r>
    <x v="369"/>
    <s v="jul/23"/>
    <d v="2023-07-08T00:00:00"/>
    <s v="sábado"/>
    <s v="Cerrado"/>
    <x v="2"/>
    <x v="38"/>
    <s v="-"/>
    <n v="5.2129998207092196"/>
    <n v="1926.19995117187"/>
    <x v="369"/>
    <n v="7509378699"/>
    <n v="-0.16"/>
  </r>
  <r>
    <x v="370"/>
    <s v="jul/23"/>
    <d v="2023-07-09T00:00:00"/>
    <s v="domingo"/>
    <s v="Cerrado"/>
    <x v="2"/>
    <x v="34"/>
    <s v="-"/>
    <n v="5.2129998207092196"/>
    <n v="1908.69995117187"/>
    <x v="370"/>
    <n v="7903327692"/>
    <n v="-0.4"/>
  </r>
  <r>
    <x v="371"/>
    <s v="jul/23"/>
    <d v="2023-07-10T00:00:00"/>
    <s v="lunes"/>
    <s v=" Abierto"/>
    <x v="2"/>
    <x v="36"/>
    <s v="-"/>
    <n v="5.2249999046325604"/>
    <n v="1926.19995117187"/>
    <x v="371"/>
    <n v="14828209155"/>
    <n v="0.81"/>
  </r>
  <r>
    <x v="372"/>
    <s v="jul/23"/>
    <d v="2023-07-11T00:00:00"/>
    <s v="martes"/>
    <s v=" Abierto"/>
    <x v="2"/>
    <x v="47"/>
    <s v="-"/>
    <n v="5.2430000305175701"/>
    <n v="1925"/>
    <x v="372"/>
    <n v="12151839152"/>
    <n v="0.68"/>
  </r>
  <r>
    <x v="373"/>
    <s v="jul/23"/>
    <d v="2023-07-12T00:00:00"/>
    <s v="miércoles"/>
    <s v=" Abierto"/>
    <x v="2"/>
    <x v="43"/>
    <s v="-"/>
    <n v="5.2300000190734801"/>
    <n v="1931.30004882812"/>
    <x v="373"/>
    <n v="14805659717"/>
    <n v="-0.75"/>
  </r>
  <r>
    <x v="374"/>
    <s v="jul/23"/>
    <d v="2023-07-13T00:00:00"/>
    <s v="jueves"/>
    <s v=" Abierto"/>
    <x v="2"/>
    <x v="47"/>
    <s v="-"/>
    <n v="5.22300004959106"/>
    <n v="1956.19995117187"/>
    <x v="374"/>
    <n v="23686079548"/>
    <n v="3.57"/>
  </r>
  <r>
    <x v="375"/>
    <s v="jul/23"/>
    <d v="2023-07-14T00:00:00"/>
    <s v="viernes"/>
    <s v=" Abierto"/>
    <x v="2"/>
    <x v="37"/>
    <s v="-"/>
    <n v="5.2150001525878897"/>
    <n v="1959.19995117187"/>
    <x v="375"/>
    <n v="20917902660"/>
    <n v="-3.63"/>
  </r>
  <r>
    <x v="376"/>
    <s v="jul/23"/>
    <d v="2023-07-15T00:00:00"/>
    <s v="sábado"/>
    <s v="Cerrado"/>
    <x v="2"/>
    <x v="36"/>
    <s v="-"/>
    <n v="5.2150001525878897"/>
    <n v="1960.09997558593"/>
    <x v="376"/>
    <n v="8011667756"/>
    <n v="-0.13"/>
  </r>
  <r>
    <x v="377"/>
    <s v="jul/23"/>
    <d v="2023-07-16T00:00:00"/>
    <s v="domingo"/>
    <s v="Cerrado"/>
    <x v="2"/>
    <x v="47"/>
    <s v="-"/>
    <n v="5.2150001525878897"/>
    <n v="1959.19995117187"/>
    <x v="377"/>
    <n v="8516564470"/>
    <n v="-0.15"/>
  </r>
  <r>
    <x v="378"/>
    <s v="jul/23"/>
    <d v="2023-07-17T00:00:00"/>
    <s v="lunes"/>
    <s v=" Abierto"/>
    <x v="2"/>
    <x v="33"/>
    <s v="-"/>
    <n v="5.2329998016357404"/>
    <n v="1960.09997558593"/>
    <x v="378"/>
    <n v="13240156074"/>
    <n v="-0.34"/>
  </r>
  <r>
    <x v="379"/>
    <s v="jul/23"/>
    <d v="2023-07-18T00:00:00"/>
    <s v="martes"/>
    <s v=" Abierto"/>
    <x v="2"/>
    <x v="36"/>
    <s v="-"/>
    <n v="5.2480001449584899"/>
    <n v="1952.40002441406"/>
    <x v="379"/>
    <n v="13138897269"/>
    <n v="-0.96"/>
  </r>
  <r>
    <x v="380"/>
    <s v="jul/23"/>
    <d v="2023-07-19T00:00:00"/>
    <s v="miércoles"/>
    <s v=" Abierto"/>
    <x v="2"/>
    <x v="32"/>
    <s v="-"/>
    <n v="5.2449998855590803"/>
    <n v="1977.19995117187"/>
    <x v="380"/>
    <n v="12128602812"/>
    <n v="0.19"/>
  </r>
  <r>
    <x v="381"/>
    <s v="jul/23"/>
    <d v="2023-07-20T00:00:00"/>
    <s v="jueves"/>
    <s v=" Abierto"/>
    <x v="2"/>
    <x v="36"/>
    <s v="-"/>
    <n v="5.2430000305175701"/>
    <n v="1977.5"/>
    <x v="381"/>
    <n v="14655207121"/>
    <n v="-0.41"/>
  </r>
  <r>
    <x v="382"/>
    <s v="jul/23"/>
    <d v="2023-07-21T00:00:00"/>
    <s v="viernes"/>
    <s v=" Abierto"/>
    <x v="2"/>
    <x v="32"/>
    <s v="-"/>
    <n v="5.2480001449584899"/>
    <n v="1968.30004882812"/>
    <x v="382"/>
    <n v="10972789818"/>
    <n v="0.39"/>
  </r>
  <r>
    <x v="383"/>
    <s v="jul/23"/>
    <d v="2023-07-22T00:00:00"/>
    <s v="sábado"/>
    <s v="Cerrado"/>
    <x v="2"/>
    <x v="29"/>
    <s v="-"/>
    <n v="5.2480001449584899"/>
    <n v="1964.30004882812"/>
    <x v="383"/>
    <n v="7873300598"/>
    <n v="-0.46"/>
  </r>
  <r>
    <x v="384"/>
    <s v="jul/23"/>
    <d v="2023-07-23T00:00:00"/>
    <s v="domingo"/>
    <s v="Cerrado"/>
    <x v="2"/>
    <x v="33"/>
    <s v="-"/>
    <n v="5.2480001449584899"/>
    <n v="1968.30004882812"/>
    <x v="384"/>
    <n v="9220145050"/>
    <n v="1.05"/>
  </r>
  <r>
    <x v="385"/>
    <s v="jul/23"/>
    <d v="2023-07-24T00:00:00"/>
    <s v="lunes"/>
    <s v=" Abierto"/>
    <x v="2"/>
    <x v="34"/>
    <s v="-"/>
    <n v="5.25"/>
    <n v="1964.30004882812"/>
    <x v="385"/>
    <n v="15395817395"/>
    <n v="-3.02"/>
  </r>
  <r>
    <x v="386"/>
    <s v="jul/23"/>
    <d v="2023-07-25T00:00:00"/>
    <s v="martes"/>
    <s v=" Abierto"/>
    <x v="2"/>
    <x v="32"/>
    <s v="-"/>
    <n v="5.2649998664855904"/>
    <n v="1960.30004882812"/>
    <x v="386"/>
    <n v="10266772793"/>
    <n v="0.17"/>
  </r>
  <r>
    <x v="387"/>
    <s v="jul/23"/>
    <d v="2023-07-26T00:00:00"/>
    <s v="miércoles"/>
    <s v=" Abierto"/>
    <x v="2"/>
    <x v="30"/>
    <s v="-"/>
    <n v="5.2680001258850098"/>
    <n v="1962.09997558593"/>
    <x v="387"/>
    <n v="13497554655"/>
    <n v="0.44"/>
  </r>
  <r>
    <x v="388"/>
    <s v="jul/23"/>
    <d v="2023-07-27T00:00:00"/>
    <s v="jueves"/>
    <s v=" Abierto"/>
    <x v="2"/>
    <x v="30"/>
    <s v="-"/>
    <n v="5.2680001258850098"/>
    <n v="1968.90002441406"/>
    <x v="388"/>
    <n v="10770779217"/>
    <n v="-0.49"/>
  </r>
  <r>
    <x v="389"/>
    <s v="jul/23"/>
    <d v="2023-07-28T00:00:00"/>
    <s v="viernes"/>
    <s v=" Abierto"/>
    <x v="2"/>
    <x v="29"/>
    <s v="-"/>
    <n v="5.25500011444091"/>
    <n v="1945.40002441406"/>
    <x v="389"/>
    <n v="11218474952"/>
    <n v="0.37"/>
  </r>
  <r>
    <x v="390"/>
    <s v="jul/23"/>
    <d v="2023-07-29T00:00:00"/>
    <s v="sábado"/>
    <s v="Cerrado"/>
    <x v="2"/>
    <x v="29"/>
    <s v="-"/>
    <n v="5.25500011444091"/>
    <n v="1960.40002441406"/>
    <x v="390"/>
    <n v="6481775959"/>
    <n v="0.13"/>
  </r>
  <r>
    <x v="391"/>
    <s v="jul/23"/>
    <d v="2023-07-30T00:00:00"/>
    <s v="domingo"/>
    <s v="Cerrado"/>
    <x v="2"/>
    <x v="29"/>
    <s v="-"/>
    <n v="5.25500011444091"/>
    <n v="1945.40002441406"/>
    <x v="391"/>
    <n v="8678454527"/>
    <n v="-0.28000000000000003"/>
  </r>
  <r>
    <x v="392"/>
    <s v="jul/23"/>
    <d v="2023-07-31T00:00:00"/>
    <s v="lunes"/>
    <s v=" Abierto"/>
    <x v="2"/>
    <x v="32"/>
    <s v="-"/>
    <n v="5.2480001449584899"/>
    <n v="1960.40002441406"/>
    <x v="392"/>
    <n v="11656781982"/>
    <n v="-0.15"/>
  </r>
  <r>
    <x v="393"/>
    <s v="ago/23"/>
    <d v="2023-08-01T00:00:00"/>
    <s v="martes"/>
    <s v=" Abierto"/>
    <x v="2"/>
    <x v="31"/>
    <s v="-"/>
    <n v="5.2600002288818297"/>
    <n v="1970.5"/>
    <x v="393"/>
    <n v="18272392391"/>
    <n v="1.52"/>
  </r>
  <r>
    <x v="394"/>
    <s v="ago/23"/>
    <d v="2023-08-02T00:00:00"/>
    <s v="miércoles"/>
    <s v=" Abierto"/>
    <x v="2"/>
    <x v="31"/>
    <s v="-"/>
    <n v="5.2600002288818297"/>
    <n v="1940.69995117187"/>
    <x v="394"/>
    <n v="19212655598"/>
    <n v="-1.76"/>
  </r>
  <r>
    <x v="395"/>
    <s v="ago/23"/>
    <d v="2023-08-03T00:00:00"/>
    <s v="jueves"/>
    <s v=" Abierto"/>
    <x v="2"/>
    <x v="29"/>
    <s v="-"/>
    <n v="5.2579998970031703"/>
    <n v="1937.40002441406"/>
    <x v="395"/>
    <n v="12780357746"/>
    <n v="0.09"/>
  </r>
  <r>
    <x v="396"/>
    <s v="ago/23"/>
    <d v="2023-08-04T00:00:00"/>
    <s v="viernes"/>
    <s v=" Abierto"/>
    <x v="2"/>
    <x v="33"/>
    <s v="-"/>
    <n v="5.2529997825622496"/>
    <n v="1932"/>
    <x v="396"/>
    <n v="12036639988"/>
    <n v="-0.36"/>
  </r>
  <r>
    <x v="397"/>
    <s v="ago/23"/>
    <d v="2023-08-05T00:00:00"/>
    <s v="sábado"/>
    <s v="Cerrado"/>
    <x v="2"/>
    <x v="32"/>
    <s v="-"/>
    <n v="5.2529997825622496"/>
    <n v="1939.59997558593"/>
    <x v="397"/>
    <n v="6598366353"/>
    <n v="-0.11"/>
  </r>
  <r>
    <x v="398"/>
    <s v="ago/23"/>
    <d v="2023-08-06T00:00:00"/>
    <s v="domingo"/>
    <s v="Cerrado"/>
    <x v="1"/>
    <x v="40"/>
    <s v="-"/>
    <n v="5.2529997825622496"/>
    <n v="1932"/>
    <x v="398"/>
    <n v="7269806994"/>
    <n v="0"/>
  </r>
  <r>
    <x v="399"/>
    <s v="ago/23"/>
    <d v="2023-08-07T00:00:00"/>
    <s v="lunes"/>
    <s v=" Abierto"/>
    <x v="1"/>
    <x v="40"/>
    <s v="-"/>
    <n v="5.2600002288818297"/>
    <n v="1939.59997558593"/>
    <x v="399"/>
    <n v="13618163710"/>
    <n v="0.48"/>
  </r>
  <r>
    <x v="400"/>
    <s v="ago/23"/>
    <d v="2023-08-08T00:00:00"/>
    <s v="martes"/>
    <s v=" Abierto"/>
    <x v="2"/>
    <x v="33"/>
    <s v="-"/>
    <n v="5.2750000953674299"/>
    <n v="1933.5"/>
    <x v="400"/>
    <n v="17570561357"/>
    <n v="2"/>
  </r>
  <r>
    <x v="401"/>
    <s v="ago/23"/>
    <d v="2023-08-09T00:00:00"/>
    <s v="miércoles"/>
    <s v=" Abierto"/>
    <x v="2"/>
    <x v="32"/>
    <s v="-"/>
    <n v="5.2800002098083496"/>
    <n v="1924.09997558593"/>
    <x v="401"/>
    <n v="18379521213"/>
    <n v="-0.69"/>
  </r>
  <r>
    <x v="402"/>
    <s v="ago/23"/>
    <d v="2023-08-10T00:00:00"/>
    <s v="jueves"/>
    <s v=" Abierto"/>
    <x v="2"/>
    <x v="31"/>
    <s v="-"/>
    <n v="5.2680001258850098"/>
    <n v="1915.40002441406"/>
    <x v="402"/>
    <n v="11865344789"/>
    <n v="-0.45"/>
  </r>
  <r>
    <x v="403"/>
    <s v="ago/23"/>
    <d v="2023-08-11T00:00:00"/>
    <s v="viernes"/>
    <s v=" Abierto"/>
    <x v="2"/>
    <x v="30"/>
    <s v="-"/>
    <n v="5.2649998664855904"/>
    <n v="1914.40002441406"/>
    <x v="403"/>
    <n v="10195168197"/>
    <n v="-0.11"/>
  </r>
  <r>
    <x v="404"/>
    <s v="ago/23"/>
    <d v="2023-08-12T00:00:00"/>
    <s v="sábado"/>
    <s v="Cerrado"/>
    <x v="2"/>
    <x v="33"/>
    <s v="-"/>
    <n v="5.2649998664855904"/>
    <n v="1912.90002441406"/>
    <x v="404"/>
    <n v="6194358008"/>
    <n v="0.06"/>
  </r>
  <r>
    <x v="405"/>
    <s v="ago/23"/>
    <d v="2023-08-13T00:00:00"/>
    <s v="domingo"/>
    <s v="Cerrado"/>
    <x v="2"/>
    <x v="33"/>
    <s v="-"/>
    <n v="5.2649998664855904"/>
    <n v="1914.40002441406"/>
    <x v="405"/>
    <n v="7329897180"/>
    <n v="-0.45"/>
  </r>
  <r>
    <x v="406"/>
    <s v="ago/23"/>
    <d v="2023-08-14T00:00:00"/>
    <s v="lunes"/>
    <s v=" Abierto"/>
    <x v="2"/>
    <x v="32"/>
    <s v="-"/>
    <n v="5.2699999809265101"/>
    <n v="1912.90002441406"/>
    <x v="406"/>
    <n v="14013695304"/>
    <n v="0.43"/>
  </r>
  <r>
    <x v="407"/>
    <s v="ago/23"/>
    <d v="2023-08-15T00:00:00"/>
    <s v="martes"/>
    <s v=" Abierto"/>
    <x v="2"/>
    <x v="31"/>
    <s v="-"/>
    <n v="5.2800002098083496"/>
    <n v="1910.59997558593"/>
    <x v="407"/>
    <n v="12640195779"/>
    <n v="-0.81"/>
  </r>
  <r>
    <x v="408"/>
    <s v="ago/23"/>
    <d v="2023-08-16T00:00:00"/>
    <s v="miércoles"/>
    <s v=" Abierto"/>
    <x v="2"/>
    <x v="29"/>
    <s v="-"/>
    <n v="5.2849998474120996"/>
    <n v="1902.5"/>
    <x v="408"/>
    <n v="14949271904"/>
    <n v="-1.61"/>
  </r>
  <r>
    <x v="409"/>
    <s v="ago/23"/>
    <d v="2023-08-17T00:00:00"/>
    <s v="jueves"/>
    <s v=" Abierto"/>
    <x v="2"/>
    <x v="32"/>
    <s v="-"/>
    <n v="5.2779998779296804"/>
    <n v="1896.09997558593"/>
    <x v="409"/>
    <n v="31120851211"/>
    <n v="-7.1"/>
  </r>
  <r>
    <x v="410"/>
    <s v="ago/23"/>
    <d v="2023-08-18T00:00:00"/>
    <s v="viernes"/>
    <s v=" Abierto"/>
    <x v="1"/>
    <x v="50"/>
    <s v="-"/>
    <n v="5.2779998779296804"/>
    <n v="1884.09997558593"/>
    <x v="410"/>
    <n v="24026236529"/>
    <n v="-2.31"/>
  </r>
  <r>
    <x v="411"/>
    <s v="ago/23"/>
    <d v="2023-08-19T00:00:00"/>
    <s v="sábado"/>
    <s v="Cerrado"/>
    <x v="1"/>
    <x v="16"/>
    <s v="-"/>
    <n v="5.2779998779296804"/>
    <n v="1886.09997558593"/>
    <x v="411"/>
    <n v="10631443812"/>
    <n v="0.18"/>
  </r>
  <r>
    <x v="412"/>
    <s v="ago/23"/>
    <d v="2023-08-20T00:00:00"/>
    <s v="domingo"/>
    <s v="Cerrado"/>
    <x v="1"/>
    <x v="50"/>
    <s v="-"/>
    <n v="5.2779998779296804"/>
    <n v="1884.09997558593"/>
    <x v="412"/>
    <n v="9036580420"/>
    <n v="0.36"/>
  </r>
  <r>
    <x v="413"/>
    <s v="ago/23"/>
    <d v="2023-08-21T00:00:00"/>
    <s v="lunes"/>
    <s v=" Abierto"/>
    <x v="1"/>
    <x v="27"/>
    <s v="-"/>
    <n v="5.2800002098083496"/>
    <n v="1886.09997558593"/>
    <x v="413"/>
    <n v="13371557893"/>
    <n v="-0.25"/>
  </r>
  <r>
    <x v="414"/>
    <s v="ago/23"/>
    <d v="2023-08-22T00:00:00"/>
    <s v="martes"/>
    <s v=" Abierto"/>
    <x v="1"/>
    <x v="50"/>
    <s v="-"/>
    <n v="5.29500007629394"/>
    <n v="1893.30004882812"/>
    <x v="414"/>
    <n v="14503820706"/>
    <n v="-0.35"/>
  </r>
  <r>
    <x v="415"/>
    <s v="ago/23"/>
    <d v="2023-08-23T00:00:00"/>
    <s v="miércoles"/>
    <s v=" Abierto"/>
    <x v="1"/>
    <x v="50"/>
    <s v="-"/>
    <n v="5.29500007629394"/>
    <n v="1896.40002441406"/>
    <x v="415"/>
    <n v="16985265785"/>
    <n v="1.54"/>
  </r>
  <r>
    <x v="416"/>
    <s v="ago/23"/>
    <d v="2023-08-24T00:00:00"/>
    <s v="jueves"/>
    <s v=" Abierto"/>
    <x v="1"/>
    <x v="18"/>
    <s v="-"/>
    <n v="5.3029999732971103"/>
    <n v="1918.5"/>
    <x v="416"/>
    <n v="12871532023"/>
    <n v="-1.02"/>
  </r>
  <r>
    <x v="417"/>
    <s v="ago/23"/>
    <d v="2023-08-25T00:00:00"/>
    <s v="viernes"/>
    <s v=" Abierto"/>
    <x v="1"/>
    <x v="16"/>
    <s v="-"/>
    <n v="5.3150000572204501"/>
    <n v="1918.19995117187"/>
    <x v="417"/>
    <n v="12406045118"/>
    <n v="-0.44"/>
  </r>
  <r>
    <x v="418"/>
    <s v="ago/23"/>
    <d v="2023-08-26T00:00:00"/>
    <s v="sábado"/>
    <s v="Cerrado"/>
    <x v="1"/>
    <x v="27"/>
    <s v="-"/>
    <n v="5.3150000572204501"/>
    <n v="1911.09997558593"/>
    <x v="418"/>
    <n v="6034817316"/>
    <n v="-0.15"/>
  </r>
  <r>
    <x v="419"/>
    <s v="ago/23"/>
    <d v="2023-08-27T00:00:00"/>
    <s v="domingo"/>
    <s v="Cerrado"/>
    <x v="1"/>
    <x v="27"/>
    <s v="-"/>
    <n v="5.3150000572204501"/>
    <n v="1918.19995117187"/>
    <x v="419"/>
    <n v="6913768611"/>
    <n v="0.31"/>
  </r>
  <r>
    <x v="420"/>
    <s v="ago/23"/>
    <d v="2023-08-28T00:00:00"/>
    <s v="lunes"/>
    <s v=" Abierto"/>
    <x v="1"/>
    <x v="16"/>
    <s v="-"/>
    <n v="5.3229999542236301"/>
    <n v="1911.09997558593"/>
    <x v="420"/>
    <n v="11002805166"/>
    <n v="0.06"/>
  </r>
  <r>
    <x v="421"/>
    <s v="ago/23"/>
    <d v="2023-08-29T00:00:00"/>
    <s v="martes"/>
    <s v=" Abierto"/>
    <x v="1"/>
    <x v="16"/>
    <s v="-"/>
    <n v="5.3200001716613698"/>
    <n v="1917.90002441406"/>
    <x v="421"/>
    <n v="29368391712"/>
    <n v="6.21"/>
  </r>
  <r>
    <x v="422"/>
    <s v="ago/23"/>
    <d v="2023-08-30T00:00:00"/>
    <s v="miércoles"/>
    <s v=" Abierto"/>
    <x v="1"/>
    <x v="40"/>
    <s v="-"/>
    <n v="5.3150000572204501"/>
    <n v="1936.5"/>
    <x v="422"/>
    <n v="16343655235"/>
    <n v="-1.55"/>
  </r>
  <r>
    <x v="423"/>
    <s v="ago/23"/>
    <d v="2023-08-31T00:00:00"/>
    <s v="jueves"/>
    <s v=" Abierto"/>
    <x v="2"/>
    <x v="29"/>
    <s v="-"/>
    <n v="5.2979998588562003"/>
    <n v="1944.30004882812"/>
    <x v="423"/>
    <n v="20181001451"/>
    <n v="-5"/>
  </r>
  <r>
    <x v="424"/>
    <s v="sep/23"/>
    <d v="2023-09-01T00:00:00"/>
    <s v="viernes"/>
    <s v=" Abierto"/>
    <x v="1"/>
    <x v="28"/>
    <s v="-"/>
    <n v="5.2680001258850098"/>
    <n v="1938.19995117187"/>
    <x v="424"/>
    <n v="17202862221"/>
    <n v="-0.5"/>
  </r>
  <r>
    <x v="425"/>
    <s v="sep/23"/>
    <d v="2023-09-02T00:00:00"/>
    <s v="sábado"/>
    <s v="Cerrado"/>
    <x v="1"/>
    <x v="16"/>
    <s v="-"/>
    <n v="5.2680001258850098"/>
    <n v="1939.80004882812"/>
    <x v="425"/>
    <n v="10100387473"/>
    <n v="0.26"/>
  </r>
  <r>
    <x v="426"/>
    <s v="sep/23"/>
    <d v="2023-09-03T00:00:00"/>
    <s v="domingo"/>
    <s v="Cerrado"/>
    <x v="1"/>
    <x v="28"/>
    <s v="-"/>
    <n v="5.2680001258850098"/>
    <n v="1938.19995117187"/>
    <x v="426"/>
    <n v="8962524523"/>
    <n v="0.39"/>
  </r>
  <r>
    <x v="427"/>
    <s v="sep/23"/>
    <d v="2023-09-04T00:00:00"/>
    <s v="lunes"/>
    <s v=" Abierto"/>
    <x v="1"/>
    <x v="28"/>
    <s v="-"/>
    <n v="5.2680001258850098"/>
    <n v="1939.80004882812"/>
    <x v="427"/>
    <n v="10680635106"/>
    <n v="-0.61"/>
  </r>
  <r>
    <x v="428"/>
    <s v="sep/23"/>
    <d v="2023-09-05T00:00:00"/>
    <s v="martes"/>
    <s v=" Abierto"/>
    <x v="1"/>
    <x v="28"/>
    <s v="-"/>
    <n v="5.2779998779296804"/>
    <n v="1938.19995117187"/>
    <x v="428"/>
    <n v="11094740040"/>
    <n v="-0.13"/>
  </r>
  <r>
    <x v="429"/>
    <s v="sep/23"/>
    <d v="2023-09-06T00:00:00"/>
    <s v="miércoles"/>
    <s v=" Abierto"/>
    <x v="1"/>
    <x v="17"/>
    <s v="-"/>
    <n v="5.3000001907348597"/>
    <n v="1926.19995117187"/>
    <x v="429"/>
    <n v="12752705327"/>
    <n v="-0.1"/>
  </r>
  <r>
    <x v="430"/>
    <s v="sep/23"/>
    <d v="2023-09-07T00:00:00"/>
    <s v="jueves"/>
    <s v=" Abierto"/>
    <x v="1"/>
    <x v="18"/>
    <s v="-"/>
    <n v="5.2829999923706001"/>
    <n v="1918.09997558593"/>
    <x v="430"/>
    <n v="11088307100"/>
    <n v="1.89"/>
  </r>
  <r>
    <x v="431"/>
    <s v="sep/23"/>
    <d v="2023-09-08T00:00:00"/>
    <s v="viernes"/>
    <s v=" Abierto"/>
    <x v="1"/>
    <x v="19"/>
    <s v="-"/>
    <n v="5.2930002212524396"/>
    <n v="1917.5"/>
    <x v="431"/>
    <n v="10817356400"/>
    <n v="-1.27"/>
  </r>
  <r>
    <x v="432"/>
    <s v="sep/23"/>
    <d v="2023-09-09T00:00:00"/>
    <s v="sábado"/>
    <s v="Cerrado"/>
    <x v="1"/>
    <x v="18"/>
    <s v="-"/>
    <n v="5.2930002212524396"/>
    <n v="1918.40002441406"/>
    <x v="432"/>
    <n v="5481314132"/>
    <n v="-0.04"/>
  </r>
  <r>
    <x v="433"/>
    <s v="sep/23"/>
    <d v="2023-09-10T00:00:00"/>
    <s v="domingo"/>
    <s v="Cerrado"/>
    <x v="1"/>
    <x v="28"/>
    <s v="-"/>
    <n v="5.2930002212524396"/>
    <n v="1917.5"/>
    <x v="433"/>
    <n v="7899553047"/>
    <n v="-0.25"/>
  </r>
  <r>
    <x v="434"/>
    <s v="sep/23"/>
    <d v="2023-09-11T00:00:00"/>
    <s v="lunes"/>
    <s v=" Abierto"/>
    <x v="1"/>
    <x v="28"/>
    <s v="-"/>
    <n v="5.2930002212524396"/>
    <n v="1918.40002441406"/>
    <x v="434"/>
    <n v="14600006467"/>
    <n v="-2.59"/>
  </r>
  <r>
    <x v="435"/>
    <s v="sep/23"/>
    <d v="2023-09-12T00:00:00"/>
    <s v="martes"/>
    <s v=" Abierto"/>
    <x v="1"/>
    <x v="9"/>
    <s v="-"/>
    <n v="5.3049998283386204"/>
    <n v="1923.30004882812"/>
    <x v="435"/>
    <n v="18657279324"/>
    <n v="2.67"/>
  </r>
  <r>
    <x v="436"/>
    <s v="sep/23"/>
    <d v="2023-09-13T00:00:00"/>
    <s v="miércoles"/>
    <s v=" Abierto"/>
    <x v="1"/>
    <x v="18"/>
    <s v="-"/>
    <n v="5.3049998283386204"/>
    <n v="1911.30004882812"/>
    <x v="436"/>
    <n v="13072077070"/>
    <n v="1.53"/>
  </r>
  <r>
    <x v="437"/>
    <s v="sep/23"/>
    <d v="2023-09-14T00:00:00"/>
    <s v="jueves"/>
    <s v=" Abierto"/>
    <x v="1"/>
    <x v="21"/>
    <s v="-"/>
    <n v="5.29500007629394"/>
    <n v="1909.09997558593"/>
    <x v="437"/>
    <n v="13811359124"/>
    <n v="1.19"/>
  </r>
  <r>
    <x v="438"/>
    <s v="sep/23"/>
    <d v="2023-09-15T00:00:00"/>
    <s v="viernes"/>
    <s v=" Abierto"/>
    <x v="1"/>
    <x v="21"/>
    <n v="10"/>
    <n v="5.2979998588562003"/>
    <n v="1910"/>
    <x v="438"/>
    <n v="11479735788"/>
    <n v="0.26"/>
  </r>
  <r>
    <x v="439"/>
    <s v="sep/23"/>
    <d v="2023-09-16T00:00:00"/>
    <s v="sábado"/>
    <s v="Cerrado"/>
    <x v="1"/>
    <x v="51"/>
    <s v="-"/>
    <n v="5.2979998588562003"/>
    <n v="1923.69995117187"/>
    <x v="439"/>
    <n v="7402031417"/>
    <n v="-0.15"/>
  </r>
  <r>
    <x v="440"/>
    <s v="sep/23"/>
    <d v="2023-09-17T00:00:00"/>
    <s v="domingo"/>
    <s v="Cerrado"/>
    <x v="1"/>
    <x v="19"/>
    <s v="-"/>
    <n v="5.2979998588562003"/>
    <n v="1910"/>
    <x v="440"/>
    <n v="6774210670"/>
    <n v="-0.13"/>
  </r>
  <r>
    <x v="441"/>
    <s v="sep/23"/>
    <d v="2023-09-18T00:00:00"/>
    <s v="lunes"/>
    <s v=" Abierto"/>
    <x v="1"/>
    <x v="19"/>
    <s v="-"/>
    <n v="5.3000001907348597"/>
    <n v="1923.69995117187"/>
    <x v="441"/>
    <n v="15615339655"/>
    <n v="0.83"/>
  </r>
  <r>
    <x v="442"/>
    <s v="sep/23"/>
    <d v="2023-09-19T00:00:00"/>
    <s v="martes"/>
    <s v=" Abierto"/>
    <x v="1"/>
    <x v="19"/>
    <s v="-"/>
    <n v="5.3099999427795401"/>
    <n v="1931.5"/>
    <x v="442"/>
    <n v="13807690550"/>
    <n v="1.71"/>
  </r>
  <r>
    <x v="443"/>
    <s v="sep/23"/>
    <d v="2023-09-20T00:00:00"/>
    <s v="miércoles"/>
    <s v=" Abierto"/>
    <x v="1"/>
    <x v="20"/>
    <s v="-"/>
    <n v="5.3150000572204501"/>
    <n v="1932"/>
    <x v="443"/>
    <n v="13281116604"/>
    <n v="-0.28999999999999998"/>
  </r>
  <r>
    <x v="444"/>
    <s v="sep/23"/>
    <d v="2023-09-21T00:00:00"/>
    <s v="jueves"/>
    <s v=" Abierto"/>
    <x v="1"/>
    <x v="20"/>
    <s v="-"/>
    <n v="5.3049998283386204"/>
    <n v="1945.59997558593"/>
    <x v="444"/>
    <n v="13371443708"/>
    <n v="-2.08"/>
  </r>
  <r>
    <x v="445"/>
    <s v="sep/23"/>
    <d v="2023-09-22T00:00:00"/>
    <s v="viernes"/>
    <s v=" Abierto"/>
    <x v="1"/>
    <x v="51"/>
    <s v="-"/>
    <n v="5.3049998283386204"/>
    <n v="1919.19995117187"/>
    <x v="445"/>
    <n v="10578746709"/>
    <n v="0.04"/>
  </r>
  <r>
    <x v="446"/>
    <s v="sep/23"/>
    <d v="2023-09-23T00:00:00"/>
    <s v="sábado"/>
    <s v="Cerrado"/>
    <x v="1"/>
    <x v="20"/>
    <s v="-"/>
    <n v="5.3049998283386204"/>
    <n v="1925.40002441406"/>
    <x v="446"/>
    <n v="7404700301"/>
    <n v="0"/>
  </r>
  <r>
    <x v="447"/>
    <s v="sep/23"/>
    <d v="2023-09-24T00:00:00"/>
    <s v="domingo"/>
    <s v="Cerrado"/>
    <x v="1"/>
    <x v="22"/>
    <s v="-"/>
    <n v="5.3049998283386204"/>
    <n v="1919.19995117187"/>
    <x v="447"/>
    <n v="8192867686"/>
    <n v="-1.21"/>
  </r>
  <r>
    <x v="448"/>
    <s v="sep/23"/>
    <d v="2023-09-25T00:00:00"/>
    <s v="lunes"/>
    <s v=" Abierto"/>
    <x v="1"/>
    <x v="20"/>
    <s v="-"/>
    <n v="5.3130002021789497"/>
    <n v="1925.40002441406"/>
    <x v="448"/>
    <n v="11997833257"/>
    <n v="0.16"/>
  </r>
  <r>
    <x v="449"/>
    <s v="sep/23"/>
    <d v="2023-09-26T00:00:00"/>
    <s v="martes"/>
    <s v=" Abierto"/>
    <x v="1"/>
    <x v="19"/>
    <s v="-"/>
    <n v="5.3249998092651296"/>
    <n v="1916.59997558593"/>
    <x v="449"/>
    <n v="9985498161"/>
    <n v="-0.31"/>
  </r>
  <r>
    <x v="450"/>
    <s v="sep/23"/>
    <d v="2023-09-27T00:00:00"/>
    <s v="miércoles"/>
    <s v=" Abierto"/>
    <x v="1"/>
    <x v="22"/>
    <s v="-"/>
    <n v="5.3299999237060502"/>
    <n v="1900.40002441406"/>
    <x v="450"/>
    <n v="11718380997"/>
    <n v="0.52"/>
  </r>
  <r>
    <x v="451"/>
    <s v="sep/23"/>
    <d v="2023-09-28T00:00:00"/>
    <s v="jueves"/>
    <s v=" Abierto"/>
    <x v="1"/>
    <x v="19"/>
    <s v="-"/>
    <n v="5.30800008773803"/>
    <n v="1871.59997558593"/>
    <x v="451"/>
    <n v="14079002707"/>
    <n v="2.54"/>
  </r>
  <r>
    <x v="452"/>
    <s v="sep/23"/>
    <d v="2023-09-29T00:00:00"/>
    <s v="viernes"/>
    <s v=" Abierto"/>
    <x v="1"/>
    <x v="39"/>
    <s v="-"/>
    <n v="5.3000001907348597"/>
    <n v="1860.40002441406"/>
    <x v="452"/>
    <n v="10396435377"/>
    <n v="-0.41"/>
  </r>
  <r>
    <x v="453"/>
    <s v="sep/23"/>
    <d v="2023-09-30T00:00:00"/>
    <s v="sábado"/>
    <s v="Cerrado"/>
    <x v="1"/>
    <x v="20"/>
    <s v="-"/>
    <n v="5.3000001907348597"/>
    <n v="1848.09997558593"/>
    <x v="453"/>
    <n v="5331172801"/>
    <n v="0.21"/>
  </r>
  <r>
    <x v="454"/>
    <s v="oct/23"/>
    <d v="2023-10-01T00:00:00"/>
    <s v="domingo"/>
    <s v="Cerrado"/>
    <x v="1"/>
    <x v="39"/>
    <s v="-"/>
    <n v="5.3000001907348597"/>
    <n v="1860.40002441406"/>
    <x v="454"/>
    <n v="9503917434"/>
    <n v="3.77"/>
  </r>
  <r>
    <x v="455"/>
    <s v="oct/23"/>
    <d v="2023-10-02T00:00:00"/>
    <s v="lunes"/>
    <s v=" Abierto"/>
    <x v="2"/>
    <x v="32"/>
    <s v="-"/>
    <n v="5.3150000572204501"/>
    <n v="1848.09997558593"/>
    <x v="455"/>
    <n v="19793041322"/>
    <n v="-1.62"/>
  </r>
  <r>
    <x v="456"/>
    <s v="oct/23"/>
    <d v="2023-10-03T00:00:00"/>
    <s v="martes"/>
    <s v=" Abierto"/>
    <x v="2"/>
    <x v="32"/>
    <s v="-"/>
    <n v="5.3400001525878897"/>
    <n v="1830"/>
    <x v="456"/>
    <n v="11407814187"/>
    <n v="-0.37"/>
  </r>
  <r>
    <x v="457"/>
    <s v="oct/23"/>
    <d v="2023-10-04T00:00:00"/>
    <s v="miércoles"/>
    <s v=" Abierto"/>
    <x v="1"/>
    <x v="40"/>
    <s v="-"/>
    <n v="5.33500003814697"/>
    <n v="1824.59997558593"/>
    <x v="457"/>
    <n v="11143355314"/>
    <n v="1.35"/>
  </r>
  <r>
    <x v="458"/>
    <s v="oct/23"/>
    <d v="2023-10-05T00:00:00"/>
    <s v="jueves"/>
    <s v=" Abierto"/>
    <x v="1"/>
    <x v="39"/>
    <s v="-"/>
    <n v="5.3249998092651296"/>
    <n v="1818.5"/>
    <x v="458"/>
    <n v="11877253670"/>
    <n v="-1.38"/>
  </r>
  <r>
    <x v="459"/>
    <s v="oct/23"/>
    <d v="2023-10-06T00:00:00"/>
    <s v="viernes"/>
    <s v=" Abierto"/>
    <x v="2"/>
    <x v="32"/>
    <s v="-"/>
    <n v="5.34800004959106"/>
    <n v="1816.59997558593"/>
    <x v="459"/>
    <n v="13492391599"/>
    <n v="1.94"/>
  </r>
  <r>
    <x v="460"/>
    <s v="oct/23"/>
    <d v="2023-10-07T00:00:00"/>
    <s v="sábado"/>
    <s v="Cerrado"/>
    <x v="1"/>
    <x v="40"/>
    <s v="-"/>
    <n v="5.34800004959106"/>
    <n v="1830.19995117187"/>
    <x v="460"/>
    <n v="6553044316"/>
    <n v="0.08"/>
  </r>
  <r>
    <x v="461"/>
    <s v="oct/23"/>
    <d v="2023-10-08T00:00:00"/>
    <s v="domingo"/>
    <s v="Cerrado"/>
    <x v="2"/>
    <x v="32"/>
    <s v="-"/>
    <n v="5.34800004959106"/>
    <n v="1816.59997558593"/>
    <x v="461"/>
    <n v="7916875290"/>
    <n v="-0.12"/>
  </r>
  <r>
    <x v="462"/>
    <s v="oct/23"/>
    <d v="2023-10-09T00:00:00"/>
    <s v="lunes"/>
    <s v=" Abierto"/>
    <x v="2"/>
    <x v="32"/>
    <s v="-"/>
    <n v="5.34800004959106"/>
    <n v="1830.19995117187"/>
    <x v="462"/>
    <n v="12007668568"/>
    <n v="-1.26"/>
  </r>
  <r>
    <x v="463"/>
    <s v="oct/23"/>
    <d v="2023-10-10T00:00:00"/>
    <s v="martes"/>
    <s v=" Abierto"/>
    <x v="2"/>
    <x v="32"/>
    <n v="11"/>
    <n v="5.3229999542236301"/>
    <n v="1849.5"/>
    <x v="463"/>
    <n v="9973350678"/>
    <n v="-0.7"/>
  </r>
  <r>
    <x v="464"/>
    <s v="oct/23"/>
    <d v="2023-10-11T00:00:00"/>
    <s v="miércoles"/>
    <s v=" Abierto"/>
    <x v="1"/>
    <x v="20"/>
    <s v="-"/>
    <n v="5.33500003814697"/>
    <n v="1861"/>
    <x v="464"/>
    <n v="13648094333"/>
    <n v="-1.89"/>
  </r>
  <r>
    <x v="465"/>
    <s v="oct/23"/>
    <d v="2023-10-12T00:00:00"/>
    <s v="jueves"/>
    <s v=" Abierto"/>
    <x v="1"/>
    <x v="21"/>
    <s v="-"/>
    <n v="5.33500003814697"/>
    <n v="1872.80004882812"/>
    <x v="465"/>
    <n v="9392909295"/>
    <n v="-0.43"/>
  </r>
  <r>
    <x v="466"/>
    <s v="oct/23"/>
    <d v="2023-10-13T00:00:00"/>
    <s v="viernes"/>
    <s v=" Abierto"/>
    <x v="1"/>
    <x v="22"/>
    <s v="-"/>
    <n v="5.3280000686645499"/>
    <n v="1869.30004882812"/>
    <x v="466"/>
    <n v="15165312851"/>
    <n v="0.39"/>
  </r>
  <r>
    <x v="467"/>
    <s v="oct/23"/>
    <d v="2023-10-14T00:00:00"/>
    <s v="sábado"/>
    <s v="Cerrado"/>
    <x v="1"/>
    <x v="20"/>
    <s v="-"/>
    <n v="5.3280000686645499"/>
    <n v="1927.40002441406"/>
    <x v="467"/>
    <n v="5388116782"/>
    <n v="0"/>
  </r>
  <r>
    <x v="468"/>
    <s v="oct/23"/>
    <d v="2023-10-15T00:00:00"/>
    <s v="domingo"/>
    <s v="Cerrado"/>
    <x v="1"/>
    <x v="21"/>
    <s v="-"/>
    <n v="5.3280000686645499"/>
    <n v="1869.30004882812"/>
    <x v="468"/>
    <n v="7098201980"/>
    <n v="1.1100000000000001"/>
  </r>
  <r>
    <x v="469"/>
    <s v="oct/23"/>
    <d v="2023-10-16T00:00:00"/>
    <s v="lunes"/>
    <s v=" Abierto"/>
    <x v="1"/>
    <x v="20"/>
    <s v="-"/>
    <n v="5.3280000686645499"/>
    <n v="1927.40002441406"/>
    <x v="469"/>
    <n v="27833876539"/>
    <n v="5.01"/>
  </r>
  <r>
    <x v="470"/>
    <s v="oct/23"/>
    <d v="2023-10-17T00:00:00"/>
    <s v="martes"/>
    <s v=" Abierto"/>
    <x v="2"/>
    <x v="29"/>
    <s v="-"/>
    <n v="5.3400001525878897"/>
    <n v="1921.09997558593"/>
    <x v="470"/>
    <n v="14872527508"/>
    <n v="-0.36"/>
  </r>
  <r>
    <x v="471"/>
    <s v="oct/23"/>
    <d v="2023-10-18T00:00:00"/>
    <s v="miércoles"/>
    <s v=" Abierto"/>
    <x v="2"/>
    <x v="32"/>
    <s v="-"/>
    <n v="5.3299999237060502"/>
    <n v="1922.69995117187"/>
    <x v="471"/>
    <n v="12724128586"/>
    <n v="-0.31"/>
  </r>
  <r>
    <x v="472"/>
    <s v="oct/23"/>
    <d v="2023-10-19T00:00:00"/>
    <s v="jueves"/>
    <s v=" Abierto"/>
    <x v="2"/>
    <x v="29"/>
    <s v="-"/>
    <n v="5.3099999427795401"/>
    <n v="1955.30004882812"/>
    <x v="472"/>
    <n v="14448058195"/>
    <n v="1.38"/>
  </r>
  <r>
    <x v="473"/>
    <s v="oct/23"/>
    <d v="2023-10-20T00:00:00"/>
    <s v="viernes"/>
    <s v=" Abierto"/>
    <x v="2"/>
    <x v="31"/>
    <s v="-"/>
    <n v="5.3000001907348597"/>
    <n v="1968.40002441406"/>
    <x v="473"/>
    <n v="21536125230"/>
    <n v="3.35"/>
  </r>
  <r>
    <x v="474"/>
    <s v="oct/23"/>
    <d v="2023-10-21T00:00:00"/>
    <s v="sábado"/>
    <s v="Cerrado"/>
    <x v="2"/>
    <x v="44"/>
    <s v="-"/>
    <n v="5.3000001907348597"/>
    <n v="1982.5"/>
    <x v="474"/>
    <n v="11541146996"/>
    <n v="0.79"/>
  </r>
  <r>
    <x v="475"/>
    <s v="oct/23"/>
    <d v="2023-10-22T00:00:00"/>
    <s v="domingo"/>
    <s v="Cerrado"/>
    <x v="2"/>
    <x v="31"/>
    <s v="-"/>
    <n v="5.3000001907348597"/>
    <n v="1968.40002441406"/>
    <x v="475"/>
    <n v="10446520040"/>
    <n v="0.25"/>
  </r>
  <r>
    <x v="476"/>
    <s v="oct/23"/>
    <d v="2023-10-23T00:00:00"/>
    <s v="lunes"/>
    <s v=" Abierto"/>
    <x v="2"/>
    <x v="31"/>
    <s v="-"/>
    <n v="5.2930002212524396"/>
    <n v="1982.5"/>
    <x v="476"/>
    <n v="38363572311"/>
    <n v="10.31"/>
  </r>
  <r>
    <x v="477"/>
    <s v="oct/23"/>
    <d v="2023-10-24T00:00:00"/>
    <s v="martes"/>
    <s v=" Abierto"/>
    <x v="2"/>
    <x v="45"/>
    <s v="-"/>
    <n v="5.30800008773803"/>
    <n v="1976.30004882812"/>
    <x v="477"/>
    <n v="44934999645"/>
    <n v="2.46"/>
  </r>
  <r>
    <x v="478"/>
    <s v="oct/23"/>
    <d v="2023-10-25T00:00:00"/>
    <s v="miércoles"/>
    <s v=" Abierto"/>
    <x v="2"/>
    <x v="52"/>
    <s v="-"/>
    <n v="5.3150000572204501"/>
    <n v="1975"/>
    <x v="478"/>
    <n v="25254318008"/>
    <n v="1.77"/>
  </r>
  <r>
    <x v="479"/>
    <s v="oct/23"/>
    <d v="2023-10-26T00:00:00"/>
    <s v="jueves"/>
    <s v=" Abierto"/>
    <x v="2"/>
    <x v="53"/>
    <s v="-"/>
    <n v="5.3000001907348597"/>
    <n v="1984.09997558593"/>
    <x v="479"/>
    <n v="19427195376"/>
    <n v="-1"/>
  </r>
  <r>
    <x v="480"/>
    <s v="oct/23"/>
    <d v="2023-10-27T00:00:00"/>
    <s v="viernes"/>
    <s v=" Abierto"/>
    <x v="2"/>
    <x v="54"/>
    <s v="-"/>
    <n v="5.3049998283386204"/>
    <n v="1987.19995117187"/>
    <x v="480"/>
    <n v="16418032871"/>
    <n v="-0.72"/>
  </r>
  <r>
    <x v="481"/>
    <s v="oct/23"/>
    <d v="2023-10-28T00:00:00"/>
    <s v="sábado"/>
    <s v="Cerrado"/>
    <x v="2"/>
    <x v="48"/>
    <s v="-"/>
    <n v="5.3049998283386204"/>
    <n v="1988.59997558593"/>
    <x v="481"/>
    <n v="10160330825"/>
    <n v="0.53"/>
  </r>
  <r>
    <x v="482"/>
    <s v="oct/23"/>
    <d v="2023-10-29T00:00:00"/>
    <s v="domingo"/>
    <s v="Cerrado"/>
    <x v="2"/>
    <x v="52"/>
    <s v="-"/>
    <n v="5.3049998283386204"/>
    <n v="1987.19995117187"/>
    <x v="482"/>
    <n v="11160323986"/>
    <n v="1.32"/>
  </r>
  <r>
    <x v="483"/>
    <s v="oct/23"/>
    <d v="2023-10-30T00:00:00"/>
    <s v="lunes"/>
    <s v=" Abierto"/>
    <x v="2"/>
    <x v="46"/>
    <s v="-"/>
    <n v="5.3130002021789497"/>
    <n v="1988.59997558593"/>
    <x v="483"/>
    <n v="17184860315"/>
    <n v="-0.1"/>
  </r>
  <r>
    <x v="484"/>
    <s v="oct/23"/>
    <d v="2023-10-31T00:00:00"/>
    <s v="martes"/>
    <s v=" Abierto"/>
    <x v="2"/>
    <x v="45"/>
    <s v="-"/>
    <n v="5.3200001716613698"/>
    <n v="1996.19995117187"/>
    <x v="484"/>
    <n v="15758270810"/>
    <n v="0.48"/>
  </r>
  <r>
    <x v="485"/>
    <s v="nov/23"/>
    <d v="2023-11-01T00:00:00"/>
    <s v="miércoles"/>
    <s v=" Abierto"/>
    <x v="2"/>
    <x v="45"/>
    <s v="-"/>
    <n v="5.3000001907348597"/>
    <n v="1985.19995117187"/>
    <x v="485"/>
    <n v="22446272005"/>
    <n v="2.2200000000000002"/>
  </r>
  <r>
    <x v="486"/>
    <s v="nov/23"/>
    <d v="2023-11-02T00:00:00"/>
    <s v="jueves"/>
    <s v=" Abierto"/>
    <x v="2"/>
    <x v="52"/>
    <s v="-"/>
    <n v="5.2699999809265101"/>
    <n v="1978.80004882812"/>
    <x v="486"/>
    <n v="20998158544"/>
    <n v="-1.41"/>
  </r>
  <r>
    <x v="487"/>
    <s v="nov/23"/>
    <d v="2023-11-03T00:00:00"/>
    <s v="viernes"/>
    <s v=" Abierto"/>
    <x v="2"/>
    <x v="48"/>
    <s v="-"/>
    <n v="5.2529997825622496"/>
    <n v="1985.59997558593"/>
    <x v="487"/>
    <n v="17158456701"/>
    <n v="-0.59"/>
  </r>
  <r>
    <x v="488"/>
    <s v="nov/23"/>
    <d v="2023-11-04T00:00:00"/>
    <s v="sábado"/>
    <s v="Cerrado"/>
    <x v="2"/>
    <x v="46"/>
    <s v="-"/>
    <n v="5.2529997825622496"/>
    <n v="1991.5"/>
    <x v="488"/>
    <n v="9561294264"/>
    <n v="1.01"/>
  </r>
  <r>
    <x v="489"/>
    <s v="nov/23"/>
    <d v="2023-11-05T00:00:00"/>
    <s v="domingo"/>
    <s v="Cerrado"/>
    <x v="2"/>
    <x v="54"/>
    <s v="-"/>
    <n v="5.2529997825622496"/>
    <n v="1985.59997558593"/>
    <x v="489"/>
    <n v="12412743996"/>
    <n v="-0.09"/>
  </r>
  <r>
    <x v="490"/>
    <s v="nov/23"/>
    <d v="2023-11-06T00:00:00"/>
    <s v="lunes"/>
    <s v=" Abierto"/>
    <x v="2"/>
    <x v="55"/>
    <s v="-"/>
    <n v="5.2600002288818297"/>
    <n v="1991.5"/>
    <x v="490"/>
    <n v="12693436420"/>
    <n v="-0.03"/>
  </r>
  <r>
    <x v="491"/>
    <s v="nov/23"/>
    <d v="2023-11-07T00:00:00"/>
    <s v="martes"/>
    <s v=" Abierto"/>
    <x v="2"/>
    <x v="46"/>
    <s v="-"/>
    <n v="5.2729997634887598"/>
    <n v="1981.59997558593"/>
    <x v="491"/>
    <n v="18834737789"/>
    <n v="1.1599999999999999"/>
  </r>
  <r>
    <x v="492"/>
    <s v="nov/23"/>
    <d v="2023-11-08T00:00:00"/>
    <s v="miércoles"/>
    <s v=" Abierto"/>
    <x v="2"/>
    <x v="45"/>
    <s v="-"/>
    <n v="5.2680001258850098"/>
    <n v="1966.80004882812"/>
    <x v="492"/>
    <n v="17295394918"/>
    <n v="0.6"/>
  </r>
  <r>
    <x v="493"/>
    <s v="nov/23"/>
    <d v="2023-11-09T00:00:00"/>
    <s v="jueves"/>
    <s v=" Abierto"/>
    <x v="2"/>
    <x v="49"/>
    <s v="-"/>
    <n v="5.26300001144409"/>
    <n v="1951.5"/>
    <x v="493"/>
    <n v="37762672382"/>
    <n v="2.91"/>
  </r>
  <r>
    <x v="494"/>
    <s v="nov/23"/>
    <d v="2023-11-10T00:00:00"/>
    <s v="viernes"/>
    <s v=" Abierto"/>
    <x v="2"/>
    <x v="54"/>
    <s v="-"/>
    <n v="5.25"/>
    <n v="1964.19995117187"/>
    <x v="494"/>
    <n v="22711265155"/>
    <n v="1.69"/>
  </r>
  <r>
    <x v="495"/>
    <s v="nov/23"/>
    <d v="2023-11-11T00:00:00"/>
    <s v="sábado"/>
    <s v="Cerrado"/>
    <x v="2"/>
    <x v="54"/>
    <s v="-"/>
    <n v="5.25"/>
    <n v="1932.59997558593"/>
    <x v="495"/>
    <n v="13924272142"/>
    <n v="-0.47"/>
  </r>
  <r>
    <x v="496"/>
    <s v="nov/23"/>
    <d v="2023-11-12T00:00:00"/>
    <s v="domingo"/>
    <s v="Cerrado"/>
    <x v="2"/>
    <x v="56"/>
    <s v="-"/>
    <n v="5.25"/>
    <n v="1964.19995117187"/>
    <x v="496"/>
    <n v="11545715999"/>
    <n v="-0.22"/>
  </r>
  <r>
    <x v="497"/>
    <s v="nov/23"/>
    <d v="2023-11-13T00:00:00"/>
    <s v="lunes"/>
    <s v=" Abierto"/>
    <x v="2"/>
    <x v="52"/>
    <s v="-"/>
    <n v="5.2600002288818297"/>
    <n v="1932.59997558593"/>
    <x v="497"/>
    <n v="19057712790"/>
    <n v="-1.49"/>
  </r>
  <r>
    <x v="498"/>
    <s v="nov/23"/>
    <d v="2023-11-14T00:00:00"/>
    <s v="martes"/>
    <s v=" Abierto"/>
    <x v="2"/>
    <x v="49"/>
    <s v="-"/>
    <n v="5.2529997825622496"/>
    <n v="1945.5"/>
    <x v="498"/>
    <n v="23857403554"/>
    <n v="-2.64"/>
  </r>
  <r>
    <x v="499"/>
    <s v="nov/23"/>
    <d v="2023-11-15T00:00:00"/>
    <s v="miércoles"/>
    <s v=" Abierto"/>
    <x v="2"/>
    <x v="37"/>
    <s v="-"/>
    <n v="5.25500011444091"/>
    <n v="1961.80004882812"/>
    <x v="499"/>
    <n v="27365821679"/>
    <n v="6.59"/>
  </r>
  <r>
    <x v="500"/>
    <s v="nov/23"/>
    <d v="2023-11-16T00:00:00"/>
    <s v="jueves"/>
    <s v=" Abierto"/>
    <x v="2"/>
    <x v="54"/>
    <s v="-"/>
    <n v="5.2430000305175701"/>
    <n v="1960.09997558593"/>
    <x v="500"/>
    <n v="26007385366"/>
    <n v="-4.5599999999999996"/>
  </r>
  <r>
    <x v="501"/>
    <s v="nov/23"/>
    <d v="2023-11-17T00:00:00"/>
    <s v="viernes"/>
    <s v=" Abierto"/>
    <x v="2"/>
    <x v="44"/>
    <s v="-"/>
    <n v="5.2329998016357404"/>
    <n v="1983.90002441406"/>
    <x v="501"/>
    <n v="22445028430"/>
    <n v="1.22"/>
  </r>
  <r>
    <x v="502"/>
    <s v="nov/23"/>
    <d v="2023-11-18T00:00:00"/>
    <s v="sábado"/>
    <s v="Cerrado"/>
    <x v="2"/>
    <x v="49"/>
    <s v="-"/>
    <n v="5.2329998016357404"/>
    <n v="1981.59997558593"/>
    <x v="502"/>
    <n v="11886022717"/>
    <n v="-0.03"/>
  </r>
  <r>
    <x v="503"/>
    <s v="nov/23"/>
    <d v="2023-11-19T00:00:00"/>
    <s v="domingo"/>
    <s v="Cerrado"/>
    <x v="2"/>
    <x v="45"/>
    <s v="-"/>
    <n v="5.2329998016357404"/>
    <n v="1983.90002441406"/>
    <x v="503"/>
    <n v="12915986553"/>
    <n v="2.19"/>
  </r>
  <r>
    <x v="504"/>
    <s v="nov/23"/>
    <d v="2023-11-20T00:00:00"/>
    <s v="lunes"/>
    <s v=" Abierto"/>
    <x v="2"/>
    <x v="49"/>
    <s v="-"/>
    <n v="5.2379999160766602"/>
    <n v="1981.59997558593"/>
    <x v="504"/>
    <n v="20888209068"/>
    <n v="0.24"/>
  </r>
  <r>
    <x v="505"/>
    <s v="nov/23"/>
    <d v="2023-11-21T00:00:00"/>
    <s v="martes"/>
    <s v=" Abierto"/>
    <x v="2"/>
    <x v="53"/>
    <s v="-"/>
    <n v="5.25500011444091"/>
    <n v="1977.69995117187"/>
    <x v="505"/>
    <n v="25172163756"/>
    <n v="-4.4400000000000004"/>
  </r>
  <r>
    <x v="506"/>
    <s v="nov/23"/>
    <d v="2023-11-22T00:00:00"/>
    <s v="miércoles"/>
    <s v=" Abierto"/>
    <x v="2"/>
    <x v="41"/>
    <s v="-"/>
    <n v="5.2649998664855904"/>
    <n v="1999.30004882812"/>
    <x v="506"/>
    <n v="24397247860"/>
    <n v="4.5199999999999996"/>
  </r>
  <r>
    <x v="507"/>
    <s v="nov/23"/>
    <d v="2023-11-23T00:00:00"/>
    <s v="jueves"/>
    <s v=" Abierto"/>
    <x v="2"/>
    <x v="45"/>
    <s v="-"/>
    <n v="5.2649998664855904"/>
    <n v="1991.40002441406"/>
    <x v="507"/>
    <n v="14214948217"/>
    <n v="-0.38"/>
  </r>
  <r>
    <x v="508"/>
    <s v="nov/23"/>
    <d v="2023-11-24T00:00:00"/>
    <s v="viernes"/>
    <s v=" Abierto"/>
    <x v="2"/>
    <x v="45"/>
    <s v="-"/>
    <n v="5.2529997825622496"/>
    <n v="1999.30004882812"/>
    <x v="508"/>
    <n v="22922957823"/>
    <n v="1.1499999999999999"/>
  </r>
  <r>
    <x v="509"/>
    <s v="nov/23"/>
    <d v="2023-11-25T00:00:00"/>
    <s v="sábado"/>
    <s v="Cerrado"/>
    <x v="2"/>
    <x v="56"/>
    <s v="-"/>
    <n v="5.2529997825622496"/>
    <n v="2002.19995117187"/>
    <x v="509"/>
    <n v="9099571165"/>
    <n v="0.2"/>
  </r>
  <r>
    <x v="510"/>
    <s v="nov/23"/>
    <d v="2023-11-26T00:00:00"/>
    <s v="domingo"/>
    <s v="Cerrado"/>
    <x v="2"/>
    <x v="56"/>
    <s v="-"/>
    <n v="5.2529997825622496"/>
    <n v="1999.30004882812"/>
    <x v="510"/>
    <n v="13744796068"/>
    <n v="-0.84"/>
  </r>
  <r>
    <x v="511"/>
    <s v="nov/23"/>
    <d v="2023-11-27T00:00:00"/>
    <s v="lunes"/>
    <s v=" Abierto"/>
    <x v="2"/>
    <x v="45"/>
    <s v="-"/>
    <n v="5.2579998970031703"/>
    <n v="2002.19995117187"/>
    <x v="511"/>
    <n v="19002925720"/>
    <n v="-0.6"/>
  </r>
  <r>
    <x v="512"/>
    <s v="nov/23"/>
    <d v="2023-11-28T00:00:00"/>
    <s v="martes"/>
    <s v=" Abierto"/>
    <x v="2"/>
    <x v="46"/>
    <s v="-"/>
    <n v="5.2600002288818297"/>
    <n v="2011.80004882812"/>
    <x v="512"/>
    <n v="21696137014"/>
    <n v="1.55"/>
  </r>
  <r>
    <x v="513"/>
    <s v="nov/23"/>
    <d v="2023-11-29T00:00:00"/>
    <s v="miércoles"/>
    <s v=" Abierto"/>
    <x v="2"/>
    <x v="52"/>
    <s v="-"/>
    <n v="5.2399997711181596"/>
    <n v="2039.69995117187"/>
    <x v="513"/>
    <n v="20728546658"/>
    <n v="7.0000000000000007E-2"/>
  </r>
  <r>
    <x v="514"/>
    <s v="nov/23"/>
    <d v="2023-11-30T00:00:00"/>
    <s v="jueves"/>
    <s v=" Abierto"/>
    <x v="2"/>
    <x v="55"/>
    <s v="-"/>
    <n v="5.2379999160766602"/>
    <n v="2047.09997558593"/>
    <x v="514"/>
    <n v="18115982627"/>
    <n v="-0.38"/>
  </r>
  <r>
    <x v="515"/>
    <s v="dic/23"/>
    <d v="2023-12-01T00:00:00"/>
    <s v="viernes"/>
    <s v=" Abierto"/>
    <x v="2"/>
    <x v="53"/>
    <s v="-"/>
    <n v="5.2150001525878897"/>
    <n v="2038.09997558593"/>
    <x v="515"/>
    <n v="23512784002"/>
    <n v="2.59"/>
  </r>
  <r>
    <x v="516"/>
    <s v="dic/23"/>
    <d v="2023-12-02T00:00:00"/>
    <s v="sábado"/>
    <s v="Cerrado"/>
    <x v="2"/>
    <x v="55"/>
    <s v="-"/>
    <n v="5.2150001525878897"/>
    <n v="2071"/>
    <x v="516"/>
    <n v="15534035612"/>
    <n v="2.04"/>
  </r>
  <r>
    <x v="517"/>
    <s v="dic/23"/>
    <d v="2023-12-03T00:00:00"/>
    <s v="domingo"/>
    <s v="Cerrado"/>
    <x v="2"/>
    <x v="56"/>
    <s v="-"/>
    <n v="5.2150001525878897"/>
    <n v="2038.09997558593"/>
    <x v="517"/>
    <n v="15769696322"/>
    <n v="1.27"/>
  </r>
  <r>
    <x v="518"/>
    <s v="dic/23"/>
    <d v="2023-12-04T00:00:00"/>
    <s v="lunes"/>
    <s v=" Abierto"/>
    <x v="2"/>
    <x v="55"/>
    <s v="-"/>
    <n v="5.22300004959106"/>
    <n v="2071"/>
    <x v="518"/>
    <n v="39856129827"/>
    <n v="5.01"/>
  </r>
  <r>
    <x v="519"/>
    <s v="dic/23"/>
    <d v="2023-12-05T00:00:00"/>
    <s v="martes"/>
    <s v=" Abierto"/>
    <x v="3"/>
    <x v="57"/>
    <s v="-"/>
    <n v="5.2430000305175701"/>
    <n v="2024.09997558593"/>
    <x v="519"/>
    <n v="36312154535"/>
    <n v="5"/>
  </r>
  <r>
    <x v="520"/>
    <s v="dic/23"/>
    <d v="2023-12-06T00:00:00"/>
    <s v="miércoles"/>
    <s v=" Abierto"/>
    <x v="2"/>
    <x v="52"/>
    <s v="-"/>
    <n v="5.2430000305175701"/>
    <n v="2018.5"/>
    <x v="520"/>
    <n v="29909761586"/>
    <n v="-0.76"/>
  </r>
  <r>
    <x v="521"/>
    <s v="dic/23"/>
    <d v="2023-12-07T00:00:00"/>
    <s v="jueves"/>
    <s v=" Abierto"/>
    <x v="2"/>
    <x v="52"/>
    <s v="-"/>
    <n v="5.2329998016357404"/>
    <n v="2030.5"/>
    <x v="521"/>
    <n v="27635760671"/>
    <n v="-1.04"/>
  </r>
  <r>
    <x v="522"/>
    <s v="dic/23"/>
    <d v="2023-12-08T00:00:00"/>
    <s v="viernes"/>
    <s v=" Abierto"/>
    <x v="2"/>
    <x v="52"/>
    <s v="-"/>
    <n v="5.2329998016357404"/>
    <n v="2029.90002441406"/>
    <x v="522"/>
    <n v="24421116687"/>
    <n v="2.02"/>
  </r>
  <r>
    <x v="523"/>
    <s v="dic/23"/>
    <d v="2023-12-09T00:00:00"/>
    <s v="sábado"/>
    <s v="Cerrado"/>
    <x v="2"/>
    <x v="56"/>
    <s v="-"/>
    <n v="5.2329998016357404"/>
    <n v="1998.30004882812"/>
    <x v="523"/>
    <n v="17368210171"/>
    <n v="-1"/>
  </r>
  <r>
    <x v="524"/>
    <s v="dic/23"/>
    <d v="2023-12-10T00:00:00"/>
    <s v="domingo"/>
    <s v="Cerrado"/>
    <x v="2"/>
    <x v="55"/>
    <s v="-"/>
    <n v="5.2329998016357404"/>
    <n v="2029.90002441406"/>
    <x v="524"/>
    <n v="13000481418"/>
    <n v="0.12"/>
  </r>
  <r>
    <x v="525"/>
    <s v="dic/23"/>
    <d v="2023-12-11T00:00:00"/>
    <s v="lunes"/>
    <s v=" Abierto"/>
    <x v="2"/>
    <x v="55"/>
    <s v="-"/>
    <n v="5.2329998016357404"/>
    <n v="1998.30004882812"/>
    <x v="525"/>
    <n v="40632672038"/>
    <n v="-5.79"/>
  </r>
  <r>
    <x v="526"/>
    <s v="dic/23"/>
    <d v="2023-12-12T00:00:00"/>
    <s v="martes"/>
    <s v=" Abierto"/>
    <x v="2"/>
    <x v="58"/>
    <s v="-"/>
    <n v="5.2480001449584899"/>
    <n v="1978"/>
    <x v="526"/>
    <n v="24779520132"/>
    <n v="0.5"/>
  </r>
  <r>
    <x v="527"/>
    <s v="dic/23"/>
    <d v="2023-12-13T00:00:00"/>
    <s v="miércoles"/>
    <s v=" Abierto"/>
    <x v="2"/>
    <x v="48"/>
    <s v="-"/>
    <n v="5.22300004959106"/>
    <n v="1977.80004882812"/>
    <x v="527"/>
    <n v="26797884674"/>
    <n v="3.48"/>
  </r>
  <r>
    <x v="528"/>
    <s v="dic/23"/>
    <d v="2023-12-14T00:00:00"/>
    <s v="jueves"/>
    <s v=" Abierto"/>
    <x v="2"/>
    <x v="52"/>
    <s v="-"/>
    <n v="5.2150001525878897"/>
    <n v="1982.30004882812"/>
    <x v="528"/>
    <n v="25578530178"/>
    <n v="0.31"/>
  </r>
  <r>
    <x v="529"/>
    <s v="dic/23"/>
    <d v="2023-12-15T00:00:00"/>
    <s v="viernes"/>
    <s v=" Abierto"/>
    <x v="2"/>
    <x v="54"/>
    <s v="-"/>
    <n v="5.2249999046325604"/>
    <n v="2030.19995117187"/>
    <x v="529"/>
    <n v="19639442462"/>
    <n v="-2.54"/>
  </r>
  <r>
    <x v="530"/>
    <s v="dic/23"/>
    <d v="2023-12-16T00:00:00"/>
    <s v="sábado"/>
    <s v="Cerrado"/>
    <x v="2"/>
    <x v="58"/>
    <s v="-"/>
    <n v="5.2249999046325604"/>
    <n v="2021.09997558593"/>
    <x v="530"/>
    <n v="14386729590"/>
    <n v="0.74"/>
  </r>
  <r>
    <x v="531"/>
    <s v="dic/23"/>
    <d v="2023-12-17T00:00:00"/>
    <s v="domingo"/>
    <s v="Cerrado"/>
    <x v="2"/>
    <x v="56"/>
    <s v="-"/>
    <n v="5.2249999046325604"/>
    <n v="2030.19995117187"/>
    <x v="531"/>
    <n v="16678702876"/>
    <n v="-2.0699999999999998"/>
  </r>
  <r>
    <x v="532"/>
    <s v="dic/23"/>
    <d v="2023-12-18T00:00:00"/>
    <s v="lunes"/>
    <s v=" Abierto"/>
    <x v="2"/>
    <x v="48"/>
    <s v="-"/>
    <n v="5.2249999046325604"/>
    <n v="2021.09997558593"/>
    <x v="532"/>
    <n v="25224642008"/>
    <n v="3.04"/>
  </r>
  <r>
    <x v="533"/>
    <s v="dic/23"/>
    <d v="2023-12-19T00:00:00"/>
    <s v="martes"/>
    <s v=" Abierto"/>
    <x v="2"/>
    <x v="56"/>
    <s v="-"/>
    <n v="5.2379999160766602"/>
    <n v="2026.30004882812"/>
    <x v="533"/>
    <n v="23171001281"/>
    <n v="-0.83"/>
  </r>
  <r>
    <x v="534"/>
    <s v="dic/23"/>
    <d v="2023-12-20T00:00:00"/>
    <s v="miércoles"/>
    <s v=" Abierto"/>
    <x v="2"/>
    <x v="55"/>
    <s v="-"/>
    <n v="5.2300000190734801"/>
    <n v="2038.40002441406"/>
    <x v="534"/>
    <n v="27868908174"/>
    <n v="3.27"/>
  </r>
  <r>
    <x v="535"/>
    <s v="dic/23"/>
    <d v="2023-12-21T00:00:00"/>
    <s v="jueves"/>
    <s v=" Abierto"/>
    <x v="2"/>
    <x v="54"/>
    <s v="-"/>
    <n v="5.21000003814697"/>
    <n v="2034.5"/>
    <x v="535"/>
    <n v="22452766169"/>
    <n v="0.5"/>
  </r>
  <r>
    <x v="536"/>
    <s v="dic/23"/>
    <d v="2023-12-22T00:00:00"/>
    <s v="viernes"/>
    <s v=" Abierto"/>
    <x v="2"/>
    <x v="55"/>
    <s v="-"/>
    <n v="5.2080001831054599"/>
    <n v="2039.09997558593"/>
    <x v="536"/>
    <n v="21028503216"/>
    <n v="0.28999999999999998"/>
  </r>
  <r>
    <x v="537"/>
    <s v="dic/23"/>
    <d v="2023-12-23T00:00:00"/>
    <s v="sábado"/>
    <s v="Cerrado"/>
    <x v="2"/>
    <x v="54"/>
    <s v="-"/>
    <n v="5.2080001831054599"/>
    <n v="2057.10009765625"/>
    <x v="537"/>
    <n v="13507796558"/>
    <n v="-0.59"/>
  </r>
  <r>
    <x v="538"/>
    <s v="dic/23"/>
    <d v="2023-12-24T00:00:00"/>
    <s v="domingo"/>
    <s v="Cerrado"/>
    <x v="2"/>
    <x v="53"/>
    <s v="-"/>
    <n v="5.2080001831054599"/>
    <n v="2039.09997558593"/>
    <x v="538"/>
    <n v="18830554085"/>
    <n v="-1.65"/>
  </r>
  <r>
    <x v="539"/>
    <s v="dic/23"/>
    <d v="2023-12-25T00:00:00"/>
    <s v="lunes"/>
    <s v=" Abierto"/>
    <x v="2"/>
    <x v="56"/>
    <s v="-"/>
    <n v="5.2080001831054599"/>
    <n v="2057.10009765625"/>
    <x v="539"/>
    <n v="21115795370"/>
    <n v="1.39"/>
  </r>
  <r>
    <x v="540"/>
    <s v="dic/23"/>
    <d v="2023-12-26T00:00:00"/>
    <s v="martes"/>
    <s v=" Abierto"/>
    <x v="2"/>
    <x v="53"/>
    <s v="-"/>
    <n v="5.2030000686645499"/>
    <n v="2039.09997558593"/>
    <x v="540"/>
    <n v="30026850982"/>
    <n v="-2.5099999999999998"/>
  </r>
  <r>
    <x v="541"/>
    <s v="dic/23"/>
    <d v="2023-12-27T00:00:00"/>
    <s v="miércoles"/>
    <s v=" Abierto"/>
    <x v="2"/>
    <x v="56"/>
    <s v="-"/>
    <n v="5.2350001335143999"/>
    <n v="2058.19995117187"/>
    <x v="541"/>
    <n v="25260941032"/>
    <n v="2.17"/>
  </r>
  <r>
    <x v="542"/>
    <s v="dic/23"/>
    <d v="2023-12-28T00:00:00"/>
    <s v="jueves"/>
    <s v=" Abierto"/>
    <x v="2"/>
    <x v="56"/>
    <s v="-"/>
    <n v="5.2179999351501403"/>
    <n v="2081.89990234375"/>
    <x v="542"/>
    <n v="22992093014"/>
    <n v="-1.88"/>
  </r>
  <r>
    <x v="543"/>
    <s v="dic/23"/>
    <d v="2023-12-29T00:00:00"/>
    <s v="viernes"/>
    <s v=" Abierto"/>
    <x v="2"/>
    <x v="48"/>
    <s v="-"/>
    <n v="5.1799998283386204"/>
    <n v="2073.89990234375"/>
    <x v="543"/>
    <n v="26000021055"/>
    <n v="-1.24"/>
  </r>
  <r>
    <x v="544"/>
    <s v="dic/23"/>
    <d v="2023-12-30T00:00:00"/>
    <s v="sábado"/>
    <s v="Cerrado"/>
    <x v="2"/>
    <x v="46"/>
    <s v="-"/>
    <n v="5.1799998283386204"/>
    <n v="2062.39990234375"/>
    <x v="544"/>
    <n v="16013925945"/>
    <n v="0.14000000000000001"/>
  </r>
  <r>
    <x v="545"/>
    <s v="dic/23"/>
    <d v="2023-12-31T00:00:00"/>
    <s v="domingo"/>
    <s v="Cerrado"/>
    <x v="2"/>
    <x v="58"/>
    <s v="-"/>
    <n v="5.1799998283386204"/>
    <n v="2073.89990234375"/>
    <x v="545"/>
    <n v="16397498810"/>
    <n v="0.26"/>
  </r>
  <r>
    <x v="546"/>
    <s v="ene/24"/>
    <d v="2024-01-01T00:00:00"/>
    <s v="lunes"/>
    <s v=" Abierto"/>
    <x v="2"/>
    <x v="48"/>
    <n v="12"/>
    <n v="5.1799998283386204"/>
    <n v="2062.39990234375"/>
    <x v="546"/>
    <n v="18426978443"/>
    <n v="4.5"/>
  </r>
  <r>
    <x v="547"/>
    <s v="ene/24"/>
    <d v="2024-01-02T00:00:00"/>
    <s v="martes"/>
    <s v=" Abierto"/>
    <x v="2"/>
    <x v="53"/>
    <s v="-"/>
    <n v="5.2129998207092196"/>
    <n v="2073.89990234375"/>
    <x v="547"/>
    <n v="39335274536"/>
    <n v="1.79"/>
  </r>
  <r>
    <x v="548"/>
    <s v="ene/24"/>
    <d v="2024-01-03T00:00:00"/>
    <s v="miércoles"/>
    <s v=" Abierto"/>
    <x v="2"/>
    <x v="54"/>
    <s v="-"/>
    <n v="5.2350001335143999"/>
    <n v="2064.39990234375"/>
    <x v="548"/>
    <n v="46342323118"/>
    <n v="-4.6900000000000004"/>
  </r>
  <r>
    <x v="549"/>
    <s v="ene/24"/>
    <d v="2024-01-04T00:00:00"/>
    <s v="jueves"/>
    <s v=" Abierto"/>
    <x v="2"/>
    <x v="46"/>
    <s v="-"/>
    <n v="5.2280001640319798"/>
    <n v="2034.19995117187"/>
    <x v="549"/>
    <n v="30448091210"/>
    <n v="3.11"/>
  </r>
  <r>
    <x v="550"/>
    <s v="ene/24"/>
    <d v="2024-01-05T00:00:00"/>
    <s v="viernes"/>
    <s v=" Abierto"/>
    <x v="2"/>
    <x v="52"/>
    <s v="-"/>
    <n v="5.2199997901916504"/>
    <n v="2042.30004882812"/>
    <x v="550"/>
    <n v="32336029347"/>
    <n v="-0.04"/>
  </r>
  <r>
    <x v="551"/>
    <s v="ene/24"/>
    <d v="2024-01-06T00:00:00"/>
    <s v="sábado"/>
    <s v="Cerrado"/>
    <x v="2"/>
    <x v="54"/>
    <s v="-"/>
    <n v="5.2199997901916504"/>
    <n v="2042.40002441406"/>
    <x v="551"/>
    <n v="16092503468"/>
    <n v="-0.39"/>
  </r>
  <r>
    <x v="552"/>
    <s v="ene/24"/>
    <d v="2024-01-07T00:00:00"/>
    <s v="domingo"/>
    <s v="Cerrado"/>
    <x v="2"/>
    <x v="53"/>
    <s v="-"/>
    <n v="5.2199997901916504"/>
    <n v="2042.30004882812"/>
    <x v="552"/>
    <n v="19330573863"/>
    <n v="-0.1"/>
  </r>
  <r>
    <x v="553"/>
    <s v="ene/24"/>
    <d v="2024-01-08T00:00:00"/>
    <s v="lunes"/>
    <s v=" Abierto"/>
    <x v="2"/>
    <x v="53"/>
    <s v="-"/>
    <n v="5.2199997901916504"/>
    <n v="2042.40002441406"/>
    <x v="553"/>
    <n v="42746192015"/>
    <n v="6.89"/>
  </r>
  <r>
    <x v="554"/>
    <s v="ene/24"/>
    <d v="2024-01-09T00:00:00"/>
    <s v="martes"/>
    <s v=" Abierto"/>
    <x v="3"/>
    <x v="59"/>
    <s v="-"/>
    <n v="5.2300000190734801"/>
    <n v="2026.59997558593"/>
    <x v="554"/>
    <n v="39821290992"/>
    <n v="-1.77"/>
  </r>
  <r>
    <x v="555"/>
    <s v="ene/24"/>
    <d v="2024-01-10T00:00:00"/>
    <s v="miércoles"/>
    <s v=" Abierto"/>
    <x v="2"/>
    <x v="56"/>
    <s v="-"/>
    <n v="5.2249999046325604"/>
    <n v="2026.40002441406"/>
    <x v="555"/>
    <n v="50114613298"/>
    <n v="1.06"/>
  </r>
  <r>
    <x v="556"/>
    <s v="ene/24"/>
    <d v="2024-01-11T00:00:00"/>
    <s v="jueves"/>
    <s v=" Abierto"/>
    <x v="3"/>
    <x v="59"/>
    <s v="-"/>
    <n v="5.2179999351501403"/>
    <n v="2021.69995117187"/>
    <x v="556"/>
    <n v="45833734549"/>
    <n v="-0.56000000000000005"/>
  </r>
  <r>
    <x v="557"/>
    <s v="ene/24"/>
    <d v="2024-01-12T00:00:00"/>
    <s v="viernes"/>
    <s v=" Abierto"/>
    <x v="2"/>
    <x v="53"/>
    <s v="-"/>
    <n v="5.1979999542236301"/>
    <n v="2014.30004882812"/>
    <x v="557"/>
    <n v="43332698900"/>
    <n v="-7.58"/>
  </r>
  <r>
    <x v="558"/>
    <s v="ene/24"/>
    <d v="2024-01-13T00:00:00"/>
    <s v="sábado"/>
    <s v="Cerrado"/>
    <x v="2"/>
    <x v="43"/>
    <s v="-"/>
    <n v="5.1979999542236301"/>
    <n v="2046.69995117187"/>
    <x v="558"/>
    <n v="20601860469"/>
    <n v="-0.03"/>
  </r>
  <r>
    <x v="559"/>
    <s v="ene/24"/>
    <d v="2024-01-14T00:00:00"/>
    <s v="domingo"/>
    <s v="Cerrado"/>
    <x v="2"/>
    <x v="37"/>
    <s v="-"/>
    <n v="5.1979999542236301"/>
    <n v="2014.30004882812"/>
    <x v="559"/>
    <n v="17521429522"/>
    <n v="-2.44"/>
  </r>
  <r>
    <x v="560"/>
    <s v="ene/24"/>
    <d v="2024-01-15T00:00:00"/>
    <s v="lunes"/>
    <s v=" Abierto"/>
    <x v="2"/>
    <x v="29"/>
    <s v="-"/>
    <n v="5.1979999542236301"/>
    <n v="2046.69995117187"/>
    <x v="560"/>
    <n v="22320220558"/>
    <n v="1.71"/>
  </r>
  <r>
    <x v="561"/>
    <s v="ene/24"/>
    <d v="2024-01-16T00:00:00"/>
    <s v="martes"/>
    <s v=" Abierto"/>
    <x v="2"/>
    <x v="43"/>
    <s v="-"/>
    <n v="5.2030000686645499"/>
    <n v="2014.30004882812"/>
    <x v="561"/>
    <n v="24062872740"/>
    <n v="1.51"/>
  </r>
  <r>
    <x v="562"/>
    <s v="ene/24"/>
    <d v="2024-01-17T00:00:00"/>
    <s v="miércoles"/>
    <s v=" Abierto"/>
    <x v="2"/>
    <x v="37"/>
    <s v="-"/>
    <n v="5.2150001525878897"/>
    <n v="2026"/>
    <x v="562"/>
    <n v="20851232595"/>
    <n v="-0.96"/>
  </r>
  <r>
    <x v="563"/>
    <s v="ene/24"/>
    <d v="2024-01-18T00:00:00"/>
    <s v="jueves"/>
    <s v=" Abierto"/>
    <x v="2"/>
    <x v="44"/>
    <s v="-"/>
    <n v="5.1999998092651296"/>
    <n v="2002.59997558593"/>
    <x v="563"/>
    <n v="25218357242"/>
    <n v="-3.46"/>
  </r>
  <r>
    <x v="564"/>
    <s v="ene/24"/>
    <d v="2024-01-19T00:00:00"/>
    <s v="viernes"/>
    <s v=" Abierto"/>
    <x v="2"/>
    <x v="30"/>
    <s v="-"/>
    <n v="5.1979999542236301"/>
    <n v="2018.59997558593"/>
    <x v="564"/>
    <n v="25752407154"/>
    <n v="0.86"/>
  </r>
  <r>
    <x v="565"/>
    <s v="ene/24"/>
    <d v="2024-01-20T00:00:00"/>
    <s v="sábado"/>
    <s v="Cerrado"/>
    <x v="2"/>
    <x v="29"/>
    <s v="-"/>
    <n v="5.1979999542236301"/>
    <n v="2026.5"/>
    <x v="565"/>
    <n v="11586690904"/>
    <n v="0.11"/>
  </r>
  <r>
    <x v="566"/>
    <s v="ene/24"/>
    <d v="2024-01-21T00:00:00"/>
    <s v="domingo"/>
    <s v="Cerrado"/>
    <x v="2"/>
    <x v="36"/>
    <s v="-"/>
    <n v="5.1979999542236301"/>
    <n v="2018.59997558593"/>
    <x v="566"/>
    <n v="9344043642"/>
    <n v="-0.28999999999999998"/>
  </r>
  <r>
    <x v="567"/>
    <s v="ene/24"/>
    <d v="2024-01-22T00:00:00"/>
    <s v="lunes"/>
    <s v=" Abierto"/>
    <x v="2"/>
    <x v="34"/>
    <s v="-"/>
    <n v="5.1999998092651296"/>
    <n v="2026.5"/>
    <x v="567"/>
    <n v="31338708143"/>
    <n v="-4.91"/>
  </r>
  <r>
    <x v="568"/>
    <s v="ene/24"/>
    <d v="2024-01-23T00:00:00"/>
    <s v="martes"/>
    <s v=" Abierto"/>
    <x v="2"/>
    <x v="32"/>
    <s v="-"/>
    <n v="5.21000003814697"/>
    <n v="2019.80004882812"/>
    <x v="568"/>
    <n v="29244553045"/>
    <n v="0.86"/>
  </r>
  <r>
    <x v="569"/>
    <s v="ene/24"/>
    <d v="2024-01-24T00:00:00"/>
    <s v="miércoles"/>
    <s v=" Abierto"/>
    <x v="1"/>
    <x v="39"/>
    <s v="-"/>
    <n v="5.21000003814697"/>
    <n v="2023.69995117187"/>
    <x v="569"/>
    <n v="22359526178"/>
    <n v="0.57999999999999996"/>
  </r>
  <r>
    <x v="570"/>
    <s v="ene/24"/>
    <d v="2024-01-25T00:00:00"/>
    <s v="jueves"/>
    <s v=" Abierto"/>
    <x v="2"/>
    <x v="29"/>
    <s v="-"/>
    <n v="5.1950001716613698"/>
    <n v="2013.90002441406"/>
    <x v="570"/>
    <n v="18491782013"/>
    <n v="-0.36"/>
  </r>
  <r>
    <x v="571"/>
    <s v="ene/24"/>
    <d v="2024-01-26T00:00:00"/>
    <s v="viernes"/>
    <s v=" Abierto"/>
    <x v="1"/>
    <x v="40"/>
    <s v="-"/>
    <n v="5.1999998092651296"/>
    <n v="2016.90002441406"/>
    <x v="571"/>
    <n v="25598119893"/>
    <n v="4.72"/>
  </r>
  <r>
    <x v="572"/>
    <s v="ene/24"/>
    <d v="2024-01-27T00:00:00"/>
    <s v="sábado"/>
    <s v="Cerrado"/>
    <x v="2"/>
    <x v="34"/>
    <s v="-"/>
    <n v="5.1999998092651296"/>
    <n v="2016.80004882812"/>
    <x v="572"/>
    <n v="11422941934"/>
    <n v="0.73"/>
  </r>
  <r>
    <x v="573"/>
    <s v="ene/24"/>
    <d v="2024-01-28T00:00:00"/>
    <s v="domingo"/>
    <s v="Cerrado"/>
    <x v="2"/>
    <x v="33"/>
    <s v="-"/>
    <n v="5.1999998092651296"/>
    <n v="2016.90002441406"/>
    <x v="573"/>
    <n v="16858971687"/>
    <n v="-0.2"/>
  </r>
  <r>
    <x v="574"/>
    <s v="ene/24"/>
    <d v="2024-01-29T00:00:00"/>
    <s v="lunes"/>
    <s v=" Abierto"/>
    <x v="2"/>
    <x v="34"/>
    <s v="-"/>
    <n v="5.1999998092651296"/>
    <n v="2016.80004882812"/>
    <x v="574"/>
    <n v="20668476578"/>
    <n v="2.98"/>
  </r>
  <r>
    <x v="575"/>
    <s v="ene/24"/>
    <d v="2024-01-30T00:00:00"/>
    <s v="martes"/>
    <s v=" Abierto"/>
    <x v="2"/>
    <x v="35"/>
    <s v="-"/>
    <n v="5.2030000686645499"/>
    <n v="2025.19995117187"/>
    <x v="575"/>
    <n v="23842814518"/>
    <n v="-0.78"/>
  </r>
  <r>
    <x v="576"/>
    <s v="ene/24"/>
    <d v="2024-01-31T00:00:00"/>
    <s v="miércoles"/>
    <s v=" Abierto"/>
    <x v="2"/>
    <x v="37"/>
    <s v="-"/>
    <n v="5.1880002021789497"/>
    <n v="2031.5"/>
    <x v="576"/>
    <n v="24673628793"/>
    <n v="-0.86"/>
  </r>
  <r>
    <x v="577"/>
    <s v="feb/24"/>
    <d v="2024-02-01T00:00:00"/>
    <s v="jueves"/>
    <s v=" Abierto"/>
    <x v="2"/>
    <x v="44"/>
    <s v="-"/>
    <n v="5.1999998092651296"/>
    <n v="2048.39990234375"/>
    <x v="577"/>
    <n v="21423953779"/>
    <n v="1.1599999999999999"/>
  </r>
  <r>
    <x v="578"/>
    <s v="feb/24"/>
    <d v="2024-02-02T00:00:00"/>
    <s v="viernes"/>
    <s v=" Abierto"/>
    <x v="2"/>
    <x v="44"/>
    <s v="-"/>
    <n v="5.21000003814697"/>
    <n v="2053"/>
    <x v="578"/>
    <n v="18603843039"/>
    <n v="0.26"/>
  </r>
  <r>
    <x v="579"/>
    <s v="feb/24"/>
    <d v="2024-02-03T00:00:00"/>
    <s v="sábado"/>
    <s v="Cerrado"/>
    <x v="2"/>
    <x v="37"/>
    <s v="-"/>
    <n v="5.21000003814697"/>
    <n v="2036.09997558593"/>
    <x v="579"/>
    <n v="11169245236"/>
    <n v="-0.45"/>
  </r>
  <r>
    <x v="580"/>
    <s v="feb/24"/>
    <d v="2024-02-04T00:00:00"/>
    <s v="domingo"/>
    <s v="Cerrado"/>
    <x v="2"/>
    <x v="37"/>
    <s v="-"/>
    <n v="5.21000003814697"/>
    <n v="2053"/>
    <x v="580"/>
    <n v="14802225490"/>
    <n v="-0.95"/>
  </r>
  <r>
    <x v="581"/>
    <s v="feb/24"/>
    <d v="2024-02-05T00:00:00"/>
    <s v="lunes"/>
    <s v=" Abierto"/>
    <x v="2"/>
    <x v="37"/>
    <s v="-"/>
    <n v="5.2280001640319798"/>
    <n v="2036.09997558593"/>
    <x v="581"/>
    <n v="18715487317"/>
    <n v="0.18"/>
  </r>
  <r>
    <x v="582"/>
    <s v="feb/24"/>
    <d v="2024-02-06T00:00:00"/>
    <s v="martes"/>
    <s v=" Abierto"/>
    <x v="2"/>
    <x v="43"/>
    <s v="-"/>
    <n v="5.22300004959106"/>
    <n v="2025.69995117187"/>
    <x v="582"/>
    <n v="16798476726"/>
    <n v="1"/>
  </r>
  <r>
    <x v="583"/>
    <s v="feb/24"/>
    <d v="2024-02-07T00:00:00"/>
    <s v="miércoles"/>
    <s v=" Abierto"/>
    <x v="2"/>
    <x v="41"/>
    <s v="-"/>
    <n v="5.22300004959106"/>
    <n v="2034.5"/>
    <x v="583"/>
    <n v="21126587775"/>
    <n v="2.86"/>
  </r>
  <r>
    <x v="584"/>
    <s v="feb/24"/>
    <d v="2024-02-08T00:00:00"/>
    <s v="jueves"/>
    <s v=" Abierto"/>
    <x v="2"/>
    <x v="45"/>
    <s v="-"/>
    <n v="5.2179999351501403"/>
    <n v="2035.19995117187"/>
    <x v="584"/>
    <n v="26154524080"/>
    <n v="2.2200000000000002"/>
  </r>
  <r>
    <x v="585"/>
    <s v="feb/24"/>
    <d v="2024-02-09T00:00:00"/>
    <s v="viernes"/>
    <s v=" Abierto"/>
    <x v="2"/>
    <x v="52"/>
    <s v="-"/>
    <n v="5.2199997901916504"/>
    <n v="2032.19995117187"/>
    <x v="585"/>
    <n v="39316770844"/>
    <n v="4.07"/>
  </r>
  <r>
    <x v="586"/>
    <s v="feb/24"/>
    <d v="2024-02-10T00:00:00"/>
    <s v="sábado"/>
    <s v="Cerrado"/>
    <x v="2"/>
    <x v="55"/>
    <s v="-"/>
    <n v="5.2199997901916504"/>
    <n v="2023.30004882812"/>
    <x v="586"/>
    <n v="16398681570"/>
    <n v="1.32"/>
  </r>
  <r>
    <x v="587"/>
    <s v="feb/24"/>
    <d v="2024-02-11T00:00:00"/>
    <s v="domingo"/>
    <s v="Cerrado"/>
    <x v="2"/>
    <x v="53"/>
    <s v="-"/>
    <n v="5.2199997901916504"/>
    <n v="2032.19995117187"/>
    <x v="587"/>
    <n v="19315867136"/>
    <n v="1.0900000000000001"/>
  </r>
  <r>
    <x v="588"/>
    <s v="feb/24"/>
    <d v="2024-02-12T00:00:00"/>
    <s v="lunes"/>
    <s v=" Abierto"/>
    <x v="2"/>
    <x v="54"/>
    <s v="-"/>
    <n v="5.2280001640319798"/>
    <n v="2023.30004882812"/>
    <x v="588"/>
    <n v="34511985805"/>
    <n v="3.45"/>
  </r>
  <r>
    <x v="589"/>
    <s v="feb/24"/>
    <d v="2024-02-13T00:00:00"/>
    <s v="martes"/>
    <s v=" Abierto"/>
    <x v="3"/>
    <x v="60"/>
    <s v="-"/>
    <n v="5.2329998016357404"/>
    <n v="2018.19995117187"/>
    <x v="589"/>
    <n v="35593051468"/>
    <n v="-0.43"/>
  </r>
  <r>
    <x v="590"/>
    <s v="feb/24"/>
    <d v="2024-02-14T00:00:00"/>
    <s v="miércoles"/>
    <s v=" Abierto"/>
    <x v="2"/>
    <x v="55"/>
    <s v="-"/>
    <n v="5.2179999351501403"/>
    <n v="1992.90002441406"/>
    <x v="590"/>
    <n v="39105608050"/>
    <n v="4.1900000000000004"/>
  </r>
  <r>
    <x v="591"/>
    <s v="feb/24"/>
    <d v="2024-02-15T00:00:00"/>
    <s v="jueves"/>
    <s v=" Abierto"/>
    <x v="2"/>
    <x v="52"/>
    <s v="-"/>
    <n v="5.2179999351501403"/>
    <n v="1990.30004882812"/>
    <x v="591"/>
    <n v="38564360533"/>
    <n v="0.22"/>
  </r>
  <r>
    <x v="592"/>
    <s v="feb/24"/>
    <d v="2024-02-16T00:00:00"/>
    <s v="viernes"/>
    <s v=" Abierto"/>
    <x v="2"/>
    <x v="52"/>
    <s v="-"/>
    <n v="5.22300004959106"/>
    <n v="2002.09997558593"/>
    <x v="592"/>
    <n v="28180567298"/>
    <n v="0.43"/>
  </r>
  <r>
    <x v="593"/>
    <s v="feb/24"/>
    <d v="2024-02-17T00:00:00"/>
    <s v="sábado"/>
    <s v="Cerrado"/>
    <x v="3"/>
    <x v="59"/>
    <s v="-"/>
    <n v="5.22300004959106"/>
    <n v="2011.5"/>
    <x v="593"/>
    <n v="20009091006"/>
    <n v="-0.95"/>
  </r>
  <r>
    <x v="594"/>
    <s v="feb/24"/>
    <d v="2024-02-18T00:00:00"/>
    <s v="domingo"/>
    <s v="Cerrado"/>
    <x v="2"/>
    <x v="52"/>
    <s v="-"/>
    <n v="5.22300004959106"/>
    <n v="2002.09997558593"/>
    <x v="594"/>
    <n v="17595377311"/>
    <n v="0.89"/>
  </r>
  <r>
    <x v="595"/>
    <s v="feb/24"/>
    <d v="2024-02-19T00:00:00"/>
    <s v="lunes"/>
    <s v=" Abierto"/>
    <x v="3"/>
    <x v="57"/>
    <s v="-"/>
    <n v="5.22300004959106"/>
    <n v="2011.5"/>
    <x v="595"/>
    <n v="21362184346"/>
    <n v="-0.66"/>
  </r>
  <r>
    <x v="596"/>
    <s v="feb/24"/>
    <d v="2024-02-20T00:00:00"/>
    <s v="martes"/>
    <s v=" Abierto"/>
    <x v="2"/>
    <x v="52"/>
    <s v="-"/>
    <n v="5.2129998207092196"/>
    <n v="2002.09997558593"/>
    <x v="596"/>
    <n v="33353758256"/>
    <n v="0.98"/>
  </r>
  <r>
    <x v="597"/>
    <s v="feb/24"/>
    <d v="2024-02-21T00:00:00"/>
    <s v="miércoles"/>
    <s v=" Abierto"/>
    <x v="3"/>
    <x v="61"/>
    <s v="-"/>
    <n v="5.2350001335143999"/>
    <n v="2027.5"/>
    <x v="597"/>
    <n v="28624907020"/>
    <n v="-0.85"/>
  </r>
  <r>
    <x v="598"/>
    <s v="feb/24"/>
    <d v="2024-02-22T00:00:00"/>
    <s v="jueves"/>
    <s v=" Abierto"/>
    <x v="2"/>
    <x v="55"/>
    <s v="-"/>
    <n v="5.2329998016357404"/>
    <n v="2022.30004882812"/>
    <x v="598"/>
    <n v="25413900611"/>
    <n v="-1.03"/>
  </r>
  <r>
    <x v="599"/>
    <s v="feb/24"/>
    <d v="2024-02-23T00:00:00"/>
    <s v="viernes"/>
    <s v=" Abierto"/>
    <x v="3"/>
    <x v="59"/>
    <s v="-"/>
    <n v="5.2399997711181596"/>
    <n v="2019.69995117187"/>
    <x v="599"/>
    <n v="21427078270"/>
    <n v="-1.1200000000000001"/>
  </r>
  <r>
    <x v="600"/>
    <s v="feb/24"/>
    <d v="2024-02-24T00:00:00"/>
    <s v="sábado"/>
    <s v="Cerrado"/>
    <x v="2"/>
    <x v="52"/>
    <s v="-"/>
    <n v="5.2399997711181596"/>
    <n v="2038.59997558593"/>
    <x v="600"/>
    <n v="15174077879"/>
    <n v="1.65"/>
  </r>
  <r>
    <x v="601"/>
    <s v="feb/24"/>
    <d v="2024-02-25T00:00:00"/>
    <s v="domingo"/>
    <s v="Cerrado"/>
    <x v="2"/>
    <x v="55"/>
    <s v="-"/>
    <n v="5.2399997711181596"/>
    <n v="2019.69995117187"/>
    <x v="601"/>
    <n v="15413239245"/>
    <n v="0.31"/>
  </r>
  <r>
    <x v="602"/>
    <s v="feb/24"/>
    <d v="2024-02-26T00:00:00"/>
    <s v="lunes"/>
    <s v=" Abierto"/>
    <x v="2"/>
    <x v="52"/>
    <s v="-"/>
    <n v="5.25"/>
    <n v="2038.59997558593"/>
    <x v="602"/>
    <n v="34074411896"/>
    <n v="5.39"/>
  </r>
  <r>
    <x v="603"/>
    <s v="feb/24"/>
    <d v="2024-02-27T00:00:00"/>
    <s v="martes"/>
    <s v=" Abierto"/>
    <x v="3"/>
    <x v="60"/>
    <s v="-"/>
    <n v="5.2449998855590803"/>
    <n v="2028.5"/>
    <x v="603"/>
    <n v="49756832031"/>
    <n v="4.7"/>
  </r>
  <r>
    <x v="604"/>
    <s v="feb/24"/>
    <d v="2024-02-28T00:00:00"/>
    <s v="miércoles"/>
    <s v=" Abierto"/>
    <x v="3"/>
    <x v="62"/>
    <s v="-"/>
    <n v="5.2399997711181596"/>
    <n v="2034"/>
    <x v="604"/>
    <n v="83239156760"/>
    <n v="9.49"/>
  </r>
  <r>
    <x v="605"/>
    <s v="feb/24"/>
    <d v="2024-02-29T00:00:00"/>
    <s v="jueves"/>
    <s v=" Abierto"/>
    <x v="3"/>
    <x v="63"/>
    <s v="-"/>
    <n v="5.22300004959106"/>
    <n v="2033"/>
    <x v="605"/>
    <n v="65496611844"/>
    <n v="-2.09"/>
  </r>
  <r>
    <x v="606"/>
    <s v="mar/24"/>
    <d v="2024-03-01T00:00:00"/>
    <s v="viernes"/>
    <s v=" Abierto"/>
    <x v="3"/>
    <x v="63"/>
    <n v="13"/>
    <n v="5.2150001525878897"/>
    <n v="2045.69995117187"/>
    <x v="606"/>
    <n v="40186368423"/>
    <n v="2.0299999999999998"/>
  </r>
  <r>
    <x v="607"/>
    <s v="mar/24"/>
    <d v="2024-03-02T00:00:00"/>
    <s v="sábado"/>
    <s v="Cerrado"/>
    <x v="3"/>
    <x v="63"/>
    <s v="-"/>
    <n v="5.2150001525878897"/>
    <n v="2086.89990234375"/>
    <x v="607"/>
    <n v="23888473685"/>
    <n v="-0.66"/>
  </r>
  <r>
    <x v="608"/>
    <s v="mar/24"/>
    <d v="2024-03-03T00:00:00"/>
    <s v="domingo"/>
    <s v="Cerrado"/>
    <x v="3"/>
    <x v="64"/>
    <s v="-"/>
    <n v="5.2150001525878897"/>
    <n v="2045.69995117187"/>
    <x v="608"/>
    <n v="26253811450"/>
    <n v="1.83"/>
  </r>
  <r>
    <x v="609"/>
    <s v="mar/24"/>
    <d v="2024-03-04T00:00:00"/>
    <s v="lunes"/>
    <s v=" Abierto"/>
    <x v="3"/>
    <x v="62"/>
    <s v="-"/>
    <n v="5.22300004959106"/>
    <n v="2086.89990234375"/>
    <x v="609"/>
    <n v="70670471105"/>
    <n v="8.17"/>
  </r>
  <r>
    <x v="610"/>
    <s v="mar/24"/>
    <d v="2024-03-05T00:00:00"/>
    <s v="martes"/>
    <s v=" Abierto"/>
    <x v="3"/>
    <x v="65"/>
    <s v="-"/>
    <n v="5.2249999046325604"/>
    <n v="2117.69995117187"/>
    <x v="610"/>
    <n v="102802940877"/>
    <n v="-6.63"/>
  </r>
  <r>
    <x v="611"/>
    <s v="mar/24"/>
    <d v="2024-03-06T00:00:00"/>
    <s v="miércoles"/>
    <s v=" Abierto"/>
    <x v="3"/>
    <x v="57"/>
    <s v="-"/>
    <n v="5.2300000190734801"/>
    <n v="2133.5"/>
    <x v="611"/>
    <n v="68750229073"/>
    <n v="3.61"/>
  </r>
  <r>
    <x v="612"/>
    <s v="mar/24"/>
    <d v="2024-03-07T00:00:00"/>
    <s v="jueves"/>
    <s v=" Abierto"/>
    <x v="3"/>
    <x v="62"/>
    <s v="-"/>
    <n v="5.2280001640319798"/>
    <n v="2150.30004882812"/>
    <x v="612"/>
    <n v="46989543159"/>
    <n v="1.24"/>
  </r>
  <r>
    <x v="613"/>
    <s v="mar/24"/>
    <d v="2024-03-08T00:00:00"/>
    <s v="viernes"/>
    <s v=" Abierto"/>
    <x v="3"/>
    <x v="66"/>
    <s v="-"/>
    <n v="5.2280001640319798"/>
    <n v="2158"/>
    <x v="613"/>
    <n v="59202881172"/>
    <n v="2.0499999999999998"/>
  </r>
  <r>
    <x v="614"/>
    <s v="mar/24"/>
    <d v="2024-03-09T00:00:00"/>
    <s v="sábado"/>
    <s v="Cerrado"/>
    <x v="3"/>
    <x v="67"/>
    <s v="-"/>
    <n v="5.2280001640319798"/>
    <n v="2178.60009765625"/>
    <x v="614"/>
    <n v="21609650379"/>
    <n v="0.28999999999999998"/>
  </r>
  <r>
    <x v="615"/>
    <s v="mar/24"/>
    <d v="2024-03-10T00:00:00"/>
    <s v="domingo"/>
    <s v="Cerrado"/>
    <x v="3"/>
    <x v="60"/>
    <s v="-"/>
    <n v="5.2280001640319798"/>
    <n v="2158"/>
    <x v="615"/>
    <n v="35683977532"/>
    <n v="0.76"/>
  </r>
  <r>
    <x v="616"/>
    <s v="mar/24"/>
    <d v="2024-03-11T00:00:00"/>
    <s v="lunes"/>
    <s v=" Abierto"/>
    <x v="3"/>
    <x v="62"/>
    <s v="-"/>
    <n v="5.2399997711181596"/>
    <n v="2178.60009765625"/>
    <x v="616"/>
    <n v="65716656765"/>
    <n v="4.5"/>
  </r>
  <r>
    <x v="617"/>
    <s v="mar/24"/>
    <d v="2024-03-12T00:00:00"/>
    <s v="martes"/>
    <s v=" Abierto"/>
    <x v="3"/>
    <x v="66"/>
    <s v="-"/>
    <n v="5.2399997711181596"/>
    <n v="2182.5"/>
    <x v="617"/>
    <n v="62554434520"/>
    <n v="-0.89"/>
  </r>
  <r>
    <x v="618"/>
    <s v="mar/24"/>
    <d v="2024-03-13T00:00:00"/>
    <s v="miércoles"/>
    <s v=" Abierto"/>
    <x v="3"/>
    <x v="66"/>
    <s v="-"/>
    <n v="5.2379999160766602"/>
    <n v="2160.39990234375"/>
    <x v="618"/>
    <n v="48212536929"/>
    <n v="2.2400000000000002"/>
  </r>
  <r>
    <x v="619"/>
    <s v="mar/24"/>
    <d v="2024-03-14T00:00:00"/>
    <s v="jueves"/>
    <s v=" Abierto"/>
    <x v="3"/>
    <x v="68"/>
    <s v="-"/>
    <n v="5.2379999160766602"/>
    <n v="2175.39990234375"/>
    <x v="619"/>
    <n v="59594605698"/>
    <n v="-2.31"/>
  </r>
  <r>
    <x v="620"/>
    <s v="mar/24"/>
    <d v="2024-03-15T00:00:00"/>
    <s v="viernes"/>
    <s v=" Abierto"/>
    <x v="3"/>
    <x v="64"/>
    <s v="-"/>
    <n v="5.2379999160766602"/>
    <n v="2163"/>
    <x v="620"/>
    <n v="78320453976"/>
    <n v="-2.79"/>
  </r>
  <r>
    <x v="621"/>
    <s v="mar/24"/>
    <d v="2024-03-16T00:00:00"/>
    <s v="sábado"/>
    <s v="Cerrado"/>
    <x v="3"/>
    <x v="66"/>
    <s v="-"/>
    <n v="5.2379999160766602"/>
    <n v="2157.30004882812"/>
    <x v="621"/>
    <n v="46842198371"/>
    <n v="-5.89"/>
  </r>
  <r>
    <x v="622"/>
    <s v="mar/24"/>
    <d v="2024-03-17T00:00:00"/>
    <s v="domingo"/>
    <s v="Cerrado"/>
    <x v="3"/>
    <x v="60"/>
    <s v="-"/>
    <n v="5.2379999160766602"/>
    <n v="2163"/>
    <x v="622"/>
    <n v="44716864318"/>
    <n v="4.71"/>
  </r>
  <r>
    <x v="623"/>
    <s v="mar/24"/>
    <d v="2024-03-18T00:00:00"/>
    <s v="lunes"/>
    <s v=" Abierto"/>
    <x v="3"/>
    <x v="69"/>
    <s v="-"/>
    <n v="5.2379999160766602"/>
    <n v="2157.30004882812"/>
    <x v="623"/>
    <n v="49261579492"/>
    <n v="-1.23"/>
  </r>
  <r>
    <x v="624"/>
    <s v="mar/24"/>
    <d v="2024-03-19T00:00:00"/>
    <s v="martes"/>
    <s v=" Abierto"/>
    <x v="3"/>
    <x v="60"/>
    <s v="-"/>
    <n v="5.2379999160766602"/>
    <n v="2160.69995117187"/>
    <x v="624"/>
    <n v="74215844794"/>
    <n v="-8.34"/>
  </r>
  <r>
    <x v="625"/>
    <s v="mar/24"/>
    <d v="2024-03-20T00:00:00"/>
    <s v="miércoles"/>
    <s v=" Abierto"/>
    <x v="2"/>
    <x v="55"/>
    <s v="-"/>
    <n v="5.2280001640319798"/>
    <n v="2156.30004882812"/>
    <x v="625"/>
    <n v="66792634382"/>
    <n v="9.69"/>
  </r>
  <r>
    <x v="626"/>
    <s v="mar/24"/>
    <d v="2024-03-21T00:00:00"/>
    <s v="jueves"/>
    <s v=" Abierto"/>
    <x v="3"/>
    <x v="61"/>
    <s v="-"/>
    <n v="5.2280001640319798"/>
    <n v="2157.89990234375"/>
    <x v="626"/>
    <n v="44480350565"/>
    <n v="-3.57"/>
  </r>
  <r>
    <x v="627"/>
    <s v="mar/24"/>
    <d v="2024-03-22T00:00:00"/>
    <s v="viernes"/>
    <s v=" Abierto"/>
    <x v="3"/>
    <x v="57"/>
    <s v="-"/>
    <n v="5.2199997901916504"/>
    <n v="2182.39990234375"/>
    <x v="627"/>
    <n v="41401116964"/>
    <n v="-2.62"/>
  </r>
  <r>
    <x v="628"/>
    <s v="mar/24"/>
    <d v="2024-03-23T00:00:00"/>
    <s v="sábado"/>
    <s v="Cerrado"/>
    <x v="2"/>
    <x v="56"/>
    <s v="-"/>
    <n v="5.2199997901916504"/>
    <n v="2158.10009765625"/>
    <x v="628"/>
    <n v="24738964812"/>
    <n v="0.44"/>
  </r>
  <r>
    <x v="629"/>
    <s v="mar/24"/>
    <d v="2024-03-24T00:00:00"/>
    <s v="domingo"/>
    <s v="Cerrado"/>
    <x v="2"/>
    <x v="55"/>
    <s v="-"/>
    <n v="5.2199997901916504"/>
    <n v="2182.39990234375"/>
    <x v="629"/>
    <n v="27206630673"/>
    <n v="4.95"/>
  </r>
  <r>
    <x v="630"/>
    <s v="mar/24"/>
    <d v="2024-03-25T00:00:00"/>
    <s v="lunes"/>
    <s v=" Abierto"/>
    <x v="3"/>
    <x v="57"/>
    <s v="-"/>
    <n v="5.2179999351501403"/>
    <n v="2158.10009765625"/>
    <x v="630"/>
    <n v="42700139523"/>
    <n v="4.05"/>
  </r>
  <r>
    <x v="631"/>
    <s v="mar/24"/>
    <d v="2024-03-26T00:00:00"/>
    <s v="martes"/>
    <s v=" Abierto"/>
    <x v="3"/>
    <x v="66"/>
    <s v="-"/>
    <n v="5.2179999351501403"/>
    <n v="2174.80004882812"/>
    <x v="631"/>
    <n v="36010437368"/>
    <n v="0.04"/>
  </r>
  <r>
    <x v="632"/>
    <s v="mar/24"/>
    <d v="2024-03-27T00:00:00"/>
    <s v="miércoles"/>
    <s v=" Abierto"/>
    <x v="3"/>
    <x v="64"/>
    <s v="-"/>
    <n v="5.2150001525878897"/>
    <n v="2175.60009765625"/>
    <x v="632"/>
    <n v="40827113309"/>
    <n v="-0.76"/>
  </r>
  <r>
    <x v="633"/>
    <s v="mar/24"/>
    <d v="2024-03-28T00:00:00"/>
    <s v="jueves"/>
    <s v=" Abierto"/>
    <x v="3"/>
    <x v="63"/>
    <s v="-"/>
    <n v="5.2030000686645499"/>
    <n v="2190.60009765625"/>
    <x v="633"/>
    <n v="34374900617"/>
    <n v="1.86"/>
  </r>
  <r>
    <x v="634"/>
    <s v="mar/24"/>
    <d v="2024-03-29T00:00:00"/>
    <s v="viernes"/>
    <s v=" Abierto"/>
    <x v="3"/>
    <x v="60"/>
    <s v="-"/>
    <n v="5.2030000686645499"/>
    <n v="2217.39990234375"/>
    <x v="634"/>
    <n v="25230851763"/>
    <n v="-1.2"/>
  </r>
  <r>
    <x v="635"/>
    <s v="mar/24"/>
    <d v="2024-03-30T00:00:00"/>
    <s v="sábado"/>
    <s v="Cerrado"/>
    <x v="3"/>
    <x v="57"/>
    <s v="-"/>
    <n v="5.2030000686645499"/>
    <n v="2190.60009765625"/>
    <x v="635"/>
    <n v="17130241883"/>
    <n v="-0.35"/>
  </r>
  <r>
    <x v="636"/>
    <s v="mar/24"/>
    <d v="2024-03-31T00:00:00"/>
    <s v="domingo"/>
    <s v="Cerrado"/>
    <x v="3"/>
    <x v="57"/>
    <s v="-"/>
    <n v="5.2030000686645499"/>
    <n v="2217.39990234375"/>
    <x v="636"/>
    <n v="20050941373"/>
    <n v="2.42"/>
  </r>
  <r>
    <x v="637"/>
    <s v="abr/24"/>
    <d v="2024-04-01T00:00:00"/>
    <s v="lunes"/>
    <s v=" Abierto"/>
    <x v="3"/>
    <x v="60"/>
    <s v="-"/>
    <n v="5.2179999351501403"/>
    <n v="2190.60009765625"/>
    <x v="637"/>
    <n v="34873527352"/>
    <n v="-2.29"/>
  </r>
  <r>
    <x v="638"/>
    <s v="abr/24"/>
    <d v="2024-04-02T00:00:00"/>
    <s v="martes"/>
    <s v=" Abierto"/>
    <x v="3"/>
    <x v="60"/>
    <s v="-"/>
    <n v="5.2129998207092196"/>
    <n v="2236.5"/>
    <x v="638"/>
    <n v="50705240709"/>
    <n v="-6.1"/>
  </r>
  <r>
    <x v="639"/>
    <s v="abr/24"/>
    <d v="2024-04-03T00:00:00"/>
    <s v="miércoles"/>
    <s v=" Abierto"/>
    <x v="2"/>
    <x v="53"/>
    <s v="-"/>
    <n v="5.21000003814697"/>
    <n v="2261"/>
    <x v="639"/>
    <n v="34488018367"/>
    <n v="0.82"/>
  </r>
  <r>
    <x v="640"/>
    <s v="abr/24"/>
    <d v="2024-04-04T00:00:00"/>
    <s v="jueves"/>
    <s v=" Abierto"/>
    <x v="2"/>
    <x v="54"/>
    <s v="-"/>
    <n v="5.2030000686645499"/>
    <n v="2294.39990234375"/>
    <x v="640"/>
    <n v="34439527442"/>
    <n v="3.83"/>
  </r>
  <r>
    <x v="641"/>
    <s v="abr/24"/>
    <d v="2024-04-05T00:00:00"/>
    <s v="viernes"/>
    <s v=" Abierto"/>
    <x v="3"/>
    <x v="60"/>
    <s v="-"/>
    <n v="5.2150001525878897"/>
    <n v="2288.80004882812"/>
    <x v="641"/>
    <n v="33748230056"/>
    <n v="-0.98"/>
  </r>
  <r>
    <x v="642"/>
    <s v="abr/24"/>
    <d v="2024-04-06T00:00:00"/>
    <s v="sábado"/>
    <s v="Cerrado"/>
    <x v="3"/>
    <x v="57"/>
    <s v="-"/>
    <n v="5.2150001525878897"/>
    <n v="2325.69995117187"/>
    <x v="642"/>
    <n v="19967785809"/>
    <n v="1.56"/>
  </r>
  <r>
    <x v="643"/>
    <s v="abr/24"/>
    <d v="2024-04-07T00:00:00"/>
    <s v="domingo"/>
    <s v="Cerrado"/>
    <x v="3"/>
    <x v="61"/>
    <s v="-"/>
    <n v="5.2150001525878897"/>
    <n v="2288.80004882812"/>
    <x v="643"/>
    <n v="21204930369"/>
    <n v="0.68"/>
  </r>
  <r>
    <x v="644"/>
    <s v="abr/24"/>
    <d v="2024-04-08T00:00:00"/>
    <s v="lunes"/>
    <s v=" Abierto"/>
    <x v="3"/>
    <x v="59"/>
    <s v="-"/>
    <n v="5.22300004959106"/>
    <n v="2325.69995117187"/>
    <x v="644"/>
    <n v="37261432669"/>
    <n v="3.27"/>
  </r>
  <r>
    <x v="645"/>
    <s v="abr/24"/>
    <d v="2024-04-09T00:00:00"/>
    <s v="martes"/>
    <s v=" Abierto"/>
    <x v="3"/>
    <x v="63"/>
    <s v="-"/>
    <n v="5.2199997901916504"/>
    <n v="2331.69995117187"/>
    <x v="645"/>
    <n v="36426900409"/>
    <n v="-3.48"/>
  </r>
  <r>
    <x v="646"/>
    <s v="abr/24"/>
    <d v="2024-04-10T00:00:00"/>
    <s v="miércoles"/>
    <s v=" Abierto"/>
    <x v="3"/>
    <x v="61"/>
    <s v="-"/>
    <n v="5.2430000305175701"/>
    <n v="2343.5"/>
    <x v="646"/>
    <n v="38318601774"/>
    <n v="2.1"/>
  </r>
  <r>
    <x v="647"/>
    <s v="abr/24"/>
    <d v="2024-04-11T00:00:00"/>
    <s v="jueves"/>
    <s v=" Abierto"/>
    <x v="3"/>
    <x v="59"/>
    <s v="-"/>
    <n v="5.2379999160766602"/>
    <n v="2329.60009765625"/>
    <x v="647"/>
    <n v="30153382941"/>
    <n v="-0.75"/>
  </r>
  <r>
    <x v="648"/>
    <s v="abr/24"/>
    <d v="2024-04-12T00:00:00"/>
    <s v="viernes"/>
    <s v=" Abierto"/>
    <x v="3"/>
    <x v="60"/>
    <s v="-"/>
    <n v="5.2300000190734801"/>
    <n v="2354.80004882812"/>
    <x v="648"/>
    <n v="44129299406"/>
    <n v="-4.09"/>
  </r>
  <r>
    <x v="649"/>
    <s v="abr/24"/>
    <d v="2024-04-13T00:00:00"/>
    <s v="sábado"/>
    <s v="Cerrado"/>
    <x v="2"/>
    <x v="52"/>
    <s v="-"/>
    <n v="5.2300000190734801"/>
    <n v="2356.19995117187"/>
    <x v="649"/>
    <n v="52869738185"/>
    <n v="-5.0199999999999996"/>
  </r>
  <r>
    <x v="650"/>
    <s v="abr/24"/>
    <d v="2024-04-14T00:00:00"/>
    <s v="domingo"/>
    <s v="Cerrado"/>
    <x v="2"/>
    <x v="52"/>
    <s v="-"/>
    <n v="5.2300000190734801"/>
    <n v="2354.80004882812"/>
    <x v="650"/>
    <n v="49084320047"/>
    <n v="3"/>
  </r>
  <r>
    <x v="651"/>
    <s v="abr/24"/>
    <d v="2024-04-15T00:00:00"/>
    <s v="lunes"/>
    <s v=" Abierto"/>
    <x v="2"/>
    <x v="55"/>
    <s v="-"/>
    <n v="5.2379999160766602"/>
    <n v="2356.19995117187"/>
    <x v="651"/>
    <n v="43595917654"/>
    <n v="-3.52"/>
  </r>
  <r>
    <x v="652"/>
    <s v="abr/24"/>
    <d v="2024-04-16T00:00:00"/>
    <s v="martes"/>
    <s v=" Abierto"/>
    <x v="2"/>
    <x v="48"/>
    <s v="-"/>
    <n v="5.2329998016357404"/>
    <n v="2365.80004882812"/>
    <x v="652"/>
    <n v="42847528078"/>
    <n v="0.61"/>
  </r>
  <r>
    <x v="653"/>
    <s v="abr/24"/>
    <d v="2024-04-17T00:00:00"/>
    <s v="miércoles"/>
    <s v=" Abierto"/>
    <x v="2"/>
    <x v="58"/>
    <s v="-"/>
    <n v="5.2399997711181596"/>
    <n v="2390.80004882812"/>
    <x v="653"/>
    <n v="41915247049"/>
    <n v="-3.97"/>
  </r>
  <r>
    <x v="654"/>
    <s v="abr/24"/>
    <d v="2024-04-18T00:00:00"/>
    <s v="jueves"/>
    <s v=" Abierto"/>
    <x v="2"/>
    <x v="47"/>
    <s v="-"/>
    <n v="5.2430000305175701"/>
    <n v="2371.69995117187"/>
    <x v="654"/>
    <n v="36006307335"/>
    <n v="3.65"/>
  </r>
  <r>
    <x v="655"/>
    <s v="abr/24"/>
    <d v="2024-04-19T00:00:00"/>
    <s v="viernes"/>
    <s v=" Abierto"/>
    <x v="2"/>
    <x v="45"/>
    <s v="-"/>
    <n v="5.2449998855590803"/>
    <n v="2382.30004882812"/>
    <x v="655"/>
    <n v="49920425401"/>
    <n v="0.52"/>
  </r>
  <r>
    <x v="656"/>
    <s v="abr/24"/>
    <d v="2024-04-20T00:00:00"/>
    <s v="sábado"/>
    <s v="Cerrado"/>
    <x v="2"/>
    <x v="45"/>
    <s v="-"/>
    <n v="5.2449998855590803"/>
    <n v="2398.39990234375"/>
    <x v="656"/>
    <n v="23097485495"/>
    <n v="1.8"/>
  </r>
  <r>
    <x v="657"/>
    <s v="abr/24"/>
    <d v="2024-04-21T00:00:00"/>
    <s v="domingo"/>
    <s v="Cerrado"/>
    <x v="2"/>
    <x v="52"/>
    <s v="-"/>
    <n v="5.2449998855590803"/>
    <n v="2382.30004882812"/>
    <x v="657"/>
    <n v="20506644853"/>
    <n v="-0.1"/>
  </r>
  <r>
    <x v="658"/>
    <s v="abr/24"/>
    <d v="2024-04-22T00:00:00"/>
    <s v="lunes"/>
    <s v=" Abierto"/>
    <x v="2"/>
    <x v="56"/>
    <s v="-"/>
    <n v="5.2449998855590803"/>
    <n v="2398.39990234375"/>
    <x v="658"/>
    <n v="28282686673"/>
    <n v="2.94"/>
  </r>
  <r>
    <x v="659"/>
    <s v="abr/24"/>
    <d v="2024-04-23T00:00:00"/>
    <s v="martes"/>
    <s v=" Abierto"/>
    <x v="2"/>
    <x v="53"/>
    <s v="-"/>
    <n v="5.2449998855590803"/>
    <n v="2332.19995117187"/>
    <x v="659"/>
    <n v="24310975583"/>
    <n v="-0.64"/>
  </r>
  <r>
    <x v="660"/>
    <s v="abr/24"/>
    <d v="2024-04-24T00:00:00"/>
    <s v="miércoles"/>
    <s v=" Abierto"/>
    <x v="2"/>
    <x v="52"/>
    <s v="-"/>
    <n v="5.25500011444091"/>
    <n v="2327.69995117187"/>
    <x v="660"/>
    <n v="30276655120"/>
    <n v="-3.21"/>
  </r>
  <r>
    <x v="661"/>
    <s v="abr/24"/>
    <d v="2024-04-25T00:00:00"/>
    <s v="jueves"/>
    <s v=" Abierto"/>
    <x v="2"/>
    <x v="52"/>
    <s v="-"/>
    <n v="5.2449998855590803"/>
    <n v="2324.5"/>
    <x v="661"/>
    <n v="32155786816"/>
    <n v="0.32"/>
  </r>
  <r>
    <x v="662"/>
    <s v="abr/24"/>
    <d v="2024-04-26T00:00:00"/>
    <s v="viernes"/>
    <s v=" Abierto"/>
    <x v="2"/>
    <x v="54"/>
    <s v="-"/>
    <n v="5.2379999160766602"/>
    <n v="2329.80004882812"/>
    <x v="662"/>
    <n v="24139372950"/>
    <n v="-1.1299999999999999"/>
  </r>
  <r>
    <x v="663"/>
    <s v="abr/24"/>
    <d v="2024-04-27T00:00:00"/>
    <s v="sábado"/>
    <s v="Cerrado"/>
    <x v="2"/>
    <x v="58"/>
    <s v="-"/>
    <n v="5.2379999160766602"/>
    <n v="2334.80004882812"/>
    <x v="663"/>
    <n v="19530783039"/>
    <n v="-0.53"/>
  </r>
  <r>
    <x v="664"/>
    <s v="abr/24"/>
    <d v="2024-04-28T00:00:00"/>
    <s v="domingo"/>
    <s v="Cerrado"/>
    <x v="2"/>
    <x v="48"/>
    <s v="-"/>
    <n v="5.2379999160766602"/>
    <n v="2329.80004882812"/>
    <x v="664"/>
    <n v="17334827993"/>
    <n v="-0.48"/>
  </r>
  <r>
    <x v="665"/>
    <s v="abr/24"/>
    <d v="2024-04-29T00:00:00"/>
    <s v="lunes"/>
    <s v=" Abierto"/>
    <x v="2"/>
    <x v="58"/>
    <s v="-"/>
    <n v="5.2430000305175701"/>
    <n v="2334.80004882812"/>
    <x v="665"/>
    <n v="26635912073"/>
    <n v="1.1499999999999999"/>
  </r>
  <r>
    <x v="666"/>
    <s v="abr/24"/>
    <d v="2024-04-30T00:00:00"/>
    <s v="martes"/>
    <s v=" Abierto"/>
    <x v="2"/>
    <x v="58"/>
    <s v="-"/>
    <n v="5.2449998855590803"/>
    <n v="2345.39990234375"/>
    <x v="666"/>
    <n v="37840840057"/>
    <n v="-5.0199999999999996"/>
  </r>
  <r>
    <x v="667"/>
    <s v="may/24"/>
    <d v="2024-05-01T00:00:00"/>
    <s v="miércoles"/>
    <s v=" Abierto"/>
    <x v="2"/>
    <x v="33"/>
    <s v="-"/>
    <n v="5.25"/>
    <n v="2291.39990234375"/>
    <x v="667"/>
    <n v="48439780271"/>
    <n v="-3.93"/>
  </r>
  <r>
    <x v="668"/>
    <s v="may/24"/>
    <d v="2024-05-02T00:00:00"/>
    <s v="jueves"/>
    <s v=" Abierto"/>
    <x v="1"/>
    <x v="51"/>
    <s v="-"/>
    <n v="5.2379999160766602"/>
    <n v="2299.89990234375"/>
    <x v="668"/>
    <n v="32711813559"/>
    <n v="1.49"/>
  </r>
  <r>
    <x v="669"/>
    <s v="may/24"/>
    <d v="2024-05-03T00:00:00"/>
    <s v="viernes"/>
    <s v=" Abierto"/>
    <x v="1"/>
    <x v="39"/>
    <s v="-"/>
    <n v="5.2350001335143999"/>
    <n v="2299.19995117187"/>
    <x v="669"/>
    <n v="33172023048"/>
    <n v="6.37"/>
  </r>
  <r>
    <x v="670"/>
    <s v="may/24"/>
    <d v="2024-05-04T00:00:00"/>
    <s v="sábado"/>
    <s v="Cerrado"/>
    <x v="2"/>
    <x v="58"/>
    <s v="-"/>
    <n v="5.2350001335143999"/>
    <n v="2299"/>
    <x v="670"/>
    <n v="20620477992"/>
    <n v="1.59"/>
  </r>
  <r>
    <x v="671"/>
    <s v="may/24"/>
    <d v="2024-05-05T00:00:00"/>
    <s v="domingo"/>
    <s v="Cerrado"/>
    <x v="2"/>
    <x v="49"/>
    <s v="-"/>
    <n v="5.2350001335143999"/>
    <n v="2299.19995117187"/>
    <x v="671"/>
    <n v="18296164805"/>
    <n v="0.22"/>
  </r>
  <r>
    <x v="672"/>
    <s v="may/24"/>
    <d v="2024-05-06T00:00:00"/>
    <s v="lunes"/>
    <s v=" Abierto"/>
    <x v="2"/>
    <x v="53"/>
    <s v="-"/>
    <n v="5.2399997711181596"/>
    <n v="2299"/>
    <x v="672"/>
    <n v="28697928697"/>
    <n v="-1.36"/>
  </r>
  <r>
    <x v="673"/>
    <s v="may/24"/>
    <d v="2024-05-07T00:00:00"/>
    <s v="martes"/>
    <s v=" Abierto"/>
    <x v="2"/>
    <x v="46"/>
    <s v="-"/>
    <n v="5.2430000305175701"/>
    <n v="2321.60009765625"/>
    <x v="673"/>
    <n v="25930730982"/>
    <n v="-1.31"/>
  </r>
  <r>
    <x v="674"/>
    <s v="may/24"/>
    <d v="2024-05-08T00:00:00"/>
    <s v="miércoles"/>
    <s v=" Abierto"/>
    <x v="2"/>
    <x v="43"/>
    <s v="-"/>
    <n v="5.2449998855590803"/>
    <n v="2315.19995117187"/>
    <x v="674"/>
    <n v="26088172222"/>
    <n v="-1.84"/>
  </r>
  <r>
    <x v="675"/>
    <s v="may/24"/>
    <d v="2024-05-09T00:00:00"/>
    <s v="jueves"/>
    <s v=" Abierto"/>
    <x v="2"/>
    <x v="34"/>
    <s v="-"/>
    <n v="5.2399997711181596"/>
    <n v="2313.60009765625"/>
    <x v="675"/>
    <n v="25453338161"/>
    <n v="3.04"/>
  </r>
  <r>
    <x v="676"/>
    <s v="may/24"/>
    <d v="2024-05-10T00:00:00"/>
    <s v="viernes"/>
    <s v=" Abierto"/>
    <x v="2"/>
    <x v="45"/>
    <s v="-"/>
    <n v="5.2430000305175701"/>
    <n v="2332.10009765625"/>
    <x v="676"/>
    <n v="27804954694"/>
    <n v="-3.58"/>
  </r>
  <r>
    <x v="677"/>
    <s v="may/24"/>
    <d v="2024-05-11T00:00:00"/>
    <s v="sábado"/>
    <s v="Cerrado"/>
    <x v="2"/>
    <x v="31"/>
    <s v="-"/>
    <n v="5.2430000305175701"/>
    <n v="2367.30004882812"/>
    <x v="677"/>
    <n v="13842272968"/>
    <n v="0"/>
  </r>
  <r>
    <x v="678"/>
    <s v="may/24"/>
    <d v="2024-05-12T00:00:00"/>
    <s v="domingo"/>
    <s v="Cerrado"/>
    <x v="2"/>
    <x v="36"/>
    <n v="14"/>
    <n v="5.2430000305175701"/>
    <n v="2332.10009765625"/>
    <x v="678"/>
    <n v="13800459405"/>
    <n v="1.08"/>
  </r>
  <r>
    <x v="679"/>
    <s v="may/24"/>
    <d v="2024-05-13T00:00:00"/>
    <s v="lunes"/>
    <s v=" Abierto"/>
    <x v="2"/>
    <x v="47"/>
    <s v="-"/>
    <n v="5.2399997711181596"/>
    <n v="2367.30004882812"/>
    <x v="679"/>
    <n v="27889181179"/>
    <n v="2.36"/>
  </r>
  <r>
    <x v="680"/>
    <s v="may/24"/>
    <d v="2024-05-14T00:00:00"/>
    <s v="martes"/>
    <s v=" Abierto"/>
    <x v="2"/>
    <x v="45"/>
    <s v="-"/>
    <n v="5.2350001335143999"/>
    <n v="2336.10009765625"/>
    <x v="680"/>
    <n v="28186271527"/>
    <n v="-2.14"/>
  </r>
  <r>
    <x v="681"/>
    <s v="may/24"/>
    <d v="2024-05-15T00:00:00"/>
    <s v="miércoles"/>
    <s v=" Abierto"/>
    <x v="2"/>
    <x v="43"/>
    <s v="-"/>
    <n v="5.2399997711181596"/>
    <n v="2353.39990234375"/>
    <x v="681"/>
    <n v="39815167074"/>
    <n v="7.66"/>
  </r>
  <r>
    <x v="682"/>
    <s v="may/24"/>
    <d v="2024-05-16T00:00:00"/>
    <s v="jueves"/>
    <s v=" Abierto"/>
    <x v="2"/>
    <x v="54"/>
    <s v="-"/>
    <n v="5.2430000305175701"/>
    <n v="2388.69995117187"/>
    <x v="682"/>
    <n v="31573077994"/>
    <n v="-1.56"/>
  </r>
  <r>
    <x v="683"/>
    <s v="may/24"/>
    <d v="2024-05-17T00:00:00"/>
    <s v="viernes"/>
    <s v=" Abierto"/>
    <x v="2"/>
    <x v="55"/>
    <s v="-"/>
    <n v="5.2399997711181596"/>
    <n v="2380"/>
    <x v="683"/>
    <n v="28031279310"/>
    <n v="2.79"/>
  </r>
  <r>
    <x v="684"/>
    <s v="may/24"/>
    <d v="2024-05-18T00:00:00"/>
    <s v="sábado"/>
    <s v="Cerrado"/>
    <x v="2"/>
    <x v="56"/>
    <s v="-"/>
    <n v="5.2399997711181596"/>
    <n v="2412.19995117187"/>
    <x v="684"/>
    <n v="16712277406"/>
    <n v="-0.17"/>
  </r>
  <r>
    <x v="685"/>
    <s v="may/24"/>
    <d v="2024-05-19T00:00:00"/>
    <s v="domingo"/>
    <s v="Cerrado"/>
    <x v="2"/>
    <x v="52"/>
    <s v="-"/>
    <n v="5.2399997711181596"/>
    <n v="2380"/>
    <x v="685"/>
    <n v="19249094538"/>
    <n v="-0.99"/>
  </r>
  <r>
    <x v="686"/>
    <s v="may/24"/>
    <d v="2024-05-20T00:00:00"/>
    <s v="lunes"/>
    <s v=" Abierto"/>
    <x v="2"/>
    <x v="54"/>
    <s v="-"/>
    <n v="5.2399997711181596"/>
    <n v="2412.19995117187"/>
    <x v="686"/>
    <n v="43850655717"/>
    <n v="7.8"/>
  </r>
  <r>
    <x v="687"/>
    <s v="may/24"/>
    <d v="2024-05-21T00:00:00"/>
    <s v="martes"/>
    <s v=" Abierto"/>
    <x v="3"/>
    <x v="59"/>
    <s v="-"/>
    <n v="5.2399997711181596"/>
    <n v="2433.89990234375"/>
    <x v="687"/>
    <n v="46932005990"/>
    <n v="-1.84"/>
  </r>
  <r>
    <x v="688"/>
    <s v="may/24"/>
    <d v="2024-05-22T00:00:00"/>
    <s v="miércoles"/>
    <s v=" Abierto"/>
    <x v="3"/>
    <x v="59"/>
    <s v="-"/>
    <n v="5.2449998855590803"/>
    <n v="2421.69995117187"/>
    <x v="688"/>
    <n v="32802561717"/>
    <n v="-1.45"/>
  </r>
  <r>
    <x v="689"/>
    <s v="may/24"/>
    <d v="2024-05-23T00:00:00"/>
    <s v="jueves"/>
    <s v=" Abierto"/>
    <x v="3"/>
    <x v="59"/>
    <s v="-"/>
    <n v="5.2449998855590803"/>
    <n v="2389.19995117187"/>
    <x v="689"/>
    <n v="41895680979"/>
    <n v="-1.73"/>
  </r>
  <r>
    <x v="690"/>
    <s v="may/24"/>
    <d v="2024-05-24T00:00:00"/>
    <s v="viernes"/>
    <s v=" Abierto"/>
    <x v="2"/>
    <x v="55"/>
    <s v="-"/>
    <n v="5.2449998855590803"/>
    <n v="2335"/>
    <x v="690"/>
    <n v="29197308153"/>
    <n v="0.88"/>
  </r>
  <r>
    <x v="691"/>
    <s v="may/24"/>
    <d v="2024-05-25T00:00:00"/>
    <s v="sábado"/>
    <s v="Cerrado"/>
    <x v="3"/>
    <x v="59"/>
    <s v="-"/>
    <n v="5.2449998855590803"/>
    <n v="2332.5"/>
    <x v="691"/>
    <n v="15473071741"/>
    <n v="1.08"/>
  </r>
  <r>
    <x v="692"/>
    <s v="may/24"/>
    <d v="2024-05-26T00:00:00"/>
    <s v="domingo"/>
    <s v="Cerrado"/>
    <x v="3"/>
    <x v="57"/>
    <s v="-"/>
    <n v="5.2449998855590803"/>
    <n v="2335"/>
    <x v="692"/>
    <n v="15628433737"/>
    <n v="-1.08"/>
  </r>
  <r>
    <x v="693"/>
    <s v="may/24"/>
    <d v="2024-05-27T00:00:00"/>
    <s v="lunes"/>
    <s v=" Abierto"/>
    <x v="2"/>
    <x v="55"/>
    <s v="-"/>
    <n v="5.2449998855590803"/>
    <n v="2332.5"/>
    <x v="693"/>
    <n v="25870990717"/>
    <n v="1.28"/>
  </r>
  <r>
    <x v="694"/>
    <s v="may/24"/>
    <d v="2024-05-28T00:00:00"/>
    <s v="martes"/>
    <s v=" Abierto"/>
    <x v="2"/>
    <x v="52"/>
    <s v="-"/>
    <n v="5.2480001449584899"/>
    <n v="2335"/>
    <x v="694"/>
    <n v="32722265965"/>
    <n v="-1.58"/>
  </r>
  <r>
    <x v="695"/>
    <s v="may/24"/>
    <d v="2024-05-29T00:00:00"/>
    <s v="miércoles"/>
    <s v=" Abierto"/>
    <x v="2"/>
    <x v="52"/>
    <s v="-"/>
    <n v="5.25"/>
    <n v="2355.19995117187"/>
    <x v="695"/>
    <n v="26707072906"/>
    <n v="-1.05"/>
  </r>
  <r>
    <x v="696"/>
    <s v="may/24"/>
    <d v="2024-05-30T00:00:00"/>
    <s v="jueves"/>
    <s v=" Abierto"/>
    <x v="2"/>
    <x v="56"/>
    <s v="-"/>
    <n v="5.2480001449584899"/>
    <n v="2340.30004882812"/>
    <x v="696"/>
    <n v="29509712534"/>
    <n v="1.1599999999999999"/>
  </r>
  <r>
    <x v="697"/>
    <s v="may/24"/>
    <d v="2024-05-31T00:00:00"/>
    <s v="viernes"/>
    <s v=" Abierto"/>
    <x v="2"/>
    <x v="56"/>
    <s v="-"/>
    <n v="5.2449998855590803"/>
    <n v="2342.89990234375"/>
    <x v="697"/>
    <n v="27387283769"/>
    <n v="-1.28"/>
  </r>
  <r>
    <x v="698"/>
    <s v="jun/24"/>
    <d v="2024-06-01T00:00:00"/>
    <s v="sábado"/>
    <s v="Cerrado"/>
    <x v="2"/>
    <x v="52"/>
    <s v="-"/>
    <n v="5.2449998855590803"/>
    <n v="2322.89990234375"/>
    <x v="698"/>
    <n v="11641495604"/>
    <n v="0.32"/>
  </r>
  <r>
    <x v="699"/>
    <s v="jun/24"/>
    <d v="2024-06-02T00:00:00"/>
    <s v="domingo"/>
    <s v="Cerrado"/>
    <x v="2"/>
    <x v="56"/>
    <s v="-"/>
    <n v="5.2449998855590803"/>
    <n v="2342.89990234375"/>
    <x v="699"/>
    <n v="17110588415"/>
    <n v="7.0000000000000007E-2"/>
  </r>
  <r>
    <x v="700"/>
    <s v="jun/24"/>
    <d v="2024-06-03T00:00:00"/>
    <s v="lunes"/>
    <s v=" Abierto"/>
    <x v="2"/>
    <x v="56"/>
    <s v="-"/>
    <n v="5.2430000305175701"/>
    <n v="2322.89990234375"/>
    <x v="700"/>
    <n v="32401285324"/>
    <n v="1.55"/>
  </r>
  <r>
    <x v="701"/>
    <s v="jun/24"/>
    <d v="2024-06-04T00:00:00"/>
    <s v="martes"/>
    <s v=" Abierto"/>
    <x v="2"/>
    <x v="56"/>
    <s v="-"/>
    <n v="5.2399997711181596"/>
    <n v="2346.60009765625"/>
    <x v="701"/>
    <n v="33149696545"/>
    <n v="2.56"/>
  </r>
  <r>
    <x v="702"/>
    <s v="jun/24"/>
    <d v="2024-06-05T00:00:00"/>
    <s v="miércoles"/>
    <s v=" Abierto"/>
    <x v="3"/>
    <x v="57"/>
    <s v="-"/>
    <n v="5.2399997711181596"/>
    <n v="2325.5"/>
    <x v="702"/>
    <n v="32810771409"/>
    <n v="0.73"/>
  </r>
  <r>
    <x v="703"/>
    <s v="jun/24"/>
    <d v="2024-06-06T00:00:00"/>
    <s v="jueves"/>
    <s v=" Abierto"/>
    <x v="3"/>
    <x v="61"/>
    <s v="-"/>
    <n v="5.2329998016357404"/>
    <n v="2354.10009765625"/>
    <x v="703"/>
    <n v="25223152007"/>
    <n v="-0.46"/>
  </r>
  <r>
    <x v="704"/>
    <s v="jun/24"/>
    <d v="2024-06-07T00:00:00"/>
    <s v="viernes"/>
    <s v=" Abierto"/>
    <x v="3"/>
    <x v="69"/>
    <s v="-"/>
    <n v="5.2379999160766602"/>
    <n v="2370.30004882812"/>
    <x v="704"/>
    <n v="36188381096"/>
    <n v="-2"/>
  </r>
  <r>
    <x v="705"/>
    <s v="jun/24"/>
    <d v="2024-06-08T00:00:00"/>
    <s v="sábado"/>
    <s v="Cerrado"/>
    <x v="2"/>
    <x v="52"/>
    <s v="-"/>
    <n v="5.2379999160766602"/>
    <n v="2305.19995117187"/>
    <x v="705"/>
    <n v="14262185861"/>
    <n v="-0.05"/>
  </r>
  <r>
    <x v="706"/>
    <s v="jun/24"/>
    <d v="2024-06-09T00:00:00"/>
    <s v="domingo"/>
    <s v="Cerrado"/>
    <x v="3"/>
    <x v="57"/>
    <s v="-"/>
    <n v="5.2379999160766602"/>
    <n v="2370.30004882812"/>
    <x v="706"/>
    <n v="13534028500"/>
    <n v="0.49"/>
  </r>
  <r>
    <x v="707"/>
    <s v="jun/24"/>
    <d v="2024-06-10T00:00:00"/>
    <s v="lunes"/>
    <s v=" Abierto"/>
    <x v="2"/>
    <x v="52"/>
    <s v="-"/>
    <n v="5.2329998016357404"/>
    <n v="2305.19995117187"/>
    <x v="707"/>
    <n v="20597699541"/>
    <n v="-0.19"/>
  </r>
  <r>
    <x v="708"/>
    <s v="jun/24"/>
    <d v="2024-06-11T00:00:00"/>
    <s v="martes"/>
    <s v=" Abierto"/>
    <x v="2"/>
    <x v="55"/>
    <s v="-"/>
    <n v="5.2449998855590803"/>
    <n v="2307.69995117187"/>
    <x v="708"/>
    <n v="37116136345"/>
    <n v="-3.14"/>
  </r>
  <r>
    <x v="709"/>
    <s v="jun/24"/>
    <d v="2024-06-12T00:00:00"/>
    <s v="miércoles"/>
    <s v=" Abierto"/>
    <x v="2"/>
    <x v="52"/>
    <s v="-"/>
    <n v="5.2430000305175701"/>
    <n v="2307.5"/>
    <x v="709"/>
    <n v="34497940694"/>
    <n v="1.35"/>
  </r>
  <r>
    <x v="710"/>
    <s v="jun/24"/>
    <d v="2024-06-13T00:00:00"/>
    <s v="jueves"/>
    <s v=" Abierto"/>
    <x v="2"/>
    <x v="54"/>
    <s v="-"/>
    <n v="5.2399997711181596"/>
    <n v="2336"/>
    <x v="710"/>
    <n v="28955204146"/>
    <n v="-2.1800000000000002"/>
  </r>
  <r>
    <x v="711"/>
    <s v="jun/24"/>
    <d v="2024-06-14T00:00:00"/>
    <s v="viernes"/>
    <s v=" Abierto"/>
    <x v="2"/>
    <x v="55"/>
    <s v="-"/>
    <n v="5.2399997711181596"/>
    <n v="2300.19995117187"/>
    <x v="711"/>
    <n v="27403884779"/>
    <n v="-1.1200000000000001"/>
  </r>
  <r>
    <x v="712"/>
    <s v="jun/24"/>
    <d v="2024-06-15T00:00:00"/>
    <s v="sábado"/>
    <s v="Cerrado"/>
    <x v="2"/>
    <x v="55"/>
    <n v="15"/>
    <n v="5.2399997711181596"/>
    <n v="2331.39990234375"/>
    <x v="712"/>
    <n v="14121265576"/>
    <n v="0.27"/>
  </r>
  <r>
    <x v="713"/>
    <s v="jun/24"/>
    <d v="2024-06-16T00:00:00"/>
    <s v="domingo"/>
    <s v="Cerrado"/>
    <x v="2"/>
    <x v="53"/>
    <s v="-"/>
    <n v="5.2399997711181596"/>
    <n v="2300.19995117187"/>
    <x v="713"/>
    <n v="13281140541"/>
    <n v="0.68"/>
  </r>
  <r>
    <x v="714"/>
    <s v="jun/24"/>
    <d v="2024-06-17T00:00:00"/>
    <s v="lunes"/>
    <s v=" Abierto"/>
    <x v="2"/>
    <x v="53"/>
    <s v="-"/>
    <n v="5.2430000305175701"/>
    <n v="2331.39990234375"/>
    <x v="714"/>
    <n v="30006354476"/>
    <n v="-0.22"/>
  </r>
  <r>
    <x v="715"/>
    <s v="jun/24"/>
    <d v="2024-06-18T00:00:00"/>
    <s v="martes"/>
    <s v=" Abierto"/>
    <x v="2"/>
    <x v="55"/>
    <s v="-"/>
    <n v="5.2350001335143999"/>
    <n v="2312.39990234375"/>
    <x v="715"/>
    <n v="39481285950"/>
    <n v="-2.0299999999999998"/>
  </r>
  <r>
    <x v="716"/>
    <s v="jun/24"/>
    <d v="2024-06-19T00:00:00"/>
    <s v="miércoles"/>
    <s v=" Abierto"/>
    <x v="2"/>
    <x v="43"/>
    <s v="-"/>
    <n v="5.2350001335143999"/>
    <n v="2330.39990234375"/>
    <x v="716"/>
    <n v="21103423504"/>
    <n v="-0.28000000000000003"/>
  </r>
  <r>
    <x v="717"/>
    <s v="jun/24"/>
    <d v="2024-06-20T00:00:00"/>
    <s v="jueves"/>
    <s v=" Abierto"/>
    <x v="2"/>
    <x v="37"/>
    <s v="-"/>
    <n v="5.2249999046325604"/>
    <n v="2312.39990234375"/>
    <x v="717"/>
    <n v="25641109124"/>
    <n v="-0.2"/>
  </r>
  <r>
    <x v="718"/>
    <s v="jun/24"/>
    <d v="2024-06-21T00:00:00"/>
    <s v="viernes"/>
    <s v=" Abierto"/>
    <x v="2"/>
    <x v="44"/>
    <s v="-"/>
    <n v="5.2150001525878897"/>
    <n v="2353.80004882812"/>
    <x v="718"/>
    <n v="26188171739"/>
    <n v="-1.1299999999999999"/>
  </r>
  <r>
    <x v="719"/>
    <s v="jun/24"/>
    <d v="2024-06-22T00:00:00"/>
    <s v="sábado"/>
    <s v="Cerrado"/>
    <x v="2"/>
    <x v="31"/>
    <s v="-"/>
    <n v="5.2150001525878897"/>
    <n v="2316.39990234375"/>
    <x v="719"/>
    <n v="9858198793"/>
    <n v="0.24"/>
  </r>
  <r>
    <x v="720"/>
    <s v="jun/24"/>
    <d v="2024-06-23T00:00:00"/>
    <s v="domingo"/>
    <s v="Cerrado"/>
    <x v="2"/>
    <x v="34"/>
    <s v="-"/>
    <n v="5.2150001525878897"/>
    <n v="2353.80004882812"/>
    <x v="720"/>
    <n v="11170471802"/>
    <n v="-1.67"/>
  </r>
  <r>
    <x v="721"/>
    <s v="jun/24"/>
    <d v="2024-06-24T00:00:00"/>
    <s v="lunes"/>
    <s v=" Abierto"/>
    <x v="2"/>
    <x v="30"/>
    <s v="-"/>
    <n v="5.21000003814697"/>
    <n v="2316.39990234375"/>
    <x v="721"/>
    <n v="43152133651"/>
    <n v="-4.5999999999999996"/>
  </r>
  <r>
    <x v="722"/>
    <s v="jun/24"/>
    <d v="2024-06-25T00:00:00"/>
    <s v="martes"/>
    <s v=" Abierto"/>
    <x v="1"/>
    <x v="9"/>
    <s v="-"/>
    <n v="5.22300004959106"/>
    <n v="2330"/>
    <x v="722"/>
    <n v="29201215431"/>
    <n v="2.5299999999999998"/>
  </r>
  <r>
    <x v="723"/>
    <s v="jun/24"/>
    <d v="2024-06-26T00:00:00"/>
    <s v="miércoles"/>
    <s v=" Abierto"/>
    <x v="1"/>
    <x v="19"/>
    <s v="-"/>
    <n v="5.2300000190734801"/>
    <n v="2316.60009765625"/>
    <x v="723"/>
    <n v="22506003064"/>
    <n v="-1.61"/>
  </r>
  <r>
    <x v="724"/>
    <s v="jun/24"/>
    <d v="2024-06-27T00:00:00"/>
    <s v="jueves"/>
    <s v=" Abierto"/>
    <x v="1"/>
    <x v="28"/>
    <s v="-"/>
    <n v="5.22300004959106"/>
    <n v="2299.19995117187"/>
    <x v="724"/>
    <n v="21231745045"/>
    <n v="1.3"/>
  </r>
  <r>
    <x v="725"/>
    <s v="jun/24"/>
    <d v="2024-06-28T00:00:00"/>
    <s v="viernes"/>
    <s v=" Abierto"/>
    <x v="1"/>
    <x v="20"/>
    <s v="-"/>
    <n v="5.2129998207092196"/>
    <n v="2324.5"/>
    <x v="725"/>
    <n v="24952866877"/>
    <n v="-2.09"/>
  </r>
  <r>
    <x v="726"/>
    <s v="jun/24"/>
    <d v="2024-06-29T00:00:00"/>
    <s v="sábado"/>
    <s v="Cerrado"/>
    <x v="1"/>
    <x v="9"/>
    <s v="-"/>
    <n v="5.2129998207092196"/>
    <n v="2327.69995117187"/>
    <x v="726"/>
    <n v="12652903396"/>
    <n v="0.94"/>
  </r>
  <r>
    <x v="727"/>
    <s v="jun/24"/>
    <d v="2024-06-30T00:00:00"/>
    <s v="domingo"/>
    <s v="Cerrado"/>
    <x v="1"/>
    <x v="20"/>
    <s v="-"/>
    <n v="5.2129998207092196"/>
    <n v="2324.5"/>
    <x v="727"/>
    <n v="17333226409"/>
    <n v="2.94"/>
  </r>
  <r>
    <x v="728"/>
    <s v="jul/24"/>
    <d v="2024-07-01T00:00:00"/>
    <s v="lunes"/>
    <s v=" Abierto"/>
    <x v="2"/>
    <x v="31"/>
    <s v="-"/>
    <n v="5.2179999351501403"/>
    <n v="2327.69995117187"/>
    <x v="728"/>
    <n v="25468379421"/>
    <n v="0.28000000000000003"/>
  </r>
  <r>
    <x v="729"/>
    <s v="jul/24"/>
    <d v="2024-07-02T00:00:00"/>
    <s v="martes"/>
    <s v=" Abierto"/>
    <x v="2"/>
    <x v="30"/>
    <s v="-"/>
    <n v="5.2280001640319798"/>
    <n v="2327.60009765625"/>
    <x v="729"/>
    <n v="20151616992"/>
    <n v="-1.31"/>
  </r>
  <r>
    <x v="730"/>
    <s v="jul/24"/>
    <d v="2024-07-03T00:00:00"/>
    <s v="miércoles"/>
    <s v=" Abierto"/>
    <x v="2"/>
    <x v="32"/>
    <s v="-"/>
    <n v="5.2300000190734801"/>
    <n v="2323"/>
    <x v="730"/>
    <n v="29756701685"/>
    <n v="-2.99"/>
  </r>
  <r>
    <x v="731"/>
    <s v="jul/24"/>
    <d v="2024-07-04T00:00:00"/>
    <s v="jueves"/>
    <s v=" Abierto"/>
    <x v="1"/>
    <x v="22"/>
    <s v="-"/>
    <n v="5.2300000190734801"/>
    <n v="2359.80004882812"/>
    <x v="731"/>
    <n v="41149609230"/>
    <n v="-5.31"/>
  </r>
  <r>
    <x v="732"/>
    <s v="jul/24"/>
    <d v="2024-07-05T00:00:00"/>
    <s v="viernes"/>
    <s v=" Abierto"/>
    <x v="1"/>
    <x v="23"/>
    <s v="-"/>
    <n v="5.2249999046325604"/>
    <n v="2323"/>
    <x v="732"/>
    <n v="55417544033"/>
    <n v="-0.55000000000000004"/>
  </r>
  <r>
    <x v="733"/>
    <s v="jul/24"/>
    <d v="2024-07-06T00:00:00"/>
    <s v="sábado"/>
    <s v="Cerrado"/>
    <x v="1"/>
    <x v="13"/>
    <s v="-"/>
    <n v="5.2249999046325604"/>
    <n v="2388.5"/>
    <x v="733"/>
    <n v="20610320577"/>
    <n v="2.9"/>
  </r>
  <r>
    <x v="734"/>
    <s v="jul/24"/>
    <d v="2024-07-07T00:00:00"/>
    <s v="domingo"/>
    <s v="Cerrado"/>
    <x v="1"/>
    <x v="23"/>
    <s v="-"/>
    <n v="5.2249999046325604"/>
    <n v="2323"/>
    <x v="734"/>
    <n v="20553359505"/>
    <n v="-4.21"/>
  </r>
  <r>
    <x v="735"/>
    <s v="jul/24"/>
    <d v="2024-07-08T00:00:00"/>
    <s v="lunes"/>
    <s v=" Abierto"/>
    <x v="1"/>
    <x v="14"/>
    <s v="-"/>
    <n v="5.2179999351501403"/>
    <n v="2388.5"/>
    <x v="735"/>
    <n v="39766159899"/>
    <n v="1.53"/>
  </r>
  <r>
    <x v="736"/>
    <s v="jul/24"/>
    <d v="2024-07-09T00:00:00"/>
    <s v="martes"/>
    <s v=" Abierto"/>
    <x v="1"/>
    <x v="24"/>
    <s v="-"/>
    <n v="5.2249999046325604"/>
    <n v="2355.19995117187"/>
    <x v="736"/>
    <n v="27849512607"/>
    <n v="2.2999999999999998"/>
  </r>
  <r>
    <x v="737"/>
    <s v="jul/24"/>
    <d v="2024-07-10T00:00:00"/>
    <s v="miércoles"/>
    <s v=" Abierto"/>
    <x v="1"/>
    <x v="14"/>
    <s v="-"/>
    <n v="5.2249999046325604"/>
    <n v="2360.10009765625"/>
    <x v="737"/>
    <n v="26175260526"/>
    <n v="-0.46"/>
  </r>
  <r>
    <x v="738"/>
    <s v="jul/24"/>
    <d v="2024-07-11T00:00:00"/>
    <s v="jueves"/>
    <s v=" Abierto"/>
    <x v="1"/>
    <x v="23"/>
    <s v="-"/>
    <n v="5.1979999542236301"/>
    <n v="2372.19995117187"/>
    <x v="738"/>
    <n v="28707803842"/>
    <n v="-0.69"/>
  </r>
  <r>
    <x v="739"/>
    <s v="jul/24"/>
    <d v="2024-07-12T00:00:00"/>
    <s v="viernes"/>
    <s v=" Abierto"/>
    <x v="1"/>
    <x v="25"/>
    <s v="-"/>
    <n v="5.1979999542236301"/>
    <n v="2415"/>
    <x v="739"/>
    <n v="25604805221"/>
    <n v="0.97"/>
  </r>
  <r>
    <x v="740"/>
    <s v="jul/24"/>
    <d v="2024-07-13T00:00:00"/>
    <s v="sábado"/>
    <s v="Cerrado"/>
    <x v="1"/>
    <x v="25"/>
    <s v="-"/>
    <n v="5.1979999542236301"/>
    <n v="2414"/>
    <x v="740"/>
    <n v="17080061806"/>
    <n v="2.2999999999999998"/>
  </r>
  <r>
    <x v="741"/>
    <s v="jul/24"/>
    <d v="2024-07-14T00:00:00"/>
    <s v="domingo"/>
    <s v="Cerrado"/>
    <x v="1"/>
    <x v="12"/>
    <s v="-"/>
    <n v="5.1979999542236301"/>
    <n v="2415"/>
    <x v="741"/>
    <n v="22223416061"/>
    <n v="2.63"/>
  </r>
  <r>
    <x v="742"/>
    <s v="jul/24"/>
    <d v="2024-07-15T00:00:00"/>
    <s v="lunes"/>
    <s v=" Abierto"/>
    <x v="2"/>
    <x v="29"/>
    <s v="-"/>
    <n v="5.1929998397827104"/>
    <n v="2414"/>
    <x v="742"/>
    <n v="38094526099"/>
    <n v="6.72"/>
  </r>
  <r>
    <x v="743"/>
    <s v="jul/24"/>
    <d v="2024-07-16T00:00:00"/>
    <s v="martes"/>
    <s v=" Abierto"/>
    <x v="2"/>
    <x v="48"/>
    <s v="-"/>
    <n v="5.1929998397827104"/>
    <n v="2422.89990234375"/>
    <x v="743"/>
    <n v="41617346768"/>
    <n v="0.35"/>
  </r>
  <r>
    <x v="744"/>
    <s v="jul/24"/>
    <d v="2024-07-17T00:00:00"/>
    <s v="miércoles"/>
    <s v=" Abierto"/>
    <x v="2"/>
    <x v="49"/>
    <s v="-"/>
    <n v="5.1950001716613698"/>
    <n v="2462.39990234375"/>
    <x v="744"/>
    <n v="32525071311"/>
    <n v="-1.5"/>
  </r>
  <r>
    <x v="745"/>
    <s v="jul/24"/>
    <d v="2024-07-18T00:00:00"/>
    <s v="jueves"/>
    <s v=" Abierto"/>
    <x v="2"/>
    <x v="35"/>
    <s v="-"/>
    <n v="5.1929998397827104"/>
    <n v="2454.80004882812"/>
    <x v="745"/>
    <n v="27239305337"/>
    <n v="-0.23"/>
  </r>
  <r>
    <x v="746"/>
    <s v="jul/24"/>
    <d v="2024-07-19T00:00:00"/>
    <s v="viernes"/>
    <s v=" Abierto"/>
    <x v="2"/>
    <x v="37"/>
    <s v="-"/>
    <n v="5.1929998397827104"/>
    <n v="2451.80004882812"/>
    <x v="746"/>
    <n v="37003855410"/>
    <n v="4.28"/>
  </r>
  <r>
    <x v="747"/>
    <s v="jul/24"/>
    <d v="2024-07-20T00:00:00"/>
    <s v="sábado"/>
    <s v="Cerrado"/>
    <x v="2"/>
    <x v="55"/>
    <s v="-"/>
    <n v="5.1929998397827104"/>
    <n v="2395.5"/>
    <x v="747"/>
    <n v="19029581250"/>
    <n v="0.68"/>
  </r>
  <r>
    <x v="748"/>
    <s v="jul/24"/>
    <d v="2024-07-21T00:00:00"/>
    <s v="domingo"/>
    <s v="Cerrado"/>
    <x v="2"/>
    <x v="55"/>
    <s v="-"/>
    <n v="5.1929998397827104"/>
    <n v="2451.80004882812"/>
    <x v="748"/>
    <n v="26652190004"/>
    <n v="1.48"/>
  </r>
  <r>
    <x v="749"/>
    <s v="jul/24"/>
    <d v="2024-07-22T00:00:00"/>
    <s v="lunes"/>
    <s v=" Abierto"/>
    <x v="2"/>
    <x v="54"/>
    <s v="-"/>
    <n v="5.1900000572204501"/>
    <n v="2395.5"/>
    <x v="749"/>
    <n v="42649109453"/>
    <n v="-0.84"/>
  </r>
  <r>
    <x v="750"/>
    <s v="jul/24"/>
    <d v="2024-07-23T00:00:00"/>
    <s v="martes"/>
    <s v=" Abierto"/>
    <x v="2"/>
    <x v="53"/>
    <s v="-"/>
    <n v="5.1729998588562003"/>
    <n v="2392"/>
    <x v="750"/>
    <n v="35605668666"/>
    <n v="-2.4500000000000002"/>
  </r>
  <r>
    <x v="751"/>
    <s v="jul/24"/>
    <d v="2024-07-24T00:00:00"/>
    <s v="miércoles"/>
    <s v=" Abierto"/>
    <x v="2"/>
    <x v="49"/>
    <s v="-"/>
    <n v="5.17000007629394"/>
    <n v="2404.60009765625"/>
    <x v="751"/>
    <n v="27470942309"/>
    <n v="-0.84"/>
  </r>
  <r>
    <x v="752"/>
    <s v="jul/24"/>
    <d v="2024-07-25T00:00:00"/>
    <s v="jueves"/>
    <s v=" Abierto"/>
    <x v="2"/>
    <x v="46"/>
    <s v="-"/>
    <n v="5.1599998474120996"/>
    <n v="2413.30004882812"/>
    <x v="752"/>
    <n v="38315761670"/>
    <n v="0.62"/>
  </r>
  <r>
    <x v="753"/>
    <s v="jul/24"/>
    <d v="2024-07-26T00:00:00"/>
    <s v="viernes"/>
    <s v=" Abierto"/>
    <x v="2"/>
    <x v="46"/>
    <s v="-"/>
    <n v="5.1550002098083496"/>
    <n v="2351.89990234375"/>
    <x v="753"/>
    <n v="30488630457"/>
    <n v="3.25"/>
  </r>
  <r>
    <x v="754"/>
    <s v="jul/24"/>
    <d v="2024-07-27T00:00:00"/>
    <s v="sábado"/>
    <s v="Cerrado"/>
    <x v="2"/>
    <x v="52"/>
    <s v="-"/>
    <n v="5.1550002098083496"/>
    <n v="2380"/>
    <x v="754"/>
    <n v="34691905492"/>
    <n v="-0.15"/>
  </r>
  <r>
    <x v="755"/>
    <s v="jul/24"/>
    <d v="2024-07-28T00:00:00"/>
    <s v="domingo"/>
    <s v="Cerrado"/>
    <x v="2"/>
    <x v="53"/>
    <s v="-"/>
    <n v="5.1550002098083496"/>
    <n v="2351.89990234375"/>
    <x v="755"/>
    <n v="18043166945"/>
    <n v="0.65"/>
  </r>
  <r>
    <x v="756"/>
    <s v="jul/24"/>
    <d v="2024-07-29T00:00:00"/>
    <s v="lunes"/>
    <s v=" Abierto"/>
    <x v="2"/>
    <x v="55"/>
    <s v="-"/>
    <n v="5.1469998359680096"/>
    <n v="2380"/>
    <x v="756"/>
    <n v="40780682628"/>
    <n v="-2.1"/>
  </r>
  <r>
    <x v="757"/>
    <s v="jul/24"/>
    <d v="2024-07-30T00:00:00"/>
    <s v="martes"/>
    <s v=" Abierto"/>
    <x v="2"/>
    <x v="58"/>
    <s v="-"/>
    <n v="5.1350002288818297"/>
    <n v="2377.30004882812"/>
    <x v="757"/>
    <n v="31380492109"/>
    <n v="-0.93"/>
  </r>
  <r>
    <x v="758"/>
    <s v="jul/24"/>
    <d v="2024-07-31T00:00:00"/>
    <s v="miércoles"/>
    <s v=" Abierto"/>
    <x v="2"/>
    <x v="35"/>
    <s v="-"/>
    <n v="5.1350002288818297"/>
    <n v="2405"/>
    <x v="758"/>
    <n v="31292785994"/>
    <n v="-2.39"/>
  </r>
  <r>
    <x v="759"/>
    <s v="ago/24"/>
    <d v="2024-08-01T00:00:00"/>
    <s v="jueves"/>
    <s v=" Abierto"/>
    <x v="2"/>
    <x v="29"/>
    <s v="-"/>
    <n v="5.1149997711181596"/>
    <n v="2426.5"/>
    <x v="759"/>
    <n v="40975554494"/>
    <n v="1.1399999999999999"/>
  </r>
  <r>
    <x v="760"/>
    <s v="ago/24"/>
    <d v="2024-08-02T00:00:00"/>
    <s v="viernes"/>
    <s v=" Abierto"/>
    <x v="2"/>
    <x v="47"/>
    <s v="-"/>
    <n v="5.0300002098083496"/>
    <n v="2435"/>
    <x v="760"/>
    <n v="43060875727"/>
    <n v="-6.03"/>
  </r>
  <r>
    <x v="761"/>
    <s v="ago/24"/>
    <d v="2024-08-03T00:00:00"/>
    <s v="sábado"/>
    <s v="Cerrado"/>
    <x v="1"/>
    <x v="50"/>
    <s v="-"/>
    <n v="5.0300002098083496"/>
    <n v="2425.69995117187"/>
    <x v="761"/>
    <n v="31753030589"/>
    <n v="-1.2"/>
  </r>
  <r>
    <x v="762"/>
    <s v="ago/24"/>
    <d v="2024-08-04T00:00:00"/>
    <s v="domingo"/>
    <s v="Cerrado"/>
    <x v="1"/>
    <x v="11"/>
    <s v="-"/>
    <n v="5.0300002098083496"/>
    <n v="2435"/>
    <x v="762"/>
    <n v="31758917219"/>
    <n v="-4.22"/>
  </r>
  <r>
    <x v="763"/>
    <s v="ago/24"/>
    <d v="2024-08-05T00:00:00"/>
    <s v="lunes"/>
    <s v=" Abierto"/>
    <x v="1"/>
    <x v="13"/>
    <s v="-"/>
    <n v="5.0599999427795401"/>
    <n v="2425.69995117187"/>
    <x v="763"/>
    <n v="108991085584"/>
    <n v="-7.1"/>
  </r>
  <r>
    <x v="764"/>
    <s v="ago/24"/>
    <d v="2024-08-06T00:00:00"/>
    <s v="martes"/>
    <s v=" Abierto"/>
    <x v="0"/>
    <x v="70"/>
    <s v="-"/>
    <n v="5.0799999237060502"/>
    <n v="2401.69995117187"/>
    <x v="764"/>
    <n v="49300484106"/>
    <n v="3.78"/>
  </r>
  <r>
    <x v="765"/>
    <s v="ago/24"/>
    <d v="2024-08-07T00:00:00"/>
    <s v="miércoles"/>
    <s v=" Abierto"/>
    <x v="1"/>
    <x v="23"/>
    <s v="-"/>
    <n v="5.0799999237060502"/>
    <n v="2389.10009765625"/>
    <x v="765"/>
    <n v="41637562185"/>
    <n v="-1.8"/>
  </r>
  <r>
    <x v="766"/>
    <s v="ago/24"/>
    <d v="2024-08-08T00:00:00"/>
    <s v="jueves"/>
    <s v=" Abierto"/>
    <x v="0"/>
    <x v="3"/>
    <s v="-"/>
    <n v="5.0830001831054599"/>
    <n v="2390.5"/>
    <x v="766"/>
    <n v="45298472567"/>
    <n v="12.14"/>
  </r>
  <r>
    <x v="767"/>
    <s v="ago/24"/>
    <d v="2024-08-09T00:00:00"/>
    <s v="viernes"/>
    <s v=" Abierto"/>
    <x v="1"/>
    <x v="39"/>
    <s v="-"/>
    <n v="5.0749998092651296"/>
    <n v="2422.19995117187"/>
    <x v="767"/>
    <n v="33425553115"/>
    <n v="-1.35"/>
  </r>
  <r>
    <x v="768"/>
    <s v="ago/24"/>
    <d v="2024-08-10T00:00:00"/>
    <s v="sábado"/>
    <s v="Cerrado"/>
    <x v="1"/>
    <x v="28"/>
    <s v="-"/>
    <n v="5.0749998092651296"/>
    <n v="2432.10009765625"/>
    <x v="768"/>
    <n v="15745822278"/>
    <n v="0.11"/>
  </r>
  <r>
    <x v="769"/>
    <s v="ago/24"/>
    <d v="2024-08-11T00:00:00"/>
    <s v="domingo"/>
    <s v="Cerrado"/>
    <x v="1"/>
    <x v="16"/>
    <s v="-"/>
    <n v="5.0749998092651296"/>
    <n v="2422.19995117187"/>
    <x v="769"/>
    <n v="22759754812"/>
    <n v="-3.65"/>
  </r>
  <r>
    <x v="770"/>
    <s v="ago/24"/>
    <d v="2024-08-12T00:00:00"/>
    <s v="lunes"/>
    <s v=" Abierto"/>
    <x v="1"/>
    <x v="25"/>
    <s v="-"/>
    <n v="5.0729999542236301"/>
    <n v="2432.10009765625"/>
    <x v="770"/>
    <n v="37078637820"/>
    <n v="1.08"/>
  </r>
  <r>
    <x v="771"/>
    <s v="ago/24"/>
    <d v="2024-08-13T00:00:00"/>
    <s v="martes"/>
    <s v=" Abierto"/>
    <x v="1"/>
    <x v="10"/>
    <s v="-"/>
    <n v="5.0529999732971103"/>
    <n v="2462.39990234375"/>
    <x v="771"/>
    <n v="30327698167"/>
    <n v="2.11"/>
  </r>
  <r>
    <x v="772"/>
    <s v="ago/24"/>
    <d v="2024-08-14T00:00:00"/>
    <s v="miércoles"/>
    <s v=" Abierto"/>
    <x v="1"/>
    <x v="9"/>
    <s v="-"/>
    <n v="5.0630002021789497"/>
    <n v="2466.69995117187"/>
    <x v="772"/>
    <n v="29961696180"/>
    <n v="-3.09"/>
  </r>
  <r>
    <x v="773"/>
    <s v="ago/24"/>
    <d v="2024-08-15T00:00:00"/>
    <s v="jueves"/>
    <s v=" Abierto"/>
    <x v="1"/>
    <x v="23"/>
    <n v="16"/>
    <n v="5.0799999237060502"/>
    <n v="2439.39990234375"/>
    <x v="773"/>
    <n v="35682112440"/>
    <n v="-2"/>
  </r>
  <r>
    <x v="774"/>
    <s v="ago/24"/>
    <d v="2024-08-16T00:00:00"/>
    <s v="viernes"/>
    <s v=" Abierto"/>
    <x v="1"/>
    <x v="24"/>
    <s v="-"/>
    <n v="5.0749998092651296"/>
    <n v="2453.10009765625"/>
    <x v="774"/>
    <n v="29350938673"/>
    <n v="2.3199999999999998"/>
  </r>
  <r>
    <x v="775"/>
    <s v="ago/24"/>
    <d v="2024-08-17T00:00:00"/>
    <s v="sábado"/>
    <s v="Cerrado"/>
    <x v="1"/>
    <x v="25"/>
    <s v="-"/>
    <n v="5.0749998092651296"/>
    <n v="2498.60009765625"/>
    <x v="775"/>
    <n v="13589684021"/>
    <n v="0.99"/>
  </r>
  <r>
    <x v="776"/>
    <s v="ago/24"/>
    <d v="2024-08-18T00:00:00"/>
    <s v="domingo"/>
    <s v="Cerrado"/>
    <x v="1"/>
    <x v="10"/>
    <s v="-"/>
    <n v="5.0749998092651296"/>
    <n v="2453.10009765625"/>
    <x v="776"/>
    <n v="17740625837"/>
    <n v="-1.67"/>
  </r>
  <r>
    <x v="777"/>
    <s v="ago/24"/>
    <d v="2024-08-19T00:00:00"/>
    <s v="lunes"/>
    <s v=" Abierto"/>
    <x v="1"/>
    <x v="14"/>
    <s v="-"/>
    <n v="5.0630002021789497"/>
    <n v="2498.60009765625"/>
    <x v="777"/>
    <n v="25911207712"/>
    <n v="1.73"/>
  </r>
  <r>
    <x v="778"/>
    <s v="ago/24"/>
    <d v="2024-08-20T00:00:00"/>
    <s v="martes"/>
    <s v=" Abierto"/>
    <x v="1"/>
    <x v="9"/>
    <s v="-"/>
    <n v="5.0329999923706001"/>
    <n v="2501.80004882812"/>
    <x v="778"/>
    <n v="31613400008"/>
    <n v="-0.81"/>
  </r>
  <r>
    <x v="779"/>
    <s v="ago/24"/>
    <d v="2024-08-21T00:00:00"/>
    <s v="miércoles"/>
    <s v=" Abierto"/>
    <x v="1"/>
    <x v="13"/>
    <s v="-"/>
    <n v="5.00500011444091"/>
    <n v="2511.30004882812"/>
    <x v="779"/>
    <n v="32731154072"/>
    <n v="3.66"/>
  </r>
  <r>
    <x v="780"/>
    <s v="ago/24"/>
    <d v="2024-08-22T00:00:00"/>
    <s v="jueves"/>
    <s v=" Abierto"/>
    <x v="1"/>
    <x v="16"/>
    <s v="-"/>
    <n v="5.0250000953674299"/>
    <n v="2508.39990234375"/>
    <x v="780"/>
    <n v="27625734377"/>
    <n v="-1.3"/>
  </r>
  <r>
    <x v="781"/>
    <s v="ago/24"/>
    <d v="2024-08-23T00:00:00"/>
    <s v="viernes"/>
    <s v=" Abierto"/>
    <x v="1"/>
    <x v="11"/>
    <s v="-"/>
    <n v="5"/>
    <n v="2478.89990234375"/>
    <x v="781"/>
    <n v="42530509233"/>
    <n v="6.15"/>
  </r>
  <r>
    <x v="782"/>
    <s v="ago/24"/>
    <d v="2024-08-24T00:00:00"/>
    <s v="sábado"/>
    <s v="Cerrado"/>
    <x v="2"/>
    <x v="36"/>
    <s v="-"/>
    <n v="5"/>
    <n v="2508.39990234375"/>
    <x v="782"/>
    <n v="21430585163"/>
    <n v="0.13"/>
  </r>
  <r>
    <x v="783"/>
    <s v="ago/24"/>
    <d v="2024-08-25T00:00:00"/>
    <s v="domingo"/>
    <s v="Cerrado"/>
    <x v="2"/>
    <x v="33"/>
    <s v="-"/>
    <n v="5"/>
    <n v="2478.89990234375"/>
    <x v="783"/>
    <n v="18827683555"/>
    <n v="0.24"/>
  </r>
  <r>
    <x v="784"/>
    <s v="ago/24"/>
    <d v="2024-08-26T00:00:00"/>
    <s v="lunes"/>
    <s v=" Abierto"/>
    <x v="2"/>
    <x v="34"/>
    <s v="-"/>
    <n v="4.9980001449584899"/>
    <n v="2508.39990234375"/>
    <x v="784"/>
    <n v="27682040631"/>
    <n v="-2.2599999999999998"/>
  </r>
  <r>
    <x v="785"/>
    <s v="ago/24"/>
    <d v="2024-08-27T00:00:00"/>
    <s v="martes"/>
    <s v=" Abierto"/>
    <x v="1"/>
    <x v="39"/>
    <s v="-"/>
    <n v="4.9679999351501403"/>
    <n v="2517.69995117187"/>
    <x v="785"/>
    <n v="39103882198"/>
    <n v="-5.37"/>
  </r>
  <r>
    <x v="786"/>
    <s v="ago/24"/>
    <d v="2024-08-28T00:00:00"/>
    <s v="miércoles"/>
    <s v=" Abierto"/>
    <x v="1"/>
    <x v="9"/>
    <s v="-"/>
    <n v="4.9549999237060502"/>
    <n v="2516"/>
    <x v="786"/>
    <n v="40289564698"/>
    <n v="-0.8"/>
  </r>
  <r>
    <x v="787"/>
    <s v="ago/24"/>
    <d v="2024-08-29T00:00:00"/>
    <s v="jueves"/>
    <s v=" Abierto"/>
    <x v="1"/>
    <x v="23"/>
    <s v="-"/>
    <n v="4.9650001525878897"/>
    <n v="2501"/>
    <x v="787"/>
    <n v="32224990582"/>
    <n v="0.61"/>
  </r>
  <r>
    <x v="788"/>
    <s v="ago/24"/>
    <d v="2024-08-30T00:00:00"/>
    <s v="viernes"/>
    <s v=" Abierto"/>
    <x v="1"/>
    <x v="11"/>
    <s v="-"/>
    <n v="4.9679999351501403"/>
    <n v="2525.69995117187"/>
    <x v="788"/>
    <n v="32292756405"/>
    <n v="-0.45"/>
  </r>
  <r>
    <x v="789"/>
    <s v="ago/24"/>
    <d v="2024-08-31T00:00:00"/>
    <s v="sábado"/>
    <s v="Cerrado"/>
    <x v="1"/>
    <x v="23"/>
    <s v="-"/>
    <n v="4.9679999351501403"/>
    <n v="2493.80004882812"/>
    <x v="789"/>
    <n v="12403470760"/>
    <n v="-0.25"/>
  </r>
  <r>
    <x v="790"/>
    <s v="sep/24"/>
    <d v="2024-09-01T00:00:00"/>
    <s v="domingo"/>
    <s v="Cerrado"/>
    <x v="1"/>
    <x v="13"/>
    <s v="-"/>
    <n v="4.9679999351501403"/>
    <n v="2525.69995117187"/>
    <x v="790"/>
    <n v="24592449997"/>
    <n v="-2.79"/>
  </r>
  <r>
    <x v="791"/>
    <s v="sep/24"/>
    <d v="2024-09-02T00:00:00"/>
    <s v="lunes"/>
    <s v=" Abierto"/>
    <x v="1"/>
    <x v="13"/>
    <s v="-"/>
    <n v="4.9679999351501403"/>
    <n v="2493.80004882812"/>
    <x v="791"/>
    <n v="27036454524"/>
    <n v="3.12"/>
  </r>
  <r>
    <x v="792"/>
    <s v="sep/24"/>
    <d v="2024-09-03T00:00:00"/>
    <s v="martes"/>
    <s v=" Abierto"/>
    <x v="1"/>
    <x v="13"/>
    <s v="-"/>
    <n v="4.9699997901916504"/>
    <n v="2525.69995117187"/>
    <x v="792"/>
    <n v="26666961053"/>
    <n v="-2.84"/>
  </r>
  <r>
    <x v="793"/>
    <s v="sep/24"/>
    <d v="2024-09-04T00:00:00"/>
    <s v="miércoles"/>
    <s v=" Abierto"/>
    <x v="1"/>
    <x v="24"/>
    <s v="-"/>
    <n v="4.9479999542236301"/>
    <n v="2489.89990234375"/>
    <x v="793"/>
    <n v="35627680312"/>
    <n v="0.94"/>
  </r>
  <r>
    <x v="794"/>
    <s v="sep/24"/>
    <d v="2024-09-05T00:00:00"/>
    <s v="jueves"/>
    <s v=" Abierto"/>
    <x v="1"/>
    <x v="23"/>
    <s v="-"/>
    <n v="4.9320001602172798"/>
    <n v="2493.39990234375"/>
    <x v="794"/>
    <n v="31030280656"/>
    <n v="-3.12"/>
  </r>
  <r>
    <x v="795"/>
    <s v="sep/24"/>
    <d v="2024-09-06T00:00:00"/>
    <s v="viernes"/>
    <s v=" Abierto"/>
    <x v="0"/>
    <x v="5"/>
    <s v="-"/>
    <n v="4.9079999923706001"/>
    <n v="2511.39990234375"/>
    <x v="795"/>
    <n v="49361693566"/>
    <n v="-3.94"/>
  </r>
  <r>
    <x v="796"/>
    <s v="sep/24"/>
    <d v="2024-09-07T00:00:00"/>
    <s v="sábado"/>
    <s v="Cerrado"/>
    <x v="0"/>
    <x v="26"/>
    <s v="-"/>
    <n v="4.9079999923706001"/>
    <n v="2493.5"/>
    <x v="796"/>
    <n v="19061486526"/>
    <n v="0.35"/>
  </r>
  <r>
    <x v="797"/>
    <s v="sep/24"/>
    <d v="2024-09-08T00:00:00"/>
    <s v="domingo"/>
    <s v="Cerrado"/>
    <x v="1"/>
    <x v="23"/>
    <s v="-"/>
    <n v="4.9079999923706001"/>
    <n v="2511.39990234375"/>
    <x v="797"/>
    <n v="18268287531"/>
    <n v="1.3"/>
  </r>
  <r>
    <x v="798"/>
    <s v="sep/24"/>
    <d v="2024-09-09T00:00:00"/>
    <s v="lunes"/>
    <s v=" Abierto"/>
    <x v="1"/>
    <x v="13"/>
    <s v="-"/>
    <n v="4.8949999809265101"/>
    <n v="2493.5"/>
    <x v="798"/>
    <n v="34618096173"/>
    <n v="3.97"/>
  </r>
  <r>
    <x v="799"/>
    <s v="sep/24"/>
    <d v="2024-09-10T00:00:00"/>
    <s v="martes"/>
    <s v=" Abierto"/>
    <x v="1"/>
    <x v="12"/>
    <s v="-"/>
    <n v="4.83500003814697"/>
    <n v="2501.80004882812"/>
    <x v="799"/>
    <n v="28857630507"/>
    <n v="1.1000000000000001"/>
  </r>
  <r>
    <x v="800"/>
    <s v="sep/24"/>
    <d v="2024-09-11T00:00:00"/>
    <s v="miércoles"/>
    <s v=" Abierto"/>
    <x v="1"/>
    <x v="50"/>
    <s v="-"/>
    <n v="4.875"/>
    <n v="2512.30004882812"/>
    <x v="800"/>
    <n v="37049062672"/>
    <n v="-0.53"/>
  </r>
  <r>
    <x v="801"/>
    <s v="sep/24"/>
    <d v="2024-09-12T00:00:00"/>
    <s v="jueves"/>
    <s v=" Abierto"/>
    <x v="1"/>
    <x v="10"/>
    <s v="-"/>
    <n v="4.8400001525878897"/>
    <n v="2512.10009765625"/>
    <x v="801"/>
    <n v="33835707949"/>
    <n v="1.37"/>
  </r>
  <r>
    <x v="802"/>
    <s v="sep/24"/>
    <d v="2024-09-13T00:00:00"/>
    <s v="viernes"/>
    <s v=" Abierto"/>
    <x v="1"/>
    <x v="15"/>
    <s v="-"/>
    <n v="4.76300001144409"/>
    <n v="2551.19995117187"/>
    <x v="802"/>
    <n v="32490528356"/>
    <n v="4.21"/>
  </r>
  <r>
    <x v="803"/>
    <s v="sep/24"/>
    <d v="2024-09-14T00:00:00"/>
    <s v="sábado"/>
    <s v="Cerrado"/>
    <x v="2"/>
    <x v="32"/>
    <s v="-"/>
    <n v="4.76300001144409"/>
    <n v="2581.30004882812"/>
    <x v="803"/>
    <n v="16428405496"/>
    <n v="-0.93"/>
  </r>
  <r>
    <x v="804"/>
    <s v="sep/24"/>
    <d v="2024-09-15T00:00:00"/>
    <s v="domingo"/>
    <s v="Cerrado"/>
    <x v="2"/>
    <x v="30"/>
    <s v="-"/>
    <n v="4.76300001144409"/>
    <n v="2551.19995117187"/>
    <x v="804"/>
    <n v="18120960867"/>
    <n v="-1.37"/>
  </r>
  <r>
    <x v="805"/>
    <s v="sep/24"/>
    <d v="2024-09-16T00:00:00"/>
    <s v="lunes"/>
    <s v=" Abierto"/>
    <x v="1"/>
    <x v="16"/>
    <s v="-"/>
    <n v="4.7449998855590803"/>
    <n v="2581.30004882812"/>
    <x v="805"/>
    <n v="32032822113"/>
    <n v="-1.67"/>
  </r>
  <r>
    <x v="806"/>
    <s v="sep/24"/>
    <d v="2024-09-17T00:00:00"/>
    <s v="martes"/>
    <s v=" Abierto"/>
    <x v="1"/>
    <x v="12"/>
    <s v="-"/>
    <n v="4.7350001335143999"/>
    <n v="2580.39990234375"/>
    <x v="806"/>
    <n v="38075570118"/>
    <n v="3.64"/>
  </r>
  <r>
    <x v="807"/>
    <s v="sep/24"/>
    <d v="2024-09-18T00:00:00"/>
    <s v="miércoles"/>
    <s v=" Abierto"/>
    <x v="1"/>
    <x v="21"/>
    <s v="-"/>
    <n v="4.6149997711181596"/>
    <n v="2564.30004882812"/>
    <x v="807"/>
    <n v="40990702891"/>
    <n v="2.2200000000000002"/>
  </r>
  <r>
    <x v="808"/>
    <s v="sep/24"/>
    <d v="2024-09-19T00:00:00"/>
    <s v="jueves"/>
    <s v=" Abierto"/>
    <x v="1"/>
    <x v="40"/>
    <s v="-"/>
    <n v="4.5929999351501403"/>
    <n v="2570.69995117187"/>
    <x v="808"/>
    <n v="42710252573"/>
    <n v="2.09"/>
  </r>
  <r>
    <x v="809"/>
    <s v="sep/24"/>
    <d v="2024-09-20T00:00:00"/>
    <s v="viernes"/>
    <s v=" Abierto"/>
    <x v="2"/>
    <x v="33"/>
    <s v="-"/>
    <n v="4.54500007629394"/>
    <n v="2588"/>
    <x v="809"/>
    <n v="35177164222"/>
    <n v="0.4"/>
  </r>
  <r>
    <x v="810"/>
    <s v="sep/24"/>
    <d v="2024-09-21T00:00:00"/>
    <s v="sábado"/>
    <s v="Cerrado"/>
    <x v="2"/>
    <x v="33"/>
    <s v="-"/>
    <n v="4.54500007629394"/>
    <n v="2619.89990234375"/>
    <x v="810"/>
    <n v="14408616220"/>
    <n v="0.32"/>
  </r>
  <r>
    <x v="811"/>
    <s v="sep/24"/>
    <d v="2024-09-22T00:00:00"/>
    <s v="domingo"/>
    <s v="Cerrado"/>
    <x v="2"/>
    <x v="29"/>
    <s v="-"/>
    <n v="4.54500007629394"/>
    <n v="2588"/>
    <x v="811"/>
    <n v="20183348802"/>
    <n v="0.4"/>
  </r>
  <r>
    <x v="812"/>
    <s v="sep/24"/>
    <d v="2024-09-23T00:00:00"/>
    <s v="lunes"/>
    <s v=" Abierto"/>
    <x v="2"/>
    <x v="32"/>
    <s v="-"/>
    <n v="4.5029997825622496"/>
    <n v="2619.89990234375"/>
    <x v="812"/>
    <n v="31400285425"/>
    <n v="-0.5"/>
  </r>
  <r>
    <x v="813"/>
    <s v="sep/24"/>
    <d v="2024-09-24T00:00:00"/>
    <s v="martes"/>
    <s v=" Abierto"/>
    <x v="2"/>
    <x v="33"/>
    <s v="-"/>
    <n v="4.4949998855590803"/>
    <n v="2626.5"/>
    <x v="813"/>
    <n v="29938335243"/>
    <n v="1.54"/>
  </r>
  <r>
    <x v="814"/>
    <s v="sep/24"/>
    <d v="2024-09-25T00:00:00"/>
    <s v="miércoles"/>
    <s v=" Abierto"/>
    <x v="2"/>
    <x v="42"/>
    <s v="-"/>
    <n v="4.4869999885559002"/>
    <n v="2651.19995117187"/>
    <x v="814"/>
    <n v="25078377700"/>
    <n v="-1.8"/>
  </r>
  <r>
    <x v="815"/>
    <s v="sep/24"/>
    <d v="2024-09-26T00:00:00"/>
    <s v="jueves"/>
    <s v=" Abierto"/>
    <x v="2"/>
    <x v="32"/>
    <s v="-"/>
    <n v="4.4679999351501403"/>
    <n v="2659.19995117187"/>
    <x v="815"/>
    <n v="36873129847"/>
    <n v="3.23"/>
  </r>
  <r>
    <x v="816"/>
    <s v="sep/24"/>
    <d v="2024-09-27T00:00:00"/>
    <s v="viernes"/>
    <s v=" Abierto"/>
    <x v="2"/>
    <x v="35"/>
    <s v="-"/>
    <n v="4.4819998741149902"/>
    <n v="2669.89990234375"/>
    <x v="816"/>
    <n v="32058813449"/>
    <n v="0.94"/>
  </r>
  <r>
    <x v="817"/>
    <s v="sep/24"/>
    <d v="2024-09-28T00:00:00"/>
    <s v="sábado"/>
    <s v="Cerrado"/>
    <x v="2"/>
    <x v="43"/>
    <s v="-"/>
    <n v="4.4819998741149902"/>
    <n v="2644.30004882812"/>
    <x v="817"/>
    <n v="15243637984"/>
    <n v="0.15"/>
  </r>
  <r>
    <x v="818"/>
    <s v="sep/24"/>
    <d v="2024-09-29T00:00:00"/>
    <s v="domingo"/>
    <s v="Cerrado"/>
    <x v="2"/>
    <x v="44"/>
    <s v="-"/>
    <n v="4.4819998741149902"/>
    <n v="2669.89990234375"/>
    <x v="818"/>
    <n v="14788214575"/>
    <n v="-0.38"/>
  </r>
  <r>
    <x v="819"/>
    <s v="sep/24"/>
    <d v="2024-09-30T00:00:00"/>
    <s v="lunes"/>
    <s v=" Abierto"/>
    <x v="2"/>
    <x v="35"/>
    <s v="-"/>
    <n v="4.4980001449584899"/>
    <n v="2644.30004882812"/>
    <x v="819"/>
    <n v="37112957475"/>
    <n v="-3.51"/>
  </r>
  <r>
    <x v="820"/>
    <s v="oct/24"/>
    <d v="2024-10-01T00:00:00"/>
    <s v="martes"/>
    <s v=" Abierto"/>
    <x v="2"/>
    <x v="32"/>
    <s v="-"/>
    <n v="4.4819998741149902"/>
    <n v="2636.10009765625"/>
    <x v="820"/>
    <n v="50220923500"/>
    <n v="-3.94"/>
  </r>
  <r>
    <x v="821"/>
    <s v="oct/24"/>
    <d v="2024-10-02T00:00:00"/>
    <s v="miércoles"/>
    <s v=" Abierto"/>
    <x v="1"/>
    <x v="17"/>
    <s v="-"/>
    <n v="4.47300004959106"/>
    <n v="2667.30004882812"/>
    <x v="821"/>
    <n v="40762722398"/>
    <n v="-0.34"/>
  </r>
  <r>
    <x v="822"/>
    <s v="oct/24"/>
    <d v="2024-10-03T00:00:00"/>
    <s v="jueves"/>
    <s v=" Abierto"/>
    <x v="1"/>
    <x v="50"/>
    <s v="-"/>
    <n v="4.4650001525878897"/>
    <n v="2647.10009765625"/>
    <x v="822"/>
    <n v="36106447279"/>
    <n v="0.21"/>
  </r>
  <r>
    <x v="823"/>
    <s v="oct/24"/>
    <d v="2024-10-04T00:00:00"/>
    <s v="viernes"/>
    <s v=" Abierto"/>
    <x v="1"/>
    <x v="18"/>
    <s v="-"/>
    <n v="4.50500011444091"/>
    <n v="2657.10009765625"/>
    <x v="823"/>
    <n v="29585472513"/>
    <n v="2.15"/>
  </r>
  <r>
    <x v="824"/>
    <s v="oct/24"/>
    <d v="2024-10-05T00:00:00"/>
    <s v="sábado"/>
    <s v="Cerrado"/>
    <x v="1"/>
    <x v="40"/>
    <s v="-"/>
    <n v="4.50500011444091"/>
    <n v="2645.80004882812"/>
    <x v="824"/>
    <n v="13305410749"/>
    <n v="0.04"/>
  </r>
  <r>
    <x v="825"/>
    <s v="oct/24"/>
    <d v="2024-10-06T00:00:00"/>
    <s v="domingo"/>
    <s v="Cerrado"/>
    <x v="2"/>
    <x v="32"/>
    <s v="-"/>
    <n v="4.50500011444091"/>
    <n v="2657.10009765625"/>
    <x v="825"/>
    <n v="14776233667"/>
    <n v="1.17"/>
  </r>
  <r>
    <x v="826"/>
    <s v="oct/24"/>
    <d v="2024-10-07T00:00:00"/>
    <s v="lunes"/>
    <s v=" Abierto"/>
    <x v="2"/>
    <x v="32"/>
    <s v="-"/>
    <n v="4.5250000953674299"/>
    <n v="2645.80004882812"/>
    <x v="826"/>
    <n v="34253562610"/>
    <n v="-0.93"/>
  </r>
  <r>
    <x v="827"/>
    <s v="oct/24"/>
    <d v="2024-10-08T00:00:00"/>
    <s v="martes"/>
    <s v=" Abierto"/>
    <x v="1"/>
    <x v="40"/>
    <s v="-"/>
    <n v="4.5279998779296804"/>
    <n v="2644.80004882812"/>
    <x v="827"/>
    <n v="28134475157"/>
    <n v="-0.17"/>
  </r>
  <r>
    <x v="828"/>
    <s v="oct/24"/>
    <d v="2024-10-09T00:00:00"/>
    <s v="miércoles"/>
    <s v=" Abierto"/>
    <x v="1"/>
    <x v="40"/>
    <s v="-"/>
    <n v="4.5349998474120996"/>
    <n v="2615"/>
    <x v="828"/>
    <n v="27670982363"/>
    <n v="-2.4900000000000002"/>
  </r>
  <r>
    <x v="829"/>
    <s v="oct/24"/>
    <d v="2024-10-10T00:00:00"/>
    <s v="jueves"/>
    <s v=" Abierto"/>
    <x v="1"/>
    <x v="16"/>
    <s v="-"/>
    <n v="4.5300002098083496"/>
    <n v="2606"/>
    <x v="829"/>
    <n v="30452813570"/>
    <n v="-0.51"/>
  </r>
  <r>
    <x v="830"/>
    <s v="oct/24"/>
    <d v="2024-10-11T00:00:00"/>
    <s v="viernes"/>
    <s v=" Abierto"/>
    <x v="1"/>
    <x v="15"/>
    <s v="-"/>
    <n v="4.5149998664855904"/>
    <n v="2620.60009765625"/>
    <x v="830"/>
    <n v="30327141594"/>
    <n v="3.6"/>
  </r>
  <r>
    <x v="831"/>
    <s v="oct/24"/>
    <d v="2024-10-12T00:00:00"/>
    <s v="sábado"/>
    <s v="Cerrado"/>
    <x v="1"/>
    <x v="40"/>
    <s v="-"/>
    <n v="4.5149998664855904"/>
    <n v="2657.60009765625"/>
    <x v="831"/>
    <n v="16744110886"/>
    <n v="1.2"/>
  </r>
  <r>
    <x v="832"/>
    <s v="oct/24"/>
    <d v="2024-10-13T00:00:00"/>
    <s v="domingo"/>
    <s v="Cerrado"/>
    <x v="2"/>
    <x v="32"/>
    <s v="-"/>
    <n v="4.5149998664855904"/>
    <n v="2620.60009765625"/>
    <x v="832"/>
    <n v="18177529690"/>
    <n v="-0.54"/>
  </r>
  <r>
    <x v="833"/>
    <s v="oct/24"/>
    <d v="2024-10-14T00:00:00"/>
    <s v="lunes"/>
    <s v=" Abierto"/>
    <x v="1"/>
    <x v="39"/>
    <s v="-"/>
    <n v="4.5180001258850098"/>
    <n v="2657.60009765625"/>
    <x v="833"/>
    <n v="43706958056"/>
    <n v="5.08"/>
  </r>
  <r>
    <x v="834"/>
    <s v="oct/24"/>
    <d v="2024-10-15T00:00:00"/>
    <s v="martes"/>
    <s v=" Abierto"/>
    <x v="2"/>
    <x v="48"/>
    <s v="-"/>
    <n v="4.5149998664855904"/>
    <n v="2647.80004882812"/>
    <x v="834"/>
    <n v="48863870879"/>
    <n v="1.51"/>
  </r>
  <r>
    <x v="835"/>
    <s v="oct/24"/>
    <d v="2024-10-16T00:00:00"/>
    <s v="miércoles"/>
    <s v=" Abierto"/>
    <x v="2"/>
    <x v="56"/>
    <s v="-"/>
    <n v="4.5029997825622496"/>
    <n v="2661.39990234375"/>
    <x v="835"/>
    <n v="38195189534"/>
    <n v="0.85"/>
  </r>
  <r>
    <x v="836"/>
    <s v="oct/24"/>
    <d v="2024-10-17T00:00:00"/>
    <s v="jueves"/>
    <s v=" Abierto"/>
    <x v="2"/>
    <x v="53"/>
    <s v="-"/>
    <n v="4.5149998664855904"/>
    <n v="2674"/>
    <x v="836"/>
    <n v="32790898511"/>
    <n v="-0.31"/>
  </r>
  <r>
    <x v="837"/>
    <s v="oct/24"/>
    <d v="2024-10-18T00:00:00"/>
    <s v="viernes"/>
    <s v=" Abierto"/>
    <x v="2"/>
    <x v="56"/>
    <s v="-"/>
    <n v="4.51300001144409"/>
    <n v="2691"/>
    <x v="837"/>
    <n v="36857165014"/>
    <n v="1.51"/>
  </r>
  <r>
    <x v="838"/>
    <s v="oct/24"/>
    <d v="2024-10-19T00:00:00"/>
    <s v="sábado"/>
    <s v="Cerrado"/>
    <x v="2"/>
    <x v="52"/>
    <s v="-"/>
    <n v="4.51300001144409"/>
    <n v="2713.69995117187"/>
    <x v="838"/>
    <n v="14443497908"/>
    <n v="-0.08"/>
  </r>
  <r>
    <x v="839"/>
    <s v="oct/24"/>
    <d v="2024-10-20T00:00:00"/>
    <s v="domingo"/>
    <s v="Cerrado"/>
    <x v="2"/>
    <x v="56"/>
    <s v="-"/>
    <n v="4.51300001144409"/>
    <n v="2691"/>
    <x v="839"/>
    <n v="18975847518"/>
    <n v="0.93"/>
  </r>
  <r>
    <x v="840"/>
    <s v="oct/24"/>
    <d v="2024-10-21T00:00:00"/>
    <s v="lunes"/>
    <s v=" Abierto"/>
    <x v="2"/>
    <x v="52"/>
    <s v="-"/>
    <n v="4.5180001258850098"/>
    <n v="2713.69995117187"/>
    <x v="840"/>
    <n v="37498611780"/>
    <n v="-2.37"/>
  </r>
  <r>
    <x v="841"/>
    <s v="oct/24"/>
    <d v="2024-10-22T00:00:00"/>
    <s v="martes"/>
    <s v=" Abierto"/>
    <x v="2"/>
    <x v="54"/>
    <s v="-"/>
    <n v="4.5"/>
    <n v="2723.10009765625"/>
    <x v="841"/>
    <n v="31808472566"/>
    <n v="-0.01"/>
  </r>
  <r>
    <x v="842"/>
    <s v="oct/24"/>
    <d v="2024-10-23T00:00:00"/>
    <s v="miércoles"/>
    <s v=" Abierto"/>
    <x v="2"/>
    <x v="53"/>
    <s v="-"/>
    <n v="4.50500011444091"/>
    <n v="2744.19995117187"/>
    <x v="842"/>
    <n v="32263980353"/>
    <n v="-1.38"/>
  </r>
  <r>
    <x v="843"/>
    <s v="oct/24"/>
    <d v="2024-10-24T00:00:00"/>
    <s v="jueves"/>
    <s v=" Abierto"/>
    <x v="2"/>
    <x v="49"/>
    <s v="-"/>
    <n v="4.4869999885559002"/>
    <n v="2714.39990234375"/>
    <x v="843"/>
    <n v="31414428647"/>
    <n v="2.6"/>
  </r>
  <r>
    <x v="844"/>
    <s v="oct/24"/>
    <d v="2024-10-25T00:00:00"/>
    <s v="viernes"/>
    <s v=" Abierto"/>
    <x v="2"/>
    <x v="52"/>
    <n v="17"/>
    <n v="4.5100002288818297"/>
    <n v="2734.89990234375"/>
    <x v="844"/>
    <n v="41469984306"/>
    <n v="-2.23"/>
  </r>
  <r>
    <x v="845"/>
    <s v="oct/24"/>
    <d v="2024-10-26T00:00:00"/>
    <s v="sábado"/>
    <s v="Cerrado"/>
    <x v="2"/>
    <x v="56"/>
    <s v="-"/>
    <n v="4.5100002288818297"/>
    <n v="2740.89990234375"/>
    <x v="845"/>
    <n v="19588098156"/>
    <n v="0.56000000000000005"/>
  </r>
  <r>
    <x v="846"/>
    <s v="oct/24"/>
    <d v="2024-10-27T00:00:00"/>
    <s v="domingo"/>
    <s v="Cerrado"/>
    <x v="2"/>
    <x v="55"/>
    <s v="-"/>
    <n v="4.5100002288818297"/>
    <n v="2734.89990234375"/>
    <x v="846"/>
    <n v="16721307878"/>
    <n v="1.36"/>
  </r>
  <r>
    <x v="847"/>
    <s v="oct/24"/>
    <d v="2024-10-28T00:00:00"/>
    <s v="lunes"/>
    <s v=" Abierto"/>
    <x v="2"/>
    <x v="52"/>
    <s v="-"/>
    <n v="4.4819998741149902"/>
    <n v="2740.89990234375"/>
    <x v="847"/>
    <n v="38799856657"/>
    <n v="2.91"/>
  </r>
  <r>
    <x v="848"/>
    <s v="oct/24"/>
    <d v="2024-10-29T00:00:00"/>
    <s v="martes"/>
    <s v=" Abierto"/>
    <x v="2"/>
    <x v="52"/>
    <s v="-"/>
    <n v="4.4800000190734801"/>
    <n v="2742.89990234375"/>
    <x v="848"/>
    <n v="58541874402"/>
    <n v="4.0199999999999996"/>
  </r>
  <r>
    <x v="849"/>
    <s v="oct/24"/>
    <d v="2024-10-30T00:00:00"/>
    <s v="miércoles"/>
    <s v=" Abierto"/>
    <x v="3"/>
    <x v="69"/>
    <s v="-"/>
    <n v="4.4629998207092196"/>
    <n v="2768.39990234375"/>
    <x v="849"/>
    <n v="40646637831"/>
    <n v="-0.52"/>
  </r>
  <r>
    <x v="850"/>
    <s v="oct/24"/>
    <d v="2024-10-31T00:00:00"/>
    <s v="jueves"/>
    <s v=" Abierto"/>
    <x v="3"/>
    <x v="69"/>
    <s v="-"/>
    <n v="4.4320001602172798"/>
    <n v="2788.5"/>
    <x v="850"/>
    <n v="40627912076"/>
    <n v="-2.94"/>
  </r>
  <r>
    <x v="851"/>
    <s v="nov/24"/>
    <d v="2024-11-01T00:00:00"/>
    <s v="viernes"/>
    <s v=" Abierto"/>
    <x v="3"/>
    <x v="57"/>
    <s v="-"/>
    <n v="4.4000000953674299"/>
    <n v="2738.30004882812"/>
    <x v="851"/>
    <n v="49989795365"/>
    <n v="-1.04"/>
  </r>
  <r>
    <x v="852"/>
    <s v="nov/24"/>
    <d v="2024-11-02T00:00:00"/>
    <s v="sábado"/>
    <s v="Cerrado"/>
    <x v="2"/>
    <x v="52"/>
    <s v="-"/>
    <n v="4.4000000953674299"/>
    <n v="2738.60009765625"/>
    <x v="852"/>
    <n v="18184612091"/>
    <n v="-0.28000000000000003"/>
  </r>
  <r>
    <x v="853"/>
    <s v="nov/24"/>
    <d v="2024-11-03T00:00:00"/>
    <s v="domingo"/>
    <s v="Cerrado"/>
    <x v="2"/>
    <x v="55"/>
    <s v="-"/>
    <n v="4.4000000953674299"/>
    <n v="2738.30004882812"/>
    <x v="853"/>
    <n v="34868307655"/>
    <n v="-0.79"/>
  </r>
  <r>
    <x v="854"/>
    <s v="nov/24"/>
    <d v="2024-11-04T00:00:00"/>
    <s v="lunes"/>
    <s v=" Abierto"/>
    <x v="2"/>
    <x v="54"/>
    <s v="-"/>
    <n v="4.4180002212524396"/>
    <n v="2738.60009765625"/>
    <x v="854"/>
    <n v="41184819348"/>
    <n v="-1.35"/>
  </r>
  <r>
    <x v="855"/>
    <s v="nov/24"/>
    <d v="2024-11-05T00:00:00"/>
    <s v="martes"/>
    <s v=" Abierto"/>
    <x v="2"/>
    <x v="54"/>
    <s v="-"/>
    <n v="4.4229998588562003"/>
    <n v="2736.10009765625"/>
    <x v="855"/>
    <n v="46046889204"/>
    <n v="2.2799999999999998"/>
  </r>
  <r>
    <x v="856"/>
    <s v="nov/24"/>
    <d v="2024-11-06T00:00:00"/>
    <s v="miércoles"/>
    <s v=" Abierto"/>
    <x v="2"/>
    <x v="54"/>
    <s v="-"/>
    <n v="4.4299998283386204"/>
    <n v="2740.30004882812"/>
    <x v="856"/>
    <n v="118592653963"/>
    <n v="9.0500000000000007"/>
  </r>
  <r>
    <x v="857"/>
    <s v="nov/24"/>
    <d v="2024-11-07T00:00:00"/>
    <s v="jueves"/>
    <s v=" Abierto"/>
    <x v="3"/>
    <x v="69"/>
    <s v="-"/>
    <n v="4.42000007629394"/>
    <n v="2667.60009765625"/>
    <x v="857"/>
    <n v="63467654989"/>
    <n v="0.35"/>
  </r>
  <r>
    <x v="858"/>
    <s v="nov/24"/>
    <d v="2024-11-08T00:00:00"/>
    <s v="viernes"/>
    <s v=" Abierto"/>
    <x v="3"/>
    <x v="57"/>
    <s v="-"/>
    <n v="4.4229998588562003"/>
    <n v="2698.39990234375"/>
    <x v="858"/>
    <n v="55176858003"/>
    <n v="0.84"/>
  </r>
  <r>
    <x v="859"/>
    <s v="nov/24"/>
    <d v="2024-11-09T00:00:00"/>
    <s v="sábado"/>
    <s v="Cerrado"/>
    <x v="3"/>
    <x v="57"/>
    <s v="-"/>
    <n v="4.4229998588562003"/>
    <n v="2687.5"/>
    <x v="859"/>
    <n v="29009480361"/>
    <n v="0.3"/>
  </r>
  <r>
    <x v="860"/>
    <s v="nov/24"/>
    <d v="2024-11-10T00:00:00"/>
    <s v="domingo"/>
    <s v="Cerrado"/>
    <x v="3"/>
    <x v="61"/>
    <s v="-"/>
    <n v="4.4229998588562003"/>
    <n v="2698.39990234375"/>
    <x v="860"/>
    <n v="82570594495"/>
    <n v="4.8099999999999996"/>
  </r>
  <r>
    <x v="861"/>
    <s v="nov/24"/>
    <d v="2024-11-11T00:00:00"/>
    <s v="lunes"/>
    <s v=" Abierto"/>
    <x v="3"/>
    <x v="59"/>
    <s v="-"/>
    <n v="4.4149999618530202"/>
    <n v="2687.5"/>
    <x v="861"/>
    <n v="117966845037"/>
    <n v="10.220000000000001"/>
  </r>
  <r>
    <x v="862"/>
    <s v="nov/24"/>
    <d v="2024-11-12T00:00:00"/>
    <s v="martes"/>
    <s v=" Abierto"/>
    <x v="3"/>
    <x v="63"/>
    <s v="-"/>
    <n v="4.4229998588562003"/>
    <n v="2611.19995117187"/>
    <x v="862"/>
    <n v="133673285375"/>
    <n v="-0.84"/>
  </r>
  <r>
    <x v="863"/>
    <s v="nov/24"/>
    <d v="2024-11-13T00:00:00"/>
    <s v="miércoles"/>
    <s v=" Abierto"/>
    <x v="3"/>
    <x v="67"/>
    <s v="-"/>
    <n v="4.3899998664855904"/>
    <n v="2600"/>
    <x v="863"/>
    <n v="123559027869"/>
    <n v="2.99"/>
  </r>
  <r>
    <x v="864"/>
    <s v="nov/24"/>
    <d v="2024-11-14T00:00:00"/>
    <s v="jueves"/>
    <s v=" Abierto"/>
    <x v="3"/>
    <x v="68"/>
    <s v="-"/>
    <n v="4.3829998970031703"/>
    <n v="2580.80004882812"/>
    <x v="864"/>
    <n v="87616705248"/>
    <n v="-3.68"/>
  </r>
  <r>
    <x v="865"/>
    <s v="nov/24"/>
    <d v="2024-11-15T00:00:00"/>
    <s v="viernes"/>
    <s v=" Abierto"/>
    <x v="3"/>
    <x v="63"/>
    <s v="-"/>
    <n v="4.3930001258850098"/>
    <n v="2568.19995117187"/>
    <x v="865"/>
    <n v="78243109518"/>
    <n v="4.37"/>
  </r>
  <r>
    <x v="866"/>
    <s v="nov/24"/>
    <d v="2024-11-16T00:00:00"/>
    <s v="sábado"/>
    <s v="Cerrado"/>
    <x v="3"/>
    <x v="71"/>
    <s v="-"/>
    <n v="4.3930001258850098"/>
    <n v="2565.69995117187"/>
    <x v="866"/>
    <n v="44333192814"/>
    <n v="-0.56000000000000005"/>
  </r>
  <r>
    <x v="867"/>
    <s v="nov/24"/>
    <d v="2024-11-17T00:00:00"/>
    <s v="domingo"/>
    <s v="Cerrado"/>
    <x v="3"/>
    <x v="65"/>
    <s v="-"/>
    <n v="4.3930001258850098"/>
    <n v="2568.19995117187"/>
    <x v="867"/>
    <n v="46350159305"/>
    <n v="-0.79"/>
  </r>
  <r>
    <x v="868"/>
    <s v="nov/24"/>
    <d v="2024-11-18T00:00:00"/>
    <s v="lunes"/>
    <s v=" Abierto"/>
    <x v="3"/>
    <x v="64"/>
    <s v="-"/>
    <n v="4.4029998779296804"/>
    <n v="2565.69995117187"/>
    <x v="868"/>
    <n v="75535775084"/>
    <n v="0.78"/>
  </r>
  <r>
    <x v="869"/>
    <s v="nov/24"/>
    <d v="2024-11-19T00:00:00"/>
    <s v="martes"/>
    <s v=" Abierto"/>
    <x v="3"/>
    <x v="65"/>
    <s v="-"/>
    <n v="4.4079999923706001"/>
    <n v="2610.60009765625"/>
    <x v="869"/>
    <n v="74521048295"/>
    <n v="1.99"/>
  </r>
  <r>
    <x v="870"/>
    <s v="nov/24"/>
    <d v="2024-11-20T00:00:00"/>
    <s v="miércoles"/>
    <s v=" Abierto"/>
    <x v="3"/>
    <x v="64"/>
    <s v="-"/>
    <n v="4.4099998474120996"/>
    <n v="2627.10009765625"/>
    <x v="870"/>
    <n v="71730956426"/>
    <n v="2.16"/>
  </r>
  <r>
    <x v="871"/>
    <s v="nov/24"/>
    <d v="2024-11-21T00:00:00"/>
    <s v="jueves"/>
    <s v=" Abierto"/>
    <x v="3"/>
    <x v="62"/>
    <s v="-"/>
    <n v="4.4130001068115199"/>
    <n v="2648.19995117187"/>
    <x v="871"/>
    <n v="106024505582"/>
    <n v="4.42"/>
  </r>
  <r>
    <x v="872"/>
    <s v="nov/24"/>
    <d v="2024-11-22T00:00:00"/>
    <s v="viernes"/>
    <s v=" Abierto"/>
    <x v="3"/>
    <x v="72"/>
    <s v="-"/>
    <n v="4.4149999618530202"/>
    <n v="2672.10009765625"/>
    <x v="872"/>
    <n v="78473580551"/>
    <n v="0.5"/>
  </r>
  <r>
    <x v="873"/>
    <s v="nov/24"/>
    <d v="2024-11-23T00:00:00"/>
    <s v="sábado"/>
    <s v="Cerrado"/>
    <x v="3"/>
    <x v="73"/>
    <s v="-"/>
    <n v="4.4149999618530202"/>
    <n v="2709.89990234375"/>
    <x v="873"/>
    <n v="44414644677"/>
    <n v="-1.23"/>
  </r>
  <r>
    <x v="874"/>
    <s v="nov/24"/>
    <d v="2024-11-24T00:00:00"/>
    <s v="domingo"/>
    <s v="Cerrado"/>
    <x v="3"/>
    <x v="63"/>
    <s v="-"/>
    <n v="4.4149999618530202"/>
    <n v="2672.10009765625"/>
    <x v="874"/>
    <n v="51712020623"/>
    <n v="0.24"/>
  </r>
  <r>
    <x v="875"/>
    <s v="nov/24"/>
    <d v="2024-11-25T00:00:00"/>
    <s v="lunes"/>
    <s v=" Abierto"/>
    <x v="3"/>
    <x v="62"/>
    <s v="-"/>
    <n v="4.4050002098083496"/>
    <n v="2709.89990234375"/>
    <x v="875"/>
    <n v="80909462490"/>
    <n v="-5.01"/>
  </r>
  <r>
    <x v="876"/>
    <s v="nov/24"/>
    <d v="2024-11-26T00:00:00"/>
    <s v="martes"/>
    <s v=" Abierto"/>
    <x v="3"/>
    <x v="60"/>
    <s v="-"/>
    <n v="4.3949999809265101"/>
    <n v="2616.80004882812"/>
    <x v="876"/>
    <n v="91656519855"/>
    <n v="-1.2"/>
  </r>
  <r>
    <x v="877"/>
    <s v="nov/24"/>
    <d v="2024-11-27T00:00:00"/>
    <s v="miércoles"/>
    <s v=" Abierto"/>
    <x v="3"/>
    <x v="57"/>
    <s v="-"/>
    <n v="4.3850002288818297"/>
    <n v="2620.30004882812"/>
    <x v="877"/>
    <n v="71133452438"/>
    <n v="4.32"/>
  </r>
  <r>
    <x v="878"/>
    <s v="nov/24"/>
    <d v="2024-11-28T00:00:00"/>
    <s v="jueves"/>
    <s v=" Abierto"/>
    <x v="3"/>
    <x v="69"/>
    <s v="-"/>
    <n v="4.3850002288818297"/>
    <n v="2639.89990234375"/>
    <x v="878"/>
    <n v="52260008261"/>
    <n v="-0.32"/>
  </r>
  <r>
    <x v="879"/>
    <s v="nov/24"/>
    <d v="2024-11-29T00:00:00"/>
    <s v="viernes"/>
    <s v=" Abierto"/>
    <x v="3"/>
    <x v="61"/>
    <s v="-"/>
    <n v="4.3730001449584899"/>
    <n v="2620.30004882812"/>
    <x v="879"/>
    <n v="54968682476"/>
    <n v="1.89"/>
  </r>
  <r>
    <x v="880"/>
    <s v="nov/24"/>
    <d v="2024-11-30T00:00:00"/>
    <s v="sábado"/>
    <s v="Cerrado"/>
    <x v="3"/>
    <x v="67"/>
    <s v="-"/>
    <n v="4.3730001449584899"/>
    <n v="2657"/>
    <x v="880"/>
    <n v="31634227866"/>
    <n v="-1.04"/>
  </r>
  <r>
    <x v="881"/>
    <s v="dic/24"/>
    <d v="2024-12-01T00:00:00"/>
    <s v="domingo"/>
    <s v="Cerrado"/>
    <x v="3"/>
    <x v="66"/>
    <s v="-"/>
    <n v="4.3730001449584899"/>
    <n v="2620.30004882812"/>
    <x v="881"/>
    <n v="36590695296"/>
    <n v="0.86"/>
  </r>
  <r>
    <x v="882"/>
    <s v="dic/24"/>
    <d v="2024-12-02T00:00:00"/>
    <s v="lunes"/>
    <s v=" Abierto"/>
    <x v="3"/>
    <x v="63"/>
    <s v="-"/>
    <n v="4.38000011444091"/>
    <n v="2657"/>
    <x v="882"/>
    <n v="72680784305"/>
    <n v="-1.45"/>
  </r>
  <r>
    <x v="883"/>
    <s v="dic/24"/>
    <d v="2024-12-03T00:00:00"/>
    <s v="martes"/>
    <s v=" Abierto"/>
    <x v="3"/>
    <x v="59"/>
    <s v="-"/>
    <n v="4.3569998741149902"/>
    <n v="2634.89990234375"/>
    <x v="883"/>
    <n v="67067810961"/>
    <n v="0.14000000000000001"/>
  </r>
  <r>
    <x v="884"/>
    <s v="dic/24"/>
    <d v="2024-12-04T00:00:00"/>
    <s v="miércoles"/>
    <s v=" Abierto"/>
    <x v="3"/>
    <x v="61"/>
    <s v="-"/>
    <n v="4.3449997901916504"/>
    <n v="2644.69995117187"/>
    <x v="884"/>
    <n v="77199817112"/>
    <n v="2.88"/>
  </r>
  <r>
    <x v="885"/>
    <s v="dic/24"/>
    <d v="2024-12-05T00:00:00"/>
    <s v="jueves"/>
    <s v=" Abierto"/>
    <x v="3"/>
    <x v="67"/>
    <s v="-"/>
    <n v="4.3299999237060502"/>
    <n v="2653.80004882812"/>
    <x v="885"/>
    <n v="149218945580"/>
    <n v="-2.2000000000000002"/>
  </r>
  <r>
    <x v="886"/>
    <s v="dic/24"/>
    <d v="2024-12-06T00:00:00"/>
    <s v="viernes"/>
    <s v=" Abierto"/>
    <x v="2"/>
    <x v="52"/>
    <s v="-"/>
    <n v="4.29500007629394"/>
    <n v="2626.60009765625"/>
    <x v="886"/>
    <n v="94534772658"/>
    <n v="3.44"/>
  </r>
  <r>
    <x v="887"/>
    <s v="dic/24"/>
    <d v="2024-12-07T00:00:00"/>
    <s v="sábado"/>
    <s v="Cerrado"/>
    <x v="3"/>
    <x v="57"/>
    <s v="-"/>
    <n v="4.29500007629394"/>
    <n v="2638.60009765625"/>
    <x v="887"/>
    <n v="44177510897"/>
    <n v="0"/>
  </r>
  <r>
    <x v="888"/>
    <s v="dic/24"/>
    <d v="2024-12-08T00:00:00"/>
    <s v="domingo"/>
    <s v="Cerrado"/>
    <x v="3"/>
    <x v="60"/>
    <s v="-"/>
    <n v="4.29500007629394"/>
    <n v="2626.60009765625"/>
    <x v="888"/>
    <n v="44125751925"/>
    <n v="1.31"/>
  </r>
  <r>
    <x v="889"/>
    <s v="dic/24"/>
    <d v="2024-12-09T00:00:00"/>
    <s v="lunes"/>
    <s v=" Abierto"/>
    <x v="3"/>
    <x v="61"/>
    <s v="-"/>
    <n v="4.2930002212524396"/>
    <n v="2638.60009765625"/>
    <x v="889"/>
    <n v="110676473908"/>
    <n v="-3.76"/>
  </r>
  <r>
    <x v="890"/>
    <s v="dic/24"/>
    <d v="2024-12-10T00:00:00"/>
    <s v="martes"/>
    <s v=" Abierto"/>
    <x v="3"/>
    <x v="61"/>
    <s v="-"/>
    <n v="4.2849998474120996"/>
    <n v="2664.89990234375"/>
    <x v="890"/>
    <n v="104823780634"/>
    <n v="-0.78"/>
  </r>
  <r>
    <x v="891"/>
    <s v="dic/24"/>
    <d v="2024-12-11T00:00:00"/>
    <s v="miércoles"/>
    <s v=" Abierto"/>
    <x v="2"/>
    <x v="55"/>
    <s v="-"/>
    <n v="4.25500011444091"/>
    <n v="2697.60009765625"/>
    <x v="891"/>
    <n v="85391409936"/>
    <n v="4.6500000000000004"/>
  </r>
  <r>
    <x v="892"/>
    <s v="dic/24"/>
    <d v="2024-12-12T00:00:00"/>
    <s v="jueves"/>
    <s v=" Abierto"/>
    <x v="3"/>
    <x v="64"/>
    <s v="-"/>
    <n v="4.22300004959106"/>
    <n v="2733.80004882812"/>
    <x v="892"/>
    <n v="72073983533"/>
    <n v="-1.1200000000000001"/>
  </r>
  <r>
    <x v="893"/>
    <s v="dic/24"/>
    <d v="2024-12-13T00:00:00"/>
    <s v="viernes"/>
    <s v=" Abierto"/>
    <x v="3"/>
    <x v="59"/>
    <s v="-"/>
    <n v="4.2179999351501403"/>
    <n v="2687.5"/>
    <x v="893"/>
    <n v="56894751583"/>
    <n v="1.42"/>
  </r>
  <r>
    <x v="894"/>
    <s v="dic/24"/>
    <d v="2024-12-14T00:00:00"/>
    <s v="sábado"/>
    <s v="Cerrado"/>
    <x v="3"/>
    <x v="64"/>
    <s v="-"/>
    <n v="4.2179999351501403"/>
    <n v="2656"/>
    <x v="894"/>
    <n v="40422968793"/>
    <n v="-0.09"/>
  </r>
  <r>
    <x v="895"/>
    <s v="dic/24"/>
    <d v="2024-12-15T00:00:00"/>
    <s v="domingo"/>
    <s v="Cerrado"/>
    <x v="3"/>
    <x v="63"/>
    <s v="-"/>
    <n v="4.2179999351501403"/>
    <n v="2687.5"/>
    <x v="895"/>
    <n v="51145914137"/>
    <n v="2.89"/>
  </r>
  <r>
    <x v="896"/>
    <s v="dic/24"/>
    <d v="2024-12-16T00:00:00"/>
    <s v="lunes"/>
    <s v=" Abierto"/>
    <x v="3"/>
    <x v="64"/>
    <s v="-"/>
    <n v="4.2280001640319798"/>
    <n v="2656"/>
    <x v="896"/>
    <n v="91020417816"/>
    <n v="1.66"/>
  </r>
  <r>
    <x v="897"/>
    <s v="dic/24"/>
    <d v="2024-12-17T00:00:00"/>
    <s v="martes"/>
    <s v=" Abierto"/>
    <x v="3"/>
    <x v="74"/>
    <s v="-"/>
    <n v="4.2399997711181596"/>
    <n v="2651.39990234375"/>
    <x v="897"/>
    <n v="68589364868"/>
    <n v="0.1"/>
  </r>
  <r>
    <x v="898"/>
    <s v="dic/24"/>
    <d v="2024-12-18T00:00:00"/>
    <s v="miércoles"/>
    <s v=" Abierto"/>
    <x v="3"/>
    <x v="66"/>
    <s v="-"/>
    <n v="4.2319998741149902"/>
    <n v="2644.39990234375"/>
    <x v="898"/>
    <n v="93865656139"/>
    <n v="-5.75"/>
  </r>
  <r>
    <x v="899"/>
    <s v="dic/24"/>
    <d v="2024-12-19T00:00:00"/>
    <s v="jueves"/>
    <s v=" Abierto"/>
    <x v="3"/>
    <x v="57"/>
    <s v="-"/>
    <n v="4.2199997901916504"/>
    <n v="2636.5"/>
    <x v="899"/>
    <n v="97221662392"/>
    <n v="-2.5499999999999998"/>
  </r>
  <r>
    <x v="900"/>
    <s v="dic/24"/>
    <d v="2024-12-20T00:00:00"/>
    <s v="viernes"/>
    <s v=" Abierto"/>
    <x v="2"/>
    <x v="55"/>
    <s v="-"/>
    <n v="4.2150001525878897"/>
    <n v="2592.19995117187"/>
    <x v="900"/>
    <n v="105634083408"/>
    <n v="0.27"/>
  </r>
  <r>
    <x v="901"/>
    <s v="dic/24"/>
    <d v="2024-12-21T00:00:00"/>
    <s v="sábado"/>
    <s v="Cerrado"/>
    <x v="2"/>
    <x v="56"/>
    <s v="-"/>
    <n v="4.2150001525878897"/>
    <n v="2628.69995117187"/>
    <x v="901"/>
    <n v="51765334294"/>
    <n v="-0.54"/>
  </r>
  <r>
    <x v="902"/>
    <s v="dic/24"/>
    <d v="2024-12-22T00:00:00"/>
    <s v="domingo"/>
    <s v="Cerrado"/>
    <x v="2"/>
    <x v="56"/>
    <s v="-"/>
    <n v="4.2150001525878897"/>
    <n v="2592.19995117187"/>
    <x v="902"/>
    <n v="43147981314"/>
    <n v="-2.1800000000000002"/>
  </r>
  <r>
    <x v="903"/>
    <s v="dic/24"/>
    <d v="2024-12-23T00:00:00"/>
    <s v="lunes"/>
    <s v=" Abierto"/>
    <x v="2"/>
    <x v="54"/>
    <s v="-"/>
    <n v="4.2150001525878897"/>
    <n v="2628.69995117187"/>
    <x v="903"/>
    <n v="65239002919"/>
    <n v="-0.44"/>
  </r>
  <r>
    <x v="904"/>
    <s v="dic/24"/>
    <d v="2024-12-24T00:00:00"/>
    <s v="martes"/>
    <s v=" Abierto"/>
    <x v="2"/>
    <x v="56"/>
    <s v="-"/>
    <n v="4.1999998092651296"/>
    <n v="2612.30004882812"/>
    <x v="904"/>
    <n v="47114953674"/>
    <n v="4.21"/>
  </r>
  <r>
    <x v="905"/>
    <s v="dic/24"/>
    <d v="2024-12-25T00:00:00"/>
    <s v="miércoles"/>
    <s v=" Abierto"/>
    <x v="2"/>
    <x v="56"/>
    <s v="-"/>
    <n v="4.1999998092651296"/>
    <n v="2620"/>
    <x v="905"/>
    <n v="33700394629"/>
    <n v="0.63"/>
  </r>
  <r>
    <x v="906"/>
    <s v="dic/24"/>
    <d v="2024-12-26T00:00:00"/>
    <s v="jueves"/>
    <s v=" Abierto"/>
    <x v="3"/>
    <x v="60"/>
    <s v="-"/>
    <n v="4.2150001525878897"/>
    <n v="2612.30004882812"/>
    <x v="906"/>
    <n v="47054980873"/>
    <n v="-3.53"/>
  </r>
  <r>
    <x v="907"/>
    <s v="dic/24"/>
    <d v="2024-12-27T00:00:00"/>
    <s v="viernes"/>
    <s v=" Abierto"/>
    <x v="2"/>
    <x v="55"/>
    <s v="-"/>
    <n v="4.1779999732971103"/>
    <n v="2638.80004882812"/>
    <x v="907"/>
    <n v="52419934565"/>
    <n v="-1.7"/>
  </r>
  <r>
    <x v="908"/>
    <s v="dic/24"/>
    <d v="2024-12-28T00:00:00"/>
    <s v="sábado"/>
    <s v="Cerrado"/>
    <x v="2"/>
    <x v="52"/>
    <s v="-"/>
    <n v="4.1779999732971103"/>
    <n v="2617.19995117187"/>
    <x v="908"/>
    <n v="24107436185"/>
    <n v="1.06"/>
  </r>
  <r>
    <x v="909"/>
    <s v="dic/24"/>
    <d v="2024-12-29T00:00:00"/>
    <s v="domingo"/>
    <s v="Cerrado"/>
    <x v="2"/>
    <x v="56"/>
    <s v="-"/>
    <n v="4.1779999732971103"/>
    <n v="2638.80004882812"/>
    <x v="909"/>
    <n v="29635885267"/>
    <n v="-1.72"/>
  </r>
  <r>
    <x v="910"/>
    <s v="dic/24"/>
    <d v="2024-12-30T00:00:00"/>
    <s v="lunes"/>
    <s v=" Abierto"/>
    <x v="2"/>
    <x v="48"/>
    <s v="-"/>
    <n v="4.1820001602172798"/>
    <n v="2617.19995117187"/>
    <x v="910"/>
    <n v="56188003691"/>
    <n v="-0.95"/>
  </r>
  <r>
    <x v="911"/>
    <s v="dic/24"/>
    <d v="2024-12-31T00:00:00"/>
    <s v="martes"/>
    <s v=" Abierto"/>
    <x v="2"/>
    <x v="43"/>
    <s v="-"/>
    <n v="4.2080001831054599"/>
    <n v="2606.10009765625"/>
    <x v="911"/>
    <n v="43625106843"/>
    <n v="0.85"/>
  </r>
  <r>
    <x v="912"/>
    <s v="ene/25"/>
    <d v="2025-01-01T00:00:00"/>
    <s v="miércoles"/>
    <s v=" Abierto"/>
    <x v="2"/>
    <x v="45"/>
    <s v="-"/>
    <n v="4.2080001831054599"/>
    <n v="2629.19995117187"/>
    <x v="912"/>
    <n v="24519888919"/>
    <n v="1.06"/>
  </r>
  <r>
    <x v="913"/>
    <s v="ene/25"/>
    <d v="2025-01-02T00:00:00"/>
    <s v="jueves"/>
    <s v=" Abierto"/>
    <x v="2"/>
    <x v="54"/>
    <s v="-"/>
    <n v="4.2080001831054599"/>
    <n v="2606.10009765625"/>
    <x v="913"/>
    <n v="46009564411"/>
    <n v="2.61"/>
  </r>
  <r>
    <x v="914"/>
    <s v="ene/25"/>
    <d v="2025-01-03T00:00:00"/>
    <s v="viernes"/>
    <s v=" Abierto"/>
    <x v="2"/>
    <x v="55"/>
    <s v="-"/>
    <n v="4.1929998397827104"/>
    <n v="2658.89990234375"/>
    <x v="914"/>
    <n v="35611391163"/>
    <n v="1.26"/>
  </r>
  <r>
    <x v="915"/>
    <s v="ene/25"/>
    <d v="2025-01-04T00:00:00"/>
    <s v="sábado"/>
    <s v="Cerrado"/>
    <x v="2"/>
    <x v="56"/>
    <s v="-"/>
    <n v="4.1929998397827104"/>
    <n v="2645"/>
    <x v="915"/>
    <n v="22342608078"/>
    <n v="0.13"/>
  </r>
  <r>
    <x v="916"/>
    <s v="ene/25"/>
    <d v="2025-01-05T00:00:00"/>
    <s v="domingo"/>
    <s v="Cerrado"/>
    <x v="2"/>
    <x v="52"/>
    <n v="18"/>
    <n v="4.1929998397827104"/>
    <n v="2658.89990234375"/>
    <x v="916"/>
    <n v="20525254825"/>
    <n v="0.08"/>
  </r>
  <r>
    <x v="917"/>
    <s v="ene/25"/>
    <d v="2025-01-06T00:00:00"/>
    <s v="lunes"/>
    <s v=" Abierto"/>
    <x v="3"/>
    <x v="59"/>
    <s v="-"/>
    <n v="4.1900000572204501"/>
    <n v="2645"/>
    <x v="917"/>
    <n v="51823432705"/>
    <n v="3.83"/>
  </r>
  <r>
    <x v="918"/>
    <s v="ene/25"/>
    <d v="2025-01-07T00:00:00"/>
    <s v="martes"/>
    <s v=" Abierto"/>
    <x v="3"/>
    <x v="61"/>
    <s v="-"/>
    <n v="4.2030000686645499"/>
    <n v="2638.39990234375"/>
    <x v="918"/>
    <n v="58685738547"/>
    <n v="-5.05"/>
  </r>
  <r>
    <x v="919"/>
    <s v="ene/25"/>
    <d v="2025-01-08T00:00:00"/>
    <s v="miércoles"/>
    <s v=" Abierto"/>
    <x v="2"/>
    <x v="54"/>
    <s v="-"/>
    <n v="4.2049999237060502"/>
    <n v="2656.69995117187"/>
    <x v="919"/>
    <n v="63875859171"/>
    <n v="-1.94"/>
  </r>
  <r>
    <x v="920"/>
    <s v="ene/25"/>
    <d v="2025-01-09T00:00:00"/>
    <s v="jueves"/>
    <s v=" Abierto"/>
    <x v="2"/>
    <x v="49"/>
    <s v="-"/>
    <n v="4.2049999237060502"/>
    <n v="2664.5"/>
    <x v="920"/>
    <n v="62777261693"/>
    <n v="-2.69"/>
  </r>
  <r>
    <x v="921"/>
    <s v="ene/25"/>
    <d v="2025-01-10T00:00:00"/>
    <s v="viernes"/>
    <s v=" Abierto"/>
    <x v="2"/>
    <x v="32"/>
    <s v="-"/>
    <n v="4.2129998207092196"/>
    <n v="2683.80004882812"/>
    <x v="921"/>
    <n v="62058693684"/>
    <n v="2.4"/>
  </r>
  <r>
    <x v="922"/>
    <s v="ene/25"/>
    <d v="2025-01-11T00:00:00"/>
    <s v="sábado"/>
    <s v="Cerrado"/>
    <x v="2"/>
    <x v="49"/>
    <s v="-"/>
    <n v="4.2129998207092196"/>
    <n v="2708.5"/>
    <x v="922"/>
    <n v="18860894100"/>
    <n v="-0.14000000000000001"/>
  </r>
  <r>
    <x v="923"/>
    <s v="ene/25"/>
    <d v="2025-01-12T00:00:00"/>
    <s v="domingo"/>
    <s v="Cerrado"/>
    <x v="2"/>
    <x v="41"/>
    <s v="-"/>
    <n v="4.2129998207092196"/>
    <n v="2683.80004882812"/>
    <x v="923"/>
    <n v="20885130965"/>
    <n v="-0.08"/>
  </r>
  <r>
    <x v="924"/>
    <s v="ene/25"/>
    <d v="2025-01-13T00:00:00"/>
    <s v="lunes"/>
    <s v=" Abierto"/>
    <x v="2"/>
    <x v="35"/>
    <s v="-"/>
    <n v="4.2179999351501403"/>
    <n v="2708.5"/>
    <x v="924"/>
    <n v="72978998252"/>
    <n v="0.03"/>
  </r>
  <r>
    <x v="925"/>
    <s v="ene/25"/>
    <d v="2025-01-14T00:00:00"/>
    <s v="martes"/>
    <s v=" Abierto"/>
    <x v="2"/>
    <x v="44"/>
    <s v="-"/>
    <n v="4.2129998207092196"/>
    <n v="2673.5"/>
    <x v="925"/>
    <n v="53769675818"/>
    <n v="2.13"/>
  </r>
  <r>
    <x v="926"/>
    <s v="ene/25"/>
    <d v="2025-01-15T00:00:00"/>
    <s v="miércoles"/>
    <s v=" Abierto"/>
    <x v="2"/>
    <x v="54"/>
    <s v="-"/>
    <n v="4.2049999237060502"/>
    <n v="2677.5"/>
    <x v="926"/>
    <n v="57805923627"/>
    <n v="4.1100000000000003"/>
  </r>
  <r>
    <x v="927"/>
    <s v="ene/25"/>
    <d v="2025-01-16T00:00:00"/>
    <s v="jueves"/>
    <s v=" Abierto"/>
    <x v="3"/>
    <x v="57"/>
    <s v="-"/>
    <n v="4.1950001716613698"/>
    <n v="2712.5"/>
    <x v="927"/>
    <n v="54103781805"/>
    <n v="-0.74"/>
  </r>
  <r>
    <x v="928"/>
    <s v="ene/25"/>
    <d v="2025-01-17T00:00:00"/>
    <s v="viernes"/>
    <s v=" Abierto"/>
    <x v="3"/>
    <x v="57"/>
    <s v="-"/>
    <n v="4.1929998397827104"/>
    <n v="2746.39990234375"/>
    <x v="928"/>
    <n v="71888972663"/>
    <n v="4.72"/>
  </r>
  <r>
    <x v="929"/>
    <s v="ene/25"/>
    <d v="2025-01-18T00:00:00"/>
    <s v="sábado"/>
    <s v="Cerrado"/>
    <x v="3"/>
    <x v="69"/>
    <s v="-"/>
    <n v="4.1929998397827104"/>
    <n v="2744.30004882812"/>
    <x v="929"/>
    <n v="50445655726"/>
    <n v="-0.05"/>
  </r>
  <r>
    <x v="930"/>
    <s v="ene/25"/>
    <d v="2025-01-19T00:00:00"/>
    <s v="domingo"/>
    <s v="Cerrado"/>
    <x v="3"/>
    <x v="69"/>
    <s v="-"/>
    <n v="4.1929998397827104"/>
    <n v="2746.39990234375"/>
    <x v="930"/>
    <n v="76789928525"/>
    <n v="-3.18"/>
  </r>
  <r>
    <x v="931"/>
    <s v="ene/25"/>
    <d v="2025-01-20T00:00:00"/>
    <s v="lunes"/>
    <s v=" Abierto"/>
    <x v="3"/>
    <x v="59"/>
    <s v="-"/>
    <n v="4.1929998397827104"/>
    <n v="2744.30004882812"/>
    <x v="931"/>
    <n v="126279678351"/>
    <n v="0.92"/>
  </r>
  <r>
    <x v="932"/>
    <s v="ene/25"/>
    <d v="2025-01-21T00:00:00"/>
    <s v="martes"/>
    <s v=" Abierto"/>
    <x v="3"/>
    <x v="59"/>
    <s v="-"/>
    <n v="4.19700002670288"/>
    <n v="2746.39990234375"/>
    <x v="932"/>
    <n v="88733878242"/>
    <n v="4.05"/>
  </r>
  <r>
    <x v="933"/>
    <s v="ene/25"/>
    <d v="2025-01-22T00:00:00"/>
    <s v="miércoles"/>
    <s v=" Abierto"/>
    <x v="3"/>
    <x v="67"/>
    <s v="-"/>
    <n v="4.2150001525878897"/>
    <n v="2755"/>
    <x v="933"/>
    <n v="53878181052"/>
    <n v="-2.35"/>
  </r>
  <r>
    <x v="934"/>
    <s v="ene/25"/>
    <d v="2025-01-23T00:00:00"/>
    <s v="jueves"/>
    <s v=" Abierto"/>
    <x v="3"/>
    <x v="57"/>
    <s v="-"/>
    <n v="4.2129998207092196"/>
    <n v="2767.60009765625"/>
    <x v="934"/>
    <n v="104104515428"/>
    <n v="0.3"/>
  </r>
  <r>
    <x v="935"/>
    <s v="ene/25"/>
    <d v="2025-01-24T00:00:00"/>
    <s v="viernes"/>
    <s v=" Abierto"/>
    <x v="3"/>
    <x v="57"/>
    <s v="-"/>
    <n v="4.2049999237060502"/>
    <n v="2763.10009765625"/>
    <x v="935"/>
    <n v="52388229265"/>
    <n v="0.83"/>
  </r>
  <r>
    <x v="936"/>
    <s v="ene/25"/>
    <d v="2025-01-25T00:00:00"/>
    <s v="sábado"/>
    <s v="Cerrado"/>
    <x v="3"/>
    <x v="57"/>
    <s v="-"/>
    <n v="4.2049999237060502"/>
    <n v="2777.30004882812"/>
    <x v="936"/>
    <n v="23888996502"/>
    <n v="-0.1"/>
  </r>
  <r>
    <x v="937"/>
    <s v="ene/25"/>
    <d v="2025-01-26T00:00:00"/>
    <s v="domingo"/>
    <s v="Cerrado"/>
    <x v="2"/>
    <x v="56"/>
    <s v="-"/>
    <n v="4.2049999237060502"/>
    <n v="2763.10009765625"/>
    <x v="937"/>
    <n v="22543395879"/>
    <n v="-1.94"/>
  </r>
  <r>
    <x v="938"/>
    <s v="ene/25"/>
    <d v="2025-01-27T00:00:00"/>
    <s v="lunes"/>
    <s v=" Abierto"/>
    <x v="2"/>
    <x v="53"/>
    <s v="-"/>
    <n v="4.1880002021789497"/>
    <n v="2777.30004882812"/>
    <x v="938"/>
    <n v="89006608428"/>
    <n v="-0.57999999999999996"/>
  </r>
  <r>
    <x v="939"/>
    <s v="ene/25"/>
    <d v="2025-01-28T00:00:00"/>
    <s v="martes"/>
    <s v=" Abierto"/>
    <x v="2"/>
    <x v="52"/>
    <s v="-"/>
    <n v="4.1900000572204501"/>
    <n v="2737.5"/>
    <x v="939"/>
    <n v="47180685494"/>
    <n v="-0.74"/>
  </r>
  <r>
    <x v="940"/>
    <s v="ene/25"/>
    <d v="2025-01-29T00:00:00"/>
    <s v="miércoles"/>
    <s v=" Abierto"/>
    <x v="2"/>
    <x v="52"/>
    <s v="-"/>
    <n v="4.1880002021789497"/>
    <n v="2766.80004882812"/>
    <x v="940"/>
    <n v="47432049818"/>
    <n v="2.34"/>
  </r>
  <r>
    <x v="941"/>
    <s v="ene/25"/>
    <d v="2025-01-30T00:00:00"/>
    <s v="jueves"/>
    <s v=" Abierto"/>
    <x v="2"/>
    <x v="54"/>
    <s v="-"/>
    <n v="4.1820001602172798"/>
    <n v="2769.10009765625"/>
    <x v="941"/>
    <n v="41915744521"/>
    <n v="1"/>
  </r>
  <r>
    <x v="942"/>
    <s v="ene/25"/>
    <d v="2025-01-31T00:00:00"/>
    <s v="viernes"/>
    <s v=" Abierto"/>
    <x v="3"/>
    <x v="59"/>
    <s v="-"/>
    <n v="4.1880002021789497"/>
    <n v="2823"/>
    <x v="942"/>
    <n v="45732764360"/>
    <n v="-2.2200000000000002"/>
  </r>
  <r>
    <x v="943"/>
    <s v="feb/25"/>
    <d v="2025-02-01T00:00:00"/>
    <s v="sábado"/>
    <s v="Cerrado"/>
    <x v="2"/>
    <x v="46"/>
    <s v="-"/>
    <n v="4.1880002021789497"/>
    <n v="2812.5"/>
    <x v="943"/>
    <n v="27757944848"/>
    <n v="-1.71"/>
  </r>
  <r>
    <x v="944"/>
    <s v="feb/25"/>
    <d v="2025-02-02T00:00:00"/>
    <s v="domingo"/>
    <s v="Cerrado"/>
    <x v="2"/>
    <x v="37"/>
    <s v="-"/>
    <n v="4.1880002021789497"/>
    <n v="2823"/>
    <x v="944"/>
    <n v="63091816853"/>
    <n v="-2.95"/>
  </r>
  <r>
    <x v="945"/>
    <s v="feb/25"/>
    <d v="2025-02-03T00:00:00"/>
    <s v="lunes"/>
    <s v=" Abierto"/>
    <x v="1"/>
    <x v="22"/>
    <s v="-"/>
    <n v="4.1900000572204501"/>
    <n v="2812.5"/>
    <x v="945"/>
    <n v="115400897748"/>
    <n v="3.8"/>
  </r>
  <r>
    <x v="946"/>
    <s v="feb/25"/>
    <d v="2025-02-04T00:00:00"/>
    <s v="martes"/>
    <s v=" Abierto"/>
    <x v="2"/>
    <x v="52"/>
    <s v="-"/>
    <n v="4.2129998207092196"/>
    <n v="2833.89990234375"/>
    <x v="946"/>
    <n v="73002130211"/>
    <n v="-3.48"/>
  </r>
  <r>
    <x v="947"/>
    <s v="feb/25"/>
    <d v="2025-02-05T00:00:00"/>
    <s v="miércoles"/>
    <s v=" Abierto"/>
    <x v="2"/>
    <x v="33"/>
    <s v="-"/>
    <n v="4.21000003814697"/>
    <n v="2853.30004882812"/>
    <x v="947"/>
    <n v="49125911241"/>
    <n v="-1.28"/>
  </r>
  <r>
    <x v="948"/>
    <s v="feb/25"/>
    <d v="2025-02-06T00:00:00"/>
    <s v="jueves"/>
    <s v=" Abierto"/>
    <x v="1"/>
    <x v="40"/>
    <s v="-"/>
    <n v="4.2129998207092196"/>
    <n v="2871.60009765625"/>
    <x v="948"/>
    <n v="45302471947"/>
    <n v="-0.02"/>
  </r>
  <r>
    <x v="949"/>
    <s v="feb/25"/>
    <d v="2025-02-07T00:00:00"/>
    <s v="viernes"/>
    <s v=" Abierto"/>
    <x v="1"/>
    <x v="22"/>
    <s v="-"/>
    <n v="4.2280001640319798"/>
    <n v="2856"/>
    <x v="949"/>
    <n v="55741290456"/>
    <n v="-7.0000000000000007E-2"/>
  </r>
  <r>
    <x v="950"/>
    <s v="feb/25"/>
    <d v="2025-02-08T00:00:00"/>
    <s v="sábado"/>
    <s v="Cerrado"/>
    <x v="1"/>
    <x v="22"/>
    <s v="-"/>
    <n v="4.2280001640319798"/>
    <n v="2867.30004882812"/>
    <x v="950"/>
    <n v="22447526395"/>
    <n v="-0.05"/>
  </r>
  <r>
    <x v="951"/>
    <s v="feb/25"/>
    <d v="2025-02-09T00:00:00"/>
    <s v="domingo"/>
    <s v="Cerrado"/>
    <x v="1"/>
    <x v="19"/>
    <s v="-"/>
    <n v="4.2280001640319798"/>
    <n v="2856"/>
    <x v="951"/>
    <n v="27732901800"/>
    <n v="0.02"/>
  </r>
  <r>
    <x v="952"/>
    <s v="feb/25"/>
    <d v="2025-02-10T00:00:00"/>
    <s v="lunes"/>
    <s v=" Abierto"/>
    <x v="1"/>
    <x v="51"/>
    <s v="-"/>
    <n v="4.2280001640319798"/>
    <n v="2867.30004882812"/>
    <x v="952"/>
    <n v="40078962391"/>
    <n v="0.97"/>
  </r>
  <r>
    <x v="953"/>
    <s v="feb/25"/>
    <d v="2025-02-11T00:00:00"/>
    <s v="martes"/>
    <s v=" Abierto"/>
    <x v="1"/>
    <x v="20"/>
    <s v="-"/>
    <n v="4.2249999046325604"/>
    <n v="2914.30004882812"/>
    <x v="953"/>
    <n v="37488783272"/>
    <n v="-1.73"/>
  </r>
  <r>
    <x v="954"/>
    <s v="feb/25"/>
    <d v="2025-02-12T00:00:00"/>
    <s v="miércoles"/>
    <s v=" Abierto"/>
    <x v="1"/>
    <x v="19"/>
    <s v="-"/>
    <n v="4.2280001640319798"/>
    <n v="2912.5"/>
    <x v="954"/>
    <n v="49340445530"/>
    <n v="2.23"/>
  </r>
  <r>
    <x v="955"/>
    <s v="feb/25"/>
    <d v="2025-02-13T00:00:00"/>
    <s v="jueves"/>
    <s v=" Abierto"/>
    <x v="2"/>
    <x v="32"/>
    <s v="-"/>
    <n v="4.2129998207092196"/>
    <n v="2909"/>
    <x v="955"/>
    <n v="37147280860"/>
    <n v="-1.29"/>
  </r>
  <r>
    <x v="956"/>
    <s v="feb/25"/>
    <d v="2025-02-14T00:00:00"/>
    <s v="viernes"/>
    <s v=" Abierto"/>
    <x v="1"/>
    <x v="39"/>
    <s v="-"/>
    <n v="4.2129998207092196"/>
    <n v="2925.89990234375"/>
    <x v="956"/>
    <n v="32697987277"/>
    <n v="0.92"/>
  </r>
  <r>
    <x v="957"/>
    <s v="feb/25"/>
    <d v="2025-02-15T00:00:00"/>
    <s v="sábado"/>
    <s v="Cerrado"/>
    <x v="2"/>
    <x v="32"/>
    <s v="-"/>
    <n v="4.2129998207092196"/>
    <n v="2883.60009765625"/>
    <x v="957"/>
    <n v="17047266288"/>
    <n v="7.0000000000000007E-2"/>
  </r>
  <r>
    <x v="958"/>
    <s v="feb/25"/>
    <d v="2025-02-16T00:00:00"/>
    <s v="domingo"/>
    <s v="Cerrado"/>
    <x v="2"/>
    <x v="33"/>
    <s v="-"/>
    <n v="4.2129998207092196"/>
    <n v="2925.89990234375"/>
    <x v="958"/>
    <n v="16536755396"/>
    <n v="-1.44"/>
  </r>
  <r>
    <x v="959"/>
    <s v="feb/25"/>
    <d v="2025-02-17T00:00:00"/>
    <s v="lunes"/>
    <s v=" Abierto"/>
    <x v="2"/>
    <x v="30"/>
    <s v="-"/>
    <n v="4.2129998207092196"/>
    <n v="2883.60009765625"/>
    <x v="959"/>
    <n v="27336550690"/>
    <n v="-0.42"/>
  </r>
  <r>
    <x v="960"/>
    <s v="feb/25"/>
    <d v="2025-02-18T00:00:00"/>
    <s v="martes"/>
    <s v=" Abierto"/>
    <x v="1"/>
    <x v="20"/>
    <s v="-"/>
    <n v="4.2129998207092196"/>
    <n v="2925.89990234375"/>
    <x v="960"/>
    <n v="37325720482"/>
    <n v="-0.24"/>
  </r>
  <r>
    <x v="961"/>
    <s v="feb/25"/>
    <d v="2025-02-19T00:00:00"/>
    <s v="miércoles"/>
    <s v=" Abierto"/>
    <x v="1"/>
    <x v="22"/>
    <s v="-"/>
    <n v="4.2179999351501403"/>
    <n v="2931.60009765625"/>
    <x v="961"/>
    <n v="28990872862"/>
    <n v="1.1499999999999999"/>
  </r>
  <r>
    <x v="962"/>
    <s v="feb/25"/>
    <d v="2025-02-20T00:00:00"/>
    <s v="jueves"/>
    <s v=" Abierto"/>
    <x v="1"/>
    <x v="40"/>
    <s v="-"/>
    <n v="4.2049999237060502"/>
    <n v="2919.39990234375"/>
    <x v="962"/>
    <n v="31668022771"/>
    <n v="1.76"/>
  </r>
  <r>
    <x v="963"/>
    <s v="feb/25"/>
    <d v="2025-02-21T00:00:00"/>
    <s v="viernes"/>
    <s v=" Abierto"/>
    <x v="2"/>
    <x v="34"/>
    <s v="-"/>
    <n v="4.19700002670288"/>
    <n v="2940"/>
    <x v="963"/>
    <n v="49608706470"/>
    <n v="-2.25"/>
  </r>
  <r>
    <x v="964"/>
    <s v="feb/25"/>
    <d v="2025-02-22T00:00:00"/>
    <s v="sábado"/>
    <s v="Cerrado"/>
    <x v="1"/>
    <x v="40"/>
    <s v="-"/>
    <n v="4.19700002670288"/>
    <n v="2937.60009765625"/>
    <x v="964"/>
    <n v="18353824477"/>
    <n v="0.47"/>
  </r>
  <r>
    <x v="965"/>
    <s v="feb/25"/>
    <d v="2025-02-23T00:00:00"/>
    <s v="domingo"/>
    <s v="Cerrado"/>
    <x v="2"/>
    <x v="32"/>
    <s v="-"/>
    <n v="4.19700002670288"/>
    <n v="2940"/>
    <x v="965"/>
    <n v="16999478976"/>
    <n v="-0.31"/>
  </r>
  <r>
    <x v="966"/>
    <s v="feb/25"/>
    <d v="2025-02-24T00:00:00"/>
    <s v="lunes"/>
    <s v=" Abierto"/>
    <x v="1"/>
    <x v="40"/>
    <s v="-"/>
    <n v="4.1900000572204501"/>
    <n v="2937.60009765625"/>
    <x v="966"/>
    <n v="44046480529"/>
    <n v="-5.04"/>
  </r>
  <r>
    <x v="967"/>
    <s v="feb/25"/>
    <d v="2025-02-25T00:00:00"/>
    <s v="martes"/>
    <s v=" Abierto"/>
    <x v="1"/>
    <x v="25"/>
    <s v="-"/>
    <n v="4.1820001602172798"/>
    <n v="2947.89990234375"/>
    <x v="967"/>
    <n v="92139104128"/>
    <n v="-2.93"/>
  </r>
  <r>
    <x v="968"/>
    <s v="feb/25"/>
    <d v="2025-02-26T00:00:00"/>
    <s v="miércoles"/>
    <s v=" Abierto"/>
    <x v="0"/>
    <x v="8"/>
    <s v="-"/>
    <n v="4.1929998397827104"/>
    <n v="2904.5"/>
    <x v="968"/>
    <n v="64597492134"/>
    <n v="-4.95"/>
  </r>
  <r>
    <x v="969"/>
    <s v="feb/25"/>
    <d v="2025-02-27T00:00:00"/>
    <s v="jueves"/>
    <s v=" Abierto"/>
    <x v="0"/>
    <x v="75"/>
    <s v="-"/>
    <n v="4.1950001716613698"/>
    <n v="2916.80004882812"/>
    <x v="969"/>
    <n v="52659591954"/>
    <n v="0.42"/>
  </r>
  <r>
    <x v="970"/>
    <s v="feb/25"/>
    <d v="2025-02-28T00:00:00"/>
    <s v="viernes"/>
    <s v=" Abierto"/>
    <x v="0"/>
    <x v="6"/>
    <s v="-"/>
    <n v="4.1929998397827104"/>
    <n v="2883.19995117187"/>
    <x v="970"/>
    <n v="83610570576"/>
    <n v="-0.39"/>
  </r>
  <r>
    <x v="971"/>
    <s v="mar/25"/>
    <d v="2025-03-01T00:00:00"/>
    <s v="sábado"/>
    <s v="Cerrado"/>
    <x v="0"/>
    <x v="3"/>
    <n v="19"/>
    <n v="4.1929998397827104"/>
    <n v="2836.80004882812"/>
    <x v="971"/>
    <n v="29190628396"/>
    <n v="1.97"/>
  </r>
  <r>
    <x v="972"/>
    <s v="mar/25"/>
    <d v="2025-03-02T00:00:00"/>
    <s v="domingo"/>
    <s v="Cerrado"/>
    <x v="1"/>
    <x v="13"/>
    <s v="-"/>
    <n v="4.1929998397827104"/>
    <n v="2883.19995117187"/>
    <x v="972"/>
    <n v="58398341092"/>
    <n v="9.5500000000000007"/>
  </r>
  <r>
    <x v="973"/>
    <s v="mar/25"/>
    <d v="2025-03-03T00:00:00"/>
    <s v="lunes"/>
    <s v=" Abierto"/>
    <x v="1"/>
    <x v="12"/>
    <s v="-"/>
    <n v="4.1929998397827104"/>
    <n v="2836.80004882812"/>
    <x v="973"/>
    <n v="70072228536"/>
    <n v="-8.68"/>
  </r>
  <r>
    <x v="974"/>
    <s v="mar/25"/>
    <d v="2025-03-04T00:00:00"/>
    <s v="martes"/>
    <s v=" Abierto"/>
    <x v="0"/>
    <x v="7"/>
    <s v="-"/>
    <n v="4.1950001716613698"/>
    <n v="2890.19995117187"/>
    <x v="974"/>
    <n v="68095241474"/>
    <n v="1.34"/>
  </r>
  <r>
    <x v="975"/>
    <s v="mar/25"/>
    <d v="2025-03-05T00:00:00"/>
    <s v="miércoles"/>
    <s v=" Abierto"/>
    <x v="0"/>
    <x v="3"/>
    <s v="-"/>
    <n v="4.2049999237060502"/>
    <n v="2909.60009765625"/>
    <x v="975"/>
    <n v="50498988027"/>
    <n v="3.9"/>
  </r>
  <r>
    <x v="976"/>
    <s v="mar/25"/>
    <d v="2025-03-06T00:00:00"/>
    <s v="jueves"/>
    <s v=" Abierto"/>
    <x v="1"/>
    <x v="25"/>
    <s v="-"/>
    <n v="4.19700002670288"/>
    <n v="2915.30004882812"/>
    <x v="976"/>
    <n v="47749810486"/>
    <n v="-0.73"/>
  </r>
  <r>
    <x v="977"/>
    <s v="mar/25"/>
    <d v="2025-03-07T00:00:00"/>
    <s v="viernes"/>
    <s v=" Abierto"/>
    <x v="1"/>
    <x v="11"/>
    <s v="-"/>
    <n v="4.19700002670288"/>
    <n v="2916.60009765625"/>
    <x v="977"/>
    <n v="65945677657"/>
    <n v="-3.58"/>
  </r>
  <r>
    <x v="978"/>
    <s v="mar/25"/>
    <d v="2025-03-08T00:00:00"/>
    <s v="sábado"/>
    <s v="Cerrado"/>
    <x v="1"/>
    <x v="14"/>
    <s v="-"/>
    <n v="4.19700002670288"/>
    <n v="2904.69995117187"/>
    <x v="978"/>
    <n v="18206118081"/>
    <n v="-0.68"/>
  </r>
  <r>
    <x v="979"/>
    <s v="mar/25"/>
    <d v="2025-03-09T00:00:00"/>
    <s v="domingo"/>
    <s v="Cerrado"/>
    <x v="1"/>
    <x v="24"/>
    <s v="-"/>
    <n v="4.19700002670288"/>
    <n v="2916.60009765625"/>
    <x v="979"/>
    <n v="30899345977"/>
    <n v="-6.45"/>
  </r>
  <r>
    <x v="980"/>
    <s v="mar/25"/>
    <d v="2025-03-10T00:00:00"/>
    <s v="lunes"/>
    <s v=" Abierto"/>
    <x v="0"/>
    <x v="3"/>
    <s v="-"/>
    <n v="4.1849999427795401"/>
    <n v="2904.69995117187"/>
    <x v="980"/>
    <n v="54061099422"/>
    <n v="-2.57"/>
  </r>
  <r>
    <x v="981"/>
    <s v="mar/25"/>
    <d v="2025-03-11T00:00:00"/>
    <s v="martes"/>
    <s v=" Abierto"/>
    <x v="0"/>
    <x v="4"/>
    <s v="-"/>
    <n v="4.1950001716613698"/>
    <n v="2891"/>
    <x v="981"/>
    <n v="54702837196"/>
    <n v="5.51"/>
  </r>
  <r>
    <x v="982"/>
    <s v="mar/25"/>
    <d v="2025-03-12T00:00:00"/>
    <s v="miércoles"/>
    <s v=" Abierto"/>
    <x v="1"/>
    <x v="11"/>
    <s v="-"/>
    <n v="4.19700002670288"/>
    <n v="2912.89990234375"/>
    <x v="982"/>
    <n v="40353484454"/>
    <n v="1.04"/>
  </r>
  <r>
    <x v="983"/>
    <s v="mar/25"/>
    <d v="2025-03-13T00:00:00"/>
    <s v="jueves"/>
    <s v=" Abierto"/>
    <x v="1"/>
    <x v="21"/>
    <s v="-"/>
    <n v="4.1880002021789497"/>
    <n v="2939.10009765625"/>
    <x v="983"/>
    <n v="31412940153"/>
    <n v="-3.17"/>
  </r>
  <r>
    <x v="984"/>
    <s v="mar/25"/>
    <d v="2025-03-14T00:00:00"/>
    <s v="viernes"/>
    <s v=" Abierto"/>
    <x v="1"/>
    <x v="24"/>
    <s v="-"/>
    <n v="4.1880002021789497"/>
    <n v="2984.30004882812"/>
    <x v="984"/>
    <n v="29588112414"/>
    <n v="3.58"/>
  </r>
  <r>
    <x v="985"/>
    <s v="mar/25"/>
    <d v="2025-03-15T00:00:00"/>
    <s v="sábado"/>
    <s v="Cerrado"/>
    <x v="1"/>
    <x v="19"/>
    <s v="-"/>
    <n v="4.1880002021789497"/>
    <n v="2994.5"/>
    <x v="985"/>
    <n v="13650491277"/>
    <n v="0.45"/>
  </r>
  <r>
    <x v="986"/>
    <s v="mar/25"/>
    <d v="2025-03-16T00:00:00"/>
    <s v="domingo"/>
    <s v="Cerrado"/>
    <x v="1"/>
    <x v="9"/>
    <s v="-"/>
    <n v="4.1880002021789497"/>
    <n v="2984.30004882812"/>
    <x v="986"/>
    <n v="21330270174"/>
    <n v="-2.09"/>
  </r>
  <r>
    <x v="987"/>
    <s v="mar/25"/>
    <d v="2025-03-17T00:00:00"/>
    <s v="lunes"/>
    <s v=" Abierto"/>
    <x v="1"/>
    <x v="15"/>
    <s v="-"/>
    <n v="4.1880002021789497"/>
    <n v="2994.5"/>
    <x v="987"/>
    <n v="25092785558"/>
    <n v="1.81"/>
  </r>
  <r>
    <x v="988"/>
    <s v="mar/25"/>
    <d v="2025-03-18T00:00:00"/>
    <s v="martes"/>
    <s v=" Abierto"/>
    <x v="1"/>
    <x v="11"/>
    <s v="-"/>
    <n v="4.1950001716613698"/>
    <n v="3000"/>
    <x v="988"/>
    <n v="24095774594"/>
    <n v="-1.61"/>
  </r>
  <r>
    <x v="989"/>
    <s v="mar/25"/>
    <d v="2025-03-19T00:00:00"/>
    <s v="miércoles"/>
    <s v=" Abierto"/>
    <x v="1"/>
    <x v="15"/>
    <s v="-"/>
    <n v="4.1900000572204501"/>
    <n v="3035.10009765625"/>
    <x v="989"/>
    <n v="34931960257"/>
    <n v="5"/>
  </r>
  <r>
    <x v="990"/>
    <s v="mar/25"/>
    <d v="2025-03-20T00:00:00"/>
    <s v="jueves"/>
    <s v=" Abierto"/>
    <x v="1"/>
    <x v="40"/>
    <s v="-"/>
    <n v="4.1820001602172798"/>
    <n v="3035.89990234375"/>
    <x v="990"/>
    <n v="29028988961"/>
    <n v="-3.09"/>
  </r>
  <r>
    <x v="991"/>
    <s v="mar/25"/>
    <d v="2025-03-21T00:00:00"/>
    <s v="viernes"/>
    <s v=" Abierto"/>
    <x v="1"/>
    <x v="10"/>
    <s v="-"/>
    <n v="4.1849999427795401"/>
    <n v="3040"/>
    <x v="991"/>
    <n v="19030452299"/>
    <n v="-0.15"/>
  </r>
  <r>
    <x v="992"/>
    <s v="mar/25"/>
    <d v="2025-03-22T00:00:00"/>
    <s v="sábado"/>
    <s v="Cerrado"/>
    <x v="1"/>
    <x v="15"/>
    <s v="-"/>
    <n v="4.1849999427795401"/>
    <n v="3018.19995117187"/>
    <x v="992"/>
    <n v="9863214091"/>
    <n v="-0.25"/>
  </r>
  <r>
    <x v="993"/>
    <s v="mar/25"/>
    <d v="2025-03-23T00:00:00"/>
    <s v="domingo"/>
    <s v="Cerrado"/>
    <x v="1"/>
    <x v="9"/>
    <s v="-"/>
    <n v="4.1849999427795401"/>
    <n v="3040"/>
    <x v="993"/>
    <n v="12594615537"/>
    <n v="2.65"/>
  </r>
  <r>
    <x v="994"/>
    <s v="mar/25"/>
    <d v="2025-03-24T00:00:00"/>
    <s v="lunes"/>
    <s v=" Abierto"/>
    <x v="1"/>
    <x v="21"/>
    <s v="-"/>
    <n v="4.1820001602172798"/>
    <n v="3018.19995117187"/>
    <x v="994"/>
    <n v="34582604933"/>
    <n v="1.68"/>
  </r>
  <r>
    <x v="995"/>
    <s v="mar/25"/>
    <d v="2025-03-25T00:00:00"/>
    <s v="martes"/>
    <s v=" Abierto"/>
    <x v="1"/>
    <x v="19"/>
    <s v="-"/>
    <n v="4.1820001602172798"/>
    <n v="3013.10009765625"/>
    <x v="995"/>
    <n v="30005840049"/>
    <n v="-0.03"/>
  </r>
  <r>
    <x v="996"/>
    <s v="mar/25"/>
    <d v="2025-03-26T00:00:00"/>
    <s v="miércoles"/>
    <s v=" Abierto"/>
    <x v="1"/>
    <x v="20"/>
    <s v="-"/>
    <n v="4.1900000572204501"/>
    <n v="3023.69995117187"/>
    <x v="996"/>
    <n v="26704046038"/>
    <n v="-0.65"/>
  </r>
  <r>
    <x v="997"/>
    <s v="mar/25"/>
    <d v="2025-03-27T00:00:00"/>
    <s v="jueves"/>
    <s v=" Abierto"/>
    <x v="1"/>
    <x v="28"/>
    <s v="-"/>
    <n v="4.1880002021789497"/>
    <n v="3020.89990234375"/>
    <x v="997"/>
    <n v="24413471941"/>
    <n v="0.32"/>
  </r>
  <r>
    <x v="998"/>
    <s v="mar/25"/>
    <d v="2025-03-28T00:00:00"/>
    <s v="viernes"/>
    <s v=" Abierto"/>
    <x v="1"/>
    <x v="22"/>
    <s v="-"/>
    <n v="4.1880002021789497"/>
    <n v="3060.19995117187"/>
    <x v="998"/>
    <n v="34198619509"/>
    <n v="-3.24"/>
  </r>
  <r>
    <x v="999"/>
    <s v="mar/25"/>
    <d v="2025-03-29T00:00:00"/>
    <s v="sábado"/>
    <s v="Cerrado"/>
    <x v="1"/>
    <x v="13"/>
    <s v="-"/>
    <n v="4.1880002021789497"/>
    <n v="3086.5"/>
    <x v="999"/>
    <n v="16969396135"/>
    <n v="-2.08"/>
  </r>
  <r>
    <x v="1000"/>
    <s v="mar/25"/>
    <d v="2025-03-30T00:00:00"/>
    <s v="domingo"/>
    <s v="Cerrado"/>
    <x v="1"/>
    <x v="15"/>
    <n v="20"/>
    <n v="4.1880002021789497"/>
    <n v="3060.19995117187"/>
    <x v="1000"/>
    <n v="13636264960"/>
    <n v="-0.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20DAE7-E922-4A1D-9EDF-8C10AA57B00A}" name="TablaDinámica5"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
  <location ref="X35:Y40" firstHeaderRow="1" firstDataRow="1" firstDataCol="1"/>
  <pivotFields count="13">
    <pivotField dataField="1"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numFmtId="14" showAll="0"/>
    <pivotField showAll="0"/>
    <pivotField showAll="0"/>
    <pivotField axis="axisRow" showAll="0" countASubtotal="1">
      <items count="5">
        <item x="2"/>
        <item x="3"/>
        <item x="1"/>
        <item x="0"/>
        <item t="countA"/>
      </items>
    </pivotField>
    <pivotField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numFmtId="2" showAll="0"/>
    <pivotField numFmtId="44" showAll="0"/>
    <pivotField numFmtId="44" showAll="0">
      <items count="1002">
        <item h="1" x="140"/>
        <item h="1" x="128"/>
        <item h="1" x="141"/>
        <item h="1" x="147"/>
        <item h="1" x="139"/>
        <item h="1" x="132"/>
        <item h="1" x="168"/>
        <item h="1" x="146"/>
        <item h="1" x="148"/>
        <item h="1" x="145"/>
        <item h="1" x="144"/>
        <item h="1" x="180"/>
        <item h="1" x="177"/>
        <item h="1" x="179"/>
        <item h="1" x="143"/>
        <item h="1" x="142"/>
        <item h="1" x="133"/>
        <item h="1" x="181"/>
        <item h="1" x="178"/>
        <item h="1" x="165"/>
        <item h="1" x="135"/>
        <item h="1" x="183"/>
        <item h="1" x="136"/>
        <item h="1" x="182"/>
        <item h="1" x="137"/>
        <item h="1" x="138"/>
        <item h="1" x="176"/>
        <item h="1" x="167"/>
        <item h="1" x="166"/>
        <item h="1" x="172"/>
        <item h="1" x="131"/>
        <item h="1" x="170"/>
        <item h="1" x="171"/>
        <item h="1" x="185"/>
        <item h="1" x="174"/>
        <item h="1" x="173"/>
        <item h="1" x="156"/>
        <item h="1" x="184"/>
        <item h="1" x="134"/>
        <item h="1" x="169"/>
        <item h="1" x="152"/>
        <item h="1" x="175"/>
        <item h="1" x="186"/>
        <item h="1" x="187"/>
        <item h="1" x="150"/>
        <item h="1" x="154"/>
        <item h="1" x="130"/>
        <item h="1" x="151"/>
        <item h="1" x="155"/>
        <item h="1" x="188"/>
        <item h="1" x="160"/>
        <item h="1" x="159"/>
        <item h="1" x="153"/>
        <item h="1" x="158"/>
        <item h="1" x="149"/>
        <item h="1" x="189"/>
        <item h="1" x="161"/>
        <item h="1" x="157"/>
        <item h="1" x="164"/>
        <item h="1" x="190"/>
        <item h="1" x="129"/>
        <item h="1" x="162"/>
        <item h="1" x="163"/>
        <item h="1" x="191"/>
        <item h="1" x="127"/>
        <item h="1" x="79"/>
        <item h="1" x="83"/>
        <item h="1" x="64"/>
        <item h="1" x="192"/>
        <item h="1" x="78"/>
        <item h="1" x="82"/>
        <item h="1" x="90"/>
        <item h="1" x="99"/>
        <item h="1" x="108"/>
        <item h="1" x="103"/>
        <item h="1" x="85"/>
        <item h="1" x="107"/>
        <item h="1" x="98"/>
        <item h="1" x="100"/>
        <item h="1" x="109"/>
        <item h="1" x="102"/>
        <item h="1" x="110"/>
        <item h="1" x="84"/>
        <item h="1" x="104"/>
        <item h="1" x="65"/>
        <item h="1" x="81"/>
        <item h="1" x="89"/>
        <item h="1" x="8"/>
        <item h="1" x="66"/>
        <item h="1" x="106"/>
        <item h="1" x="112"/>
        <item h="1" x="101"/>
        <item h="1" x="80"/>
        <item h="1" x="96"/>
        <item h="1" x="76"/>
        <item h="1" x="86"/>
        <item h="1" x="88"/>
        <item h="1" x="97"/>
        <item h="1" x="77"/>
        <item h="1" x="95"/>
        <item h="1" x="105"/>
        <item h="1" x="111"/>
        <item h="1" x="87"/>
        <item h="1" x="55"/>
        <item h="1" x="91"/>
        <item h="1" x="73"/>
        <item h="1" x="74"/>
        <item h="1" x="57"/>
        <item h="1" x="63"/>
        <item h="1" x="61"/>
        <item h="1" x="193"/>
        <item h="1" x="94"/>
        <item h="1" x="60"/>
        <item h="1" x="7"/>
        <item h="1" x="62"/>
        <item h="1" x="54"/>
        <item h="1" x="58"/>
        <item h="1" x="113"/>
        <item h="1" x="59"/>
        <item h="1" x="75"/>
        <item h="1" x="121"/>
        <item h="1" x="93"/>
        <item h="1" x="249"/>
        <item h="1" x="1"/>
        <item h="1" x="122"/>
        <item h="1" x="9"/>
        <item x="0"/>
        <item h="1" x="72"/>
        <item h="1" x="53"/>
        <item h="1" x="115"/>
        <item h="1" x="71"/>
        <item h="1" x="56"/>
        <item h="1" x="92"/>
        <item h="1" x="248"/>
        <item h="1" x="120"/>
        <item h="1" x="119"/>
        <item h="1" x="2"/>
        <item h="1" x="10"/>
        <item h="1" x="116"/>
        <item h="1" x="126"/>
        <item h="1" x="250"/>
        <item h="1" x="118"/>
        <item h="1" x="198"/>
        <item h="1" x="114"/>
        <item h="1" x="13"/>
        <item h="1" x="117"/>
        <item h="1" x="11"/>
        <item h="1" x="6"/>
        <item h="1" x="46"/>
        <item h="1" x="195"/>
        <item h="1" x="125"/>
        <item h="1" x="194"/>
        <item h="1" x="199"/>
        <item h="1" x="123"/>
        <item h="1" x="197"/>
        <item h="1" x="47"/>
        <item h="1" x="196"/>
        <item h="1" x="12"/>
        <item h="1" x="22"/>
        <item h="1" x="124"/>
        <item h="1" x="21"/>
        <item h="1" x="67"/>
        <item h="1" x="51"/>
        <item h="1" x="49"/>
        <item h="1" x="50"/>
        <item h="1" x="48"/>
        <item h="1" x="5"/>
        <item h="1" x="52"/>
        <item h="1" x="3"/>
        <item h="1" x="221"/>
        <item h="1" x="68"/>
        <item h="1" x="247"/>
        <item h="1" x="4"/>
        <item h="1" x="69"/>
        <item h="1" x="223"/>
        <item h="1" x="224"/>
        <item h="1" x="220"/>
        <item h="1" x="222"/>
        <item h="1" x="251"/>
        <item h="1" x="246"/>
        <item h="1" x="225"/>
        <item h="1" x="243"/>
        <item h="1" x="242"/>
        <item h="1" x="70"/>
        <item h="1" x="245"/>
        <item h="1" x="244"/>
        <item h="1" x="19"/>
        <item h="1" x="14"/>
        <item h="1" x="20"/>
        <item h="1" x="31"/>
        <item h="1" x="204"/>
        <item h="1" x="200"/>
        <item h="1" x="18"/>
        <item h="1" x="202"/>
        <item h="1" x="217"/>
        <item h="1" x="201"/>
        <item h="1" x="210"/>
        <item h="1" x="30"/>
        <item h="1" x="23"/>
        <item h="1" x="203"/>
        <item h="1" x="219"/>
        <item h="1" x="216"/>
        <item h="1" x="33"/>
        <item h="1" x="29"/>
        <item h="1" x="208"/>
        <item h="1" x="206"/>
        <item h="1" x="207"/>
        <item h="1" x="205"/>
        <item h="1" x="211"/>
        <item h="1" x="239"/>
        <item h="1" x="36"/>
        <item h="1" x="17"/>
        <item h="1" x="236"/>
        <item h="1" x="34"/>
        <item h="1" x="235"/>
        <item h="1" x="45"/>
        <item h="1" x="16"/>
        <item h="1" x="218"/>
        <item h="1" x="32"/>
        <item h="1" x="28"/>
        <item h="1" x="215"/>
        <item h="1" x="44"/>
        <item h="1" x="27"/>
        <item h="1" x="15"/>
        <item h="1" x="214"/>
        <item h="1" x="213"/>
        <item h="1" x="241"/>
        <item h="1" x="238"/>
        <item h="1" x="237"/>
        <item h="1" x="227"/>
        <item h="1" x="240"/>
        <item h="1" x="26"/>
        <item h="1" x="212"/>
        <item h="1" x="209"/>
        <item h="1" x="25"/>
        <item h="1" x="35"/>
        <item h="1" x="24"/>
        <item h="1" x="43"/>
        <item h="1" x="234"/>
        <item h="1" x="37"/>
        <item h="1" x="38"/>
        <item h="1" x="42"/>
        <item h="1" x="233"/>
        <item h="1" x="252"/>
        <item h="1" x="226"/>
        <item h="1" x="41"/>
        <item h="1" x="230"/>
        <item h="1" x="254"/>
        <item h="1" x="39"/>
        <item h="1" x="40"/>
        <item h="1" x="232"/>
        <item h="1" x="228"/>
        <item h="1" x="229"/>
        <item h="1" x="253"/>
        <item h="1" x="231"/>
        <item h="1" x="255"/>
        <item h="1" x="345"/>
        <item h="1" x="434"/>
        <item h="1" x="346"/>
        <item h="1" x="429"/>
        <item h="1" x="336"/>
        <item h="1" x="428"/>
        <item h="1" x="424"/>
        <item h="1" x="427"/>
        <item h="1" x="433"/>
        <item h="1" x="435"/>
        <item h="1" x="341"/>
        <item h="1" x="425"/>
        <item h="1" x="432"/>
        <item h="1" x="343"/>
        <item h="1" x="431"/>
        <item h="1" x="344"/>
        <item h="1" x="423"/>
        <item h="1" x="342"/>
        <item h="1" x="426"/>
        <item h="1" x="418"/>
        <item h="1" x="414"/>
        <item h="1" x="417"/>
        <item h="1" x="410"/>
        <item h="1" x="419"/>
        <item h="1" x="411"/>
        <item h="1" x="420"/>
        <item h="1" x="413"/>
        <item h="1" x="416"/>
        <item h="1" x="412"/>
        <item h="1" x="449"/>
        <item h="1" x="436"/>
        <item h="1" x="430"/>
        <item h="1" x="447"/>
        <item h="1" x="448"/>
        <item h="1" x="347"/>
        <item h="1" x="324"/>
        <item h="1" x="349"/>
        <item h="1" x="338"/>
        <item h="1" x="450"/>
        <item h="1" x="415"/>
        <item h="1" x="325"/>
        <item h="1" x="340"/>
        <item h="1" x="339"/>
        <item h="1" x="348"/>
        <item h="1" x="440"/>
        <item h="1" x="437"/>
        <item h="1" x="444"/>
        <item h="1" x="439"/>
        <item h="1" x="446"/>
        <item h="1" x="445"/>
        <item h="1" x="438"/>
        <item h="1" x="409"/>
        <item h="1" x="326"/>
        <item h="1" x="321"/>
        <item h="1" x="441"/>
        <item h="1" x="465"/>
        <item h="1" x="313"/>
        <item h="1" x="312"/>
        <item h="1" x="332"/>
        <item h="1" x="318"/>
        <item h="1" x="350"/>
        <item h="1" x="322"/>
        <item h="1" x="467"/>
        <item h="1" x="466"/>
        <item h="1" x="327"/>
        <item h="1" x="464"/>
        <item h="1" x="319"/>
        <item h="1" x="452"/>
        <item h="1" x="314"/>
        <item h="1" x="257"/>
        <item h="1" x="453"/>
        <item h="1" x="311"/>
        <item h="1" x="451"/>
        <item h="1" x="316"/>
        <item h="1" x="334"/>
        <item h="1" x="335"/>
        <item h="1" x="320"/>
        <item h="1" x="443"/>
        <item h="1" x="266"/>
        <item h="1" x="468"/>
        <item h="1" x="315"/>
        <item h="1" x="442"/>
        <item h="1" x="331"/>
        <item h="1" x="323"/>
        <item h="1" x="337"/>
        <item h="1" x="333"/>
        <item h="1" x="267"/>
        <item h="1" x="291"/>
        <item h="1" x="422"/>
        <item h="1" x="261"/>
        <item h="1" x="463"/>
        <item h="1" x="317"/>
        <item h="1" x="458"/>
        <item h="1" x="256"/>
        <item h="1" x="456"/>
        <item h="1" x="263"/>
        <item h="1" x="264"/>
        <item h="1" x="294"/>
        <item h="1" x="455"/>
        <item h="1" x="462"/>
        <item h="1" x="293"/>
        <item h="1" x="310"/>
        <item h="1" x="309"/>
        <item h="1" x="308"/>
        <item h="1" x="330"/>
        <item h="1" x="421"/>
        <item h="1" x="329"/>
        <item h="1" x="259"/>
        <item h="1" x="273"/>
        <item h="1" x="457"/>
        <item h="1" x="292"/>
        <item h="1" x="277"/>
        <item h="1" x="461"/>
        <item h="1" x="459"/>
        <item h="1" x="278"/>
        <item h="1" x="460"/>
        <item h="1" x="454"/>
        <item h="1" x="265"/>
        <item h="1" x="269"/>
        <item h="1" x="258"/>
        <item h="1" x="276"/>
        <item h="1" x="328"/>
        <item h="1" x="301"/>
        <item h="1" x="274"/>
        <item h="1" x="260"/>
        <item h="1" x="275"/>
        <item h="1" x="272"/>
        <item h="1" x="290"/>
        <item h="1" x="295"/>
        <item h="1" x="351"/>
        <item h="1" x="471"/>
        <item h="1" x="279"/>
        <item h="1" x="262"/>
        <item h="1" x="268"/>
        <item h="1" x="271"/>
        <item h="1" x="470"/>
        <item h="1" x="296"/>
        <item h="1" x="307"/>
        <item h="1" x="270"/>
        <item h="1" x="469"/>
        <item h="1" x="302"/>
        <item h="1" x="408"/>
        <item h="1" x="472"/>
        <item h="1" x="289"/>
        <item h="1" x="304"/>
        <item h="1" x="306"/>
        <item h="1" x="303"/>
        <item h="1" x="398"/>
        <item h="1" x="397"/>
        <item h="1" x="396"/>
        <item h="1" x="394"/>
        <item h="1" x="407"/>
        <item h="1" x="385"/>
        <item h="1" x="395"/>
        <item h="1" x="399"/>
        <item h="1" x="388"/>
        <item h="1" x="386"/>
        <item h="1" x="392"/>
        <item h="1" x="299"/>
        <item h="1" x="300"/>
        <item h="1" x="391"/>
        <item h="1" x="405"/>
        <item h="1" x="389"/>
        <item h="1" x="298"/>
        <item h="1" x="387"/>
        <item h="1" x="390"/>
        <item h="1" x="403"/>
        <item h="1" x="406"/>
        <item h="1" x="404"/>
        <item h="1" x="402"/>
        <item h="1" x="287"/>
        <item h="1" x="297"/>
        <item h="1" x="305"/>
        <item h="1" x="401"/>
        <item h="1" x="280"/>
        <item h="1" x="393"/>
        <item h="1" x="473"/>
        <item h="1" x="400"/>
        <item h="1" x="383"/>
        <item h="1" x="381"/>
        <item h="1" x="379"/>
        <item h="1" x="382"/>
        <item h="1" x="367"/>
        <item h="1" x="353"/>
        <item h="1" x="380"/>
        <item h="1" x="474"/>
        <item h="1" x="475"/>
        <item h="1" x="352"/>
        <item h="1" x="384"/>
        <item h="1" x="359"/>
        <item h="1" x="282"/>
        <item h="1" x="378"/>
        <item h="1" x="370"/>
        <item h="1" x="281"/>
        <item h="1" x="377"/>
        <item h="1" x="357"/>
        <item h="1" x="369"/>
        <item h="1" x="376"/>
        <item h="1" x="286"/>
        <item h="1" x="285"/>
        <item h="1" x="375"/>
        <item h="1" x="368"/>
        <item h="1" x="373"/>
        <item h="1" x="288"/>
        <item h="1" x="283"/>
        <item h="1" x="371"/>
        <item h="1" x="360"/>
        <item h="1" x="361"/>
        <item h="1" x="356"/>
        <item h="1" x="284"/>
        <item h="1" x="366"/>
        <item h="1" x="355"/>
        <item h="1" x="362"/>
        <item h="1" x="363"/>
        <item h="1" x="372"/>
        <item h="1" x="358"/>
        <item h="1" x="354"/>
        <item h="1" x="365"/>
        <item h="1" x="364"/>
        <item h="1" x="374"/>
        <item h="1" x="476"/>
        <item h="1" x="477"/>
        <item h="1" x="480"/>
        <item h="1" x="481"/>
        <item h="1" x="479"/>
        <item h="1" x="483"/>
        <item h="1" x="478"/>
        <item h="1" x="482"/>
        <item h="1" x="484"/>
        <item h="1" x="487"/>
        <item h="1" x="486"/>
        <item h="1" x="490"/>
        <item h="1" x="489"/>
        <item h="1" x="488"/>
        <item h="1" x="485"/>
        <item h="1" x="491"/>
        <item h="1" x="498"/>
        <item h="1" x="492"/>
        <item h="1" x="505"/>
        <item h="1" x="500"/>
        <item h="1" x="497"/>
        <item h="1" x="502"/>
        <item h="1" x="501"/>
        <item h="1" x="493"/>
        <item h="1" x="496"/>
        <item h="1" x="495"/>
        <item h="1" x="511"/>
        <item h="1" x="507"/>
        <item h="1" x="494"/>
        <item h="1" x="503"/>
        <item h="1" x="506"/>
        <item h="1" x="504"/>
        <item h="1" x="510"/>
        <item h="1" x="514"/>
        <item h="1" x="508"/>
        <item h="1" x="509"/>
        <item h="1" x="512"/>
        <item h="1" x="513"/>
        <item h="1" x="499"/>
        <item h="1" x="515"/>
        <item h="1" x="516"/>
        <item h="1" x="567"/>
        <item h="1" x="568"/>
        <item h="1" x="570"/>
        <item h="1" x="517"/>
        <item h="1" x="569"/>
        <item h="1" x="525"/>
        <item h="1" x="563"/>
        <item h="1" x="531"/>
        <item h="1" x="526"/>
        <item h="1" x="566"/>
        <item h="1" x="564"/>
        <item h="1" x="565"/>
        <item h="1" x="559"/>
        <item h="1" x="571"/>
        <item h="1" x="529"/>
        <item h="1" x="518"/>
        <item h="1" x="573"/>
        <item h="1" x="543"/>
        <item h="1" x="572"/>
        <item h="1" x="544"/>
        <item h="1" x="530"/>
        <item h="1" x="545"/>
        <item h="1" x="533"/>
        <item h="1" x="560"/>
        <item h="1" x="540"/>
        <item h="1" x="576"/>
        <item h="1" x="580"/>
        <item h="1" x="532"/>
        <item h="1" x="542"/>
        <item h="1" x="581"/>
        <item h="1" x="562"/>
        <item h="1" x="558"/>
        <item h="1" x="548"/>
        <item h="1" x="557"/>
        <item h="1" x="527"/>
        <item h="1" x="575"/>
        <item h="1" x="579"/>
        <item h="1" x="538"/>
        <item h="1" x="528"/>
        <item h="1" x="577"/>
        <item h="1" x="582"/>
        <item h="1" x="561"/>
        <item h="1" x="578"/>
        <item h="1" x="574"/>
        <item h="1" x="521"/>
        <item h="1" x="541"/>
        <item h="1" x="539"/>
        <item h="1" x="534"/>
        <item h="1" x="523"/>
        <item h="1" x="537"/>
        <item h="1" x="520"/>
        <item h="1" x="524"/>
        <item h="1" x="535"/>
        <item h="1" x="552"/>
        <item h="1" x="551"/>
        <item h="1" x="536"/>
        <item h="1" x="519"/>
        <item h="1" x="550"/>
        <item h="1" x="522"/>
        <item h="1" x="546"/>
        <item h="1" x="549"/>
        <item h="1" x="583"/>
        <item h="1" x="547"/>
        <item h="1" x="584"/>
        <item h="1" x="554"/>
        <item h="1" x="556"/>
        <item h="1" x="555"/>
        <item h="1" x="553"/>
        <item h="1" x="585"/>
        <item h="1" x="586"/>
        <item h="1" x="587"/>
        <item h="1" x="589"/>
        <item h="1" x="588"/>
        <item h="1" x="599"/>
        <item h="1" x="598"/>
        <item h="1" x="600"/>
        <item h="1" x="593"/>
        <item h="1" x="601"/>
        <item h="1" x="595"/>
        <item h="1" x="590"/>
        <item h="1" x="597"/>
        <item h="1" x="591"/>
        <item h="1" x="594"/>
        <item h="1" x="592"/>
        <item h="1" x="596"/>
        <item h="1" x="795"/>
        <item h="1" x="763"/>
        <item h="1" x="796"/>
        <item h="1" x="602"/>
        <item h="1" x="797"/>
        <item h="1" x="765"/>
        <item h="1" x="734"/>
        <item h="1" x="764"/>
        <item h="1" x="794"/>
        <item h="1" x="732"/>
        <item h="1" x="735"/>
        <item h="1" x="731"/>
        <item h="1" x="798"/>
        <item h="1" x="603"/>
        <item h="1" x="790"/>
        <item h="1" x="800"/>
        <item h="1" x="738"/>
        <item h="1" x="792"/>
        <item h="1" x="773"/>
        <item h="1" x="799"/>
        <item h="1" x="737"/>
        <item h="1" x="739"/>
        <item h="1" x="793"/>
        <item h="1" x="736"/>
        <item h="1" x="762"/>
        <item h="1" x="801"/>
        <item h="1" x="805"/>
        <item h="1" x="667"/>
        <item h="1" x="733"/>
        <item h="1" x="776"/>
        <item h="1" x="769"/>
        <item h="1" x="772"/>
        <item h="1" x="774"/>
        <item h="1" x="789"/>
        <item h="1" x="778"/>
        <item h="1" x="786"/>
        <item h="1" x="791"/>
        <item h="1" x="788"/>
        <item h="1" x="668"/>
        <item h="1" x="804"/>
        <item h="1" x="740"/>
        <item h="1" x="770"/>
        <item h="1" x="787"/>
        <item h="1" x="775"/>
        <item h="1" x="777"/>
        <item h="1" x="785"/>
        <item h="1" x="803"/>
        <item h="1" x="730"/>
        <item h="1" x="829"/>
        <item h="1" x="721"/>
        <item h="1" x="806"/>
        <item h="1" x="725"/>
        <item h="1" x="780"/>
        <item h="1" x="802"/>
        <item h="1" x="828"/>
        <item h="1" x="771"/>
        <item h="1" x="821"/>
        <item h="1" x="666"/>
        <item h="1" x="761"/>
        <item h="1" x="822"/>
        <item h="1" x="741"/>
        <item h="1" x="676"/>
        <item h="1" x="677"/>
        <item h="1" x="723"/>
        <item h="1" x="820"/>
        <item h="1" x="767"/>
        <item h="1" x="726"/>
        <item h="1" x="768"/>
        <item h="1" x="779"/>
        <item h="1" x="674"/>
        <item h="1" x="605"/>
        <item h="1" x="653"/>
        <item h="1" x="760"/>
        <item h="1" x="678"/>
        <item h="1" x="680"/>
        <item h="1" x="724"/>
        <item h="1" x="807"/>
        <item h="1" x="766"/>
        <item h="1" x="722"/>
        <item h="1" x="624"/>
        <item h="1" x="729"/>
        <item h="1" x="607"/>
        <item h="1" x="823"/>
        <item h="1" x="824"/>
        <item h="1" x="827"/>
        <item h="1" x="826"/>
        <item h="1" x="673"/>
        <item h="1" x="606"/>
        <item h="1" x="830"/>
        <item h="1" x="604"/>
        <item h="1" x="727"/>
        <item h="1" x="825"/>
        <item h="1" x="832"/>
        <item h="1" x="728"/>
        <item h="1" x="784"/>
        <item h="1" x="669"/>
        <item h="1" x="679"/>
        <item h="1" x="808"/>
        <item h="1" x="675"/>
        <item h="1" x="664"/>
        <item h="1" x="814"/>
        <item h="1" x="672"/>
        <item h="1" x="608"/>
        <item h="1" x="720"/>
        <item h="1" x="809"/>
        <item h="1" x="831"/>
        <item h="1" x="819"/>
        <item h="1" x="812"/>
        <item h="1" x="810"/>
        <item h="1" x="663"/>
        <item h="1" x="651"/>
        <item h="1" x="654"/>
        <item h="1" x="811"/>
        <item h="1" x="662"/>
        <item h="1" x="627"/>
        <item h="1" x="610"/>
        <item h="1" x="652"/>
        <item h="1" x="649"/>
        <item h="1" x="665"/>
        <item h="1" x="655"/>
        <item h="1" x="670"/>
        <item h="1" x="745"/>
        <item h="1" x="671"/>
        <item h="1" x="628"/>
        <item h="1" x="781"/>
        <item h="1" x="718"/>
        <item h="1" x="744"/>
        <item h="1" x="782"/>
        <item h="1" x="719"/>
        <item h="1" x="660"/>
        <item h="1" x="813"/>
        <item h="1" x="783"/>
        <item h="1" x="661"/>
        <item h="1" x="758"/>
        <item h="1" x="717"/>
        <item h="1" x="742"/>
        <item h="1" x="657"/>
        <item h="1" x="716"/>
        <item h="1" x="656"/>
        <item h="1" x="743"/>
        <item h="1" x="715"/>
        <item h="1" x="815"/>
        <item h="1" x="682"/>
        <item h="1" x="621"/>
        <item h="1" x="759"/>
        <item h="1" x="751"/>
        <item h="1" x="638"/>
        <item h="1" x="626"/>
        <item h="1" x="818"/>
        <item h="1" x="650"/>
        <item h="1" x="752"/>
        <item h="1" x="816"/>
        <item h="1" x="817"/>
        <item h="1" x="750"/>
        <item h="1" x="639"/>
        <item h="1" x="711"/>
        <item h="1" x="833"/>
        <item h="1" x="611"/>
        <item h="1" x="712"/>
        <item h="1" x="757"/>
        <item h="1" x="681"/>
        <item h="1" x="685"/>
        <item h="1" x="659"/>
        <item h="1" x="842"/>
        <item h="1" x="714"/>
        <item h="1" x="713"/>
        <item h="1" x="844"/>
        <item h="1" x="746"/>
        <item h="1" x="710"/>
        <item h="1" x="756"/>
        <item h="1" x="658"/>
        <item h="1" x="612"/>
        <item h="1" x="684"/>
        <item h="1" x="845"/>
        <item h="1" x="834"/>
        <item h="1" x="683"/>
        <item h="1" x="747"/>
        <item h="1" x="648"/>
        <item h="1" x="629"/>
        <item h="1" x="708"/>
        <item h="1" x="841"/>
        <item h="1" x="840"/>
        <item h="1" x="836"/>
        <item h="1" x="697"/>
        <item h="1" x="623"/>
        <item h="1" x="695"/>
        <item h="1" x="749"/>
        <item h="1" x="835"/>
        <item h="1" x="698"/>
        <item h="1" x="699"/>
        <item h="1" x="854"/>
        <item h="1" x="754"/>
        <item h="1" x="641"/>
        <item h="1" x="753"/>
        <item h="1" x="625"/>
        <item h="1" x="846"/>
        <item h="1" x="689"/>
        <item h="1" x="748"/>
        <item h="1" x="843"/>
        <item h="1" x="709"/>
        <item h="1" x="755"/>
        <item h="1" x="694"/>
        <item h="1" x="613"/>
        <item h="1" x="609"/>
        <item h="1" x="838"/>
        <item h="1" x="696"/>
        <item h="1" x="622"/>
        <item h="1" x="837"/>
        <item h="1" x="614"/>
        <item h="1" x="640"/>
        <item h="1" x="692"/>
        <item h="1" x="690"/>
        <item h="1" x="853"/>
        <item h="1" x="700"/>
        <item h="1" x="642"/>
        <item h="1" x="839"/>
        <item h="1" x="615"/>
        <item h="1" x="688"/>
        <item h="1" x="645"/>
        <item h="1" x="691"/>
        <item h="1" x="852"/>
        <item h="1" x="705"/>
        <item h="1" x="704"/>
        <item h="1" x="855"/>
        <item h="1" x="643"/>
        <item h="1" x="693"/>
        <item h="1" x="620"/>
        <item h="1" x="632"/>
        <item h="1" x="851"/>
        <item h="1" x="707"/>
        <item h="1" x="635"/>
        <item h="1" x="706"/>
        <item h="1" x="637"/>
        <item h="1" x="634"/>
        <item h="1" x="847"/>
        <item h="1" x="630"/>
        <item h="1" x="631"/>
        <item h="1" x="647"/>
        <item h="1" x="687"/>
        <item h="1" x="850"/>
        <item h="1" x="701"/>
        <item h="1" x="646"/>
        <item h="1" x="633"/>
        <item h="1" x="703"/>
        <item h="1" x="702"/>
        <item h="1" x="636"/>
        <item h="1" x="619"/>
        <item h="1" x="686"/>
        <item h="1" x="617"/>
        <item h="1" x="644"/>
        <item h="1" x="616"/>
        <item h="1" x="849"/>
        <item h="1" x="848"/>
        <item h="1" x="618"/>
        <item h="1" x="856"/>
        <item h="1" x="857"/>
        <item h="1" x="858"/>
        <item h="1" x="859"/>
        <item h="1" x="980"/>
        <item h="1" x="860"/>
        <item h="1" x="979"/>
        <item h="1" x="983"/>
        <item h="1" x="1000"/>
        <item h="1" x="986"/>
        <item h="1" x="999"/>
        <item h="1" x="988"/>
        <item h="1" x="981"/>
        <item h="1" x="982"/>
        <item h="1" x="992"/>
        <item h="1" x="984"/>
        <item h="1" x="991"/>
        <item h="1" x="987"/>
        <item h="1" x="990"/>
        <item h="1" x="985"/>
        <item h="1" x="968"/>
        <item h="1" x="998"/>
        <item h="1" x="970"/>
        <item h="1" x="969"/>
        <item h="1" x="971"/>
        <item h="1" x="993"/>
        <item h="1" x="973"/>
        <item h="1" x="978"/>
        <item h="1" x="977"/>
        <item h="1" x="989"/>
        <item h="1" x="996"/>
        <item h="1" x="997"/>
        <item h="1" x="974"/>
        <item h="1" x="864"/>
        <item h="1" x="995"/>
        <item h="1" x="994"/>
        <item h="1" x="862"/>
        <item h="1" x="861"/>
        <item h="1" x="967"/>
        <item h="1" x="867"/>
        <item h="1" x="976"/>
        <item h="1" x="868"/>
        <item h="1" x="866"/>
        <item h="1" x="863"/>
        <item h="1" x="975"/>
        <item h="1" x="865"/>
        <item h="1" x="966"/>
        <item h="1" x="876"/>
        <item h="1" x="869"/>
        <item h="1" x="920"/>
        <item h="1" x="910"/>
        <item h="1" x="875"/>
        <item h="1" x="911"/>
        <item h="1" x="909"/>
        <item h="1" x="907"/>
        <item h="1" x="972"/>
        <item h="1" x="870"/>
        <item h="1" x="912"/>
        <item h="1" x="923"/>
        <item h="1" x="924"/>
        <item h="1" x="922"/>
        <item h="1" x="903"/>
        <item h="1" x="921"/>
        <item h="1" x="919"/>
        <item h="1" x="902"/>
        <item h="1" x="908"/>
        <item h="1" x="960"/>
        <item h="1" x="878"/>
        <item h="1" x="953"/>
        <item h="1" x="959"/>
        <item h="1" x="906"/>
        <item h="1" x="882"/>
        <item h="1" x="877"/>
        <item h="1" x="883"/>
        <item h="1" x="963"/>
        <item h="1" x="958"/>
        <item h="1" x="965"/>
        <item h="1" x="880"/>
        <item h="1" x="950"/>
        <item h="1" x="951"/>
        <item h="1" x="949"/>
        <item h="1" x="925"/>
        <item h="1" x="964"/>
        <item h="1" x="948"/>
        <item h="1" x="885"/>
        <item h="1" x="947"/>
        <item h="1" x="955"/>
        <item h="1" x="961"/>
        <item h="1" x="890"/>
        <item h="1" x="913"/>
        <item h="1" x="918"/>
        <item h="1" x="901"/>
        <item h="1" x="881"/>
        <item h="1" x="889"/>
        <item h="1" x="952"/>
        <item h="1" x="879"/>
        <item h="1" x="899"/>
        <item h="1" x="956"/>
        <item h="1" x="957"/>
        <item h="1" x="944"/>
        <item h="1" x="900"/>
        <item h="1" x="873"/>
        <item h="1" x="946"/>
        <item h="1" x="954"/>
        <item h="1" x="874"/>
        <item h="1" x="914"/>
        <item h="1" x="915"/>
        <item h="1" x="916"/>
        <item h="1" x="962"/>
        <item h="1" x="871"/>
        <item h="1" x="904"/>
        <item h="1" x="884"/>
        <item h="1" x="872"/>
        <item h="1" x="905"/>
        <item h="1" x="927"/>
        <item h="1" x="886"/>
        <item h="1" x="887"/>
        <item h="1" x="898"/>
        <item h="1" x="892"/>
        <item h="1" x="926"/>
        <item h="1" x="943"/>
        <item h="1" x="930"/>
        <item h="1" x="891"/>
        <item h="1" x="888"/>
        <item h="1" x="939"/>
        <item h="1" x="894"/>
        <item h="1" x="945"/>
        <item h="1" x="893"/>
        <item h="1" x="931"/>
        <item h="1" x="917"/>
        <item h="1" x="938"/>
        <item h="1" x="942"/>
        <item h="1" x="937"/>
        <item h="1" x="933"/>
        <item h="1" x="940"/>
        <item h="1" x="934"/>
        <item h="1" x="895"/>
        <item h="1" x="929"/>
        <item h="1" x="928"/>
        <item h="1" x="936"/>
        <item h="1" x="941"/>
        <item h="1" x="935"/>
        <item h="1" x="896"/>
        <item h="1" x="897"/>
        <item h="1" x="932"/>
        <item t="default"/>
      </items>
    </pivotField>
    <pivotField numFmtId="44" showAll="0"/>
    <pivotField showAll="0"/>
  </pivotFields>
  <rowFields count="1">
    <field x="5"/>
  </rowFields>
  <rowItems count="5">
    <i>
      <x/>
    </i>
    <i>
      <x v="1"/>
    </i>
    <i>
      <x v="2"/>
    </i>
    <i>
      <x v="3"/>
    </i>
    <i t="grand">
      <x/>
    </i>
  </rowItems>
  <colItems count="1">
    <i/>
  </colItems>
  <dataFields count="1">
    <dataField name="Cuenta de id_fecha"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8F702F-AA98-4539-B852-5FC6348F1681}" name="TablaDinámica2"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6">
  <location ref="F3:L1005" firstHeaderRow="0" firstDataRow="1" firstDataCol="1"/>
  <pivotFields count="16">
    <pivotField showAll="0"/>
    <pivotField showAll="0">
      <items count="34">
        <item x="9"/>
        <item x="21"/>
        <item x="1"/>
        <item x="13"/>
        <item x="25"/>
        <item x="5"/>
        <item x="17"/>
        <item x="29"/>
        <item x="6"/>
        <item x="18"/>
        <item x="30"/>
        <item x="7"/>
        <item x="19"/>
        <item x="31"/>
        <item x="0"/>
        <item x="12"/>
        <item x="24"/>
        <item x="11"/>
        <item x="23"/>
        <item x="8"/>
        <item x="20"/>
        <item x="32"/>
        <item x="10"/>
        <item x="22"/>
        <item x="4"/>
        <item x="16"/>
        <item x="28"/>
        <item x="3"/>
        <item x="15"/>
        <item x="27"/>
        <item x="2"/>
        <item x="14"/>
        <item x="26"/>
        <item t="default"/>
      </items>
    </pivotField>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items count="3">
        <item x="1"/>
        <item x="0"/>
        <item t="default"/>
      </items>
    </pivotField>
    <pivotField multipleItemSelectionAllowed="1" showAll="0">
      <items count="5">
        <item x="2"/>
        <item x="3"/>
        <item x="1"/>
        <item x="0"/>
        <item t="default"/>
      </items>
    </pivotField>
    <pivotField dataField="1"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dataField="1" numFmtId="2" showAll="0"/>
    <pivotField numFmtId="44" showAll="0"/>
    <pivotField numFmtId="44" showAll="0">
      <items count="1002">
        <item x="140"/>
        <item x="128"/>
        <item x="141"/>
        <item x="147"/>
        <item x="139"/>
        <item x="132"/>
        <item x="168"/>
        <item x="146"/>
        <item x="148"/>
        <item x="145"/>
        <item x="144"/>
        <item x="180"/>
        <item x="177"/>
        <item x="179"/>
        <item x="143"/>
        <item x="142"/>
        <item x="133"/>
        <item x="181"/>
        <item x="178"/>
        <item x="165"/>
        <item x="135"/>
        <item x="183"/>
        <item x="136"/>
        <item x="182"/>
        <item x="137"/>
        <item x="138"/>
        <item x="176"/>
        <item x="167"/>
        <item x="166"/>
        <item x="172"/>
        <item x="131"/>
        <item x="170"/>
        <item x="171"/>
        <item x="185"/>
        <item x="174"/>
        <item x="173"/>
        <item x="156"/>
        <item x="184"/>
        <item x="134"/>
        <item x="169"/>
        <item x="152"/>
        <item x="175"/>
        <item x="186"/>
        <item x="187"/>
        <item x="150"/>
        <item x="154"/>
        <item x="130"/>
        <item x="151"/>
        <item x="155"/>
        <item x="188"/>
        <item x="160"/>
        <item x="159"/>
        <item x="153"/>
        <item x="158"/>
        <item x="149"/>
        <item x="189"/>
        <item x="161"/>
        <item x="157"/>
        <item x="164"/>
        <item x="190"/>
        <item x="129"/>
        <item x="162"/>
        <item x="163"/>
        <item x="191"/>
        <item x="127"/>
        <item x="79"/>
        <item x="83"/>
        <item x="64"/>
        <item x="192"/>
        <item x="78"/>
        <item x="82"/>
        <item x="90"/>
        <item x="99"/>
        <item x="108"/>
        <item x="103"/>
        <item x="85"/>
        <item x="107"/>
        <item x="98"/>
        <item x="100"/>
        <item x="109"/>
        <item x="102"/>
        <item x="110"/>
        <item x="84"/>
        <item x="104"/>
        <item x="65"/>
        <item x="81"/>
        <item x="89"/>
        <item x="8"/>
        <item x="66"/>
        <item x="106"/>
        <item x="112"/>
        <item x="101"/>
        <item x="80"/>
        <item x="96"/>
        <item x="76"/>
        <item x="86"/>
        <item x="88"/>
        <item x="97"/>
        <item x="77"/>
        <item x="95"/>
        <item x="105"/>
        <item x="111"/>
        <item x="87"/>
        <item x="55"/>
        <item x="91"/>
        <item x="73"/>
        <item x="74"/>
        <item x="57"/>
        <item x="63"/>
        <item x="61"/>
        <item x="193"/>
        <item x="94"/>
        <item x="60"/>
        <item x="7"/>
        <item x="62"/>
        <item x="54"/>
        <item x="58"/>
        <item x="113"/>
        <item x="59"/>
        <item x="75"/>
        <item x="121"/>
        <item x="93"/>
        <item x="249"/>
        <item x="1"/>
        <item x="122"/>
        <item x="9"/>
        <item x="0"/>
        <item x="72"/>
        <item x="53"/>
        <item x="115"/>
        <item x="71"/>
        <item x="56"/>
        <item x="92"/>
        <item x="248"/>
        <item x="120"/>
        <item x="119"/>
        <item x="2"/>
        <item x="10"/>
        <item x="116"/>
        <item x="126"/>
        <item x="250"/>
        <item x="118"/>
        <item x="198"/>
        <item x="114"/>
        <item x="13"/>
        <item x="117"/>
        <item x="11"/>
        <item x="6"/>
        <item x="46"/>
        <item x="195"/>
        <item x="125"/>
        <item x="194"/>
        <item x="199"/>
        <item x="123"/>
        <item x="197"/>
        <item x="47"/>
        <item x="196"/>
        <item x="12"/>
        <item x="22"/>
        <item x="124"/>
        <item x="21"/>
        <item x="67"/>
        <item x="51"/>
        <item x="49"/>
        <item x="50"/>
        <item x="48"/>
        <item x="5"/>
        <item x="52"/>
        <item x="3"/>
        <item x="221"/>
        <item x="68"/>
        <item x="247"/>
        <item x="4"/>
        <item x="69"/>
        <item x="223"/>
        <item x="224"/>
        <item x="220"/>
        <item x="222"/>
        <item x="251"/>
        <item x="246"/>
        <item x="225"/>
        <item x="243"/>
        <item x="242"/>
        <item x="70"/>
        <item x="245"/>
        <item x="244"/>
        <item x="19"/>
        <item x="14"/>
        <item x="20"/>
        <item x="31"/>
        <item x="204"/>
        <item x="200"/>
        <item x="18"/>
        <item x="202"/>
        <item x="217"/>
        <item x="201"/>
        <item x="210"/>
        <item x="30"/>
        <item x="23"/>
        <item x="203"/>
        <item x="219"/>
        <item x="216"/>
        <item x="33"/>
        <item x="29"/>
        <item x="208"/>
        <item x="206"/>
        <item x="207"/>
        <item x="205"/>
        <item x="211"/>
        <item x="239"/>
        <item x="36"/>
        <item x="17"/>
        <item x="236"/>
        <item x="34"/>
        <item x="235"/>
        <item x="45"/>
        <item x="16"/>
        <item x="218"/>
        <item x="32"/>
        <item x="28"/>
        <item x="215"/>
        <item x="44"/>
        <item x="27"/>
        <item x="15"/>
        <item x="214"/>
        <item x="213"/>
        <item x="241"/>
        <item x="238"/>
        <item x="237"/>
        <item x="227"/>
        <item x="240"/>
        <item x="26"/>
        <item x="212"/>
        <item x="209"/>
        <item x="25"/>
        <item x="35"/>
        <item x="24"/>
        <item x="43"/>
        <item x="234"/>
        <item x="37"/>
        <item x="38"/>
        <item x="42"/>
        <item x="233"/>
        <item x="252"/>
        <item x="226"/>
        <item x="41"/>
        <item x="230"/>
        <item x="254"/>
        <item x="39"/>
        <item x="40"/>
        <item x="232"/>
        <item x="228"/>
        <item x="229"/>
        <item x="253"/>
        <item x="231"/>
        <item x="255"/>
        <item x="345"/>
        <item x="434"/>
        <item x="346"/>
        <item x="429"/>
        <item x="336"/>
        <item x="428"/>
        <item x="424"/>
        <item x="427"/>
        <item x="433"/>
        <item x="435"/>
        <item x="341"/>
        <item x="425"/>
        <item x="432"/>
        <item x="343"/>
        <item x="431"/>
        <item x="344"/>
        <item x="423"/>
        <item x="342"/>
        <item x="426"/>
        <item x="418"/>
        <item x="414"/>
        <item x="417"/>
        <item x="410"/>
        <item x="419"/>
        <item x="411"/>
        <item x="420"/>
        <item x="413"/>
        <item x="416"/>
        <item x="412"/>
        <item x="449"/>
        <item x="436"/>
        <item x="430"/>
        <item x="447"/>
        <item x="448"/>
        <item x="347"/>
        <item x="324"/>
        <item x="349"/>
        <item x="338"/>
        <item x="450"/>
        <item x="415"/>
        <item x="325"/>
        <item x="340"/>
        <item x="339"/>
        <item x="348"/>
        <item x="440"/>
        <item x="437"/>
        <item x="444"/>
        <item x="439"/>
        <item x="446"/>
        <item x="445"/>
        <item x="438"/>
        <item x="409"/>
        <item x="326"/>
        <item x="321"/>
        <item x="441"/>
        <item x="465"/>
        <item x="313"/>
        <item x="312"/>
        <item x="332"/>
        <item x="318"/>
        <item x="350"/>
        <item x="322"/>
        <item x="467"/>
        <item x="466"/>
        <item x="327"/>
        <item x="464"/>
        <item x="319"/>
        <item x="452"/>
        <item x="314"/>
        <item x="257"/>
        <item x="453"/>
        <item x="311"/>
        <item x="451"/>
        <item x="316"/>
        <item x="334"/>
        <item x="335"/>
        <item x="320"/>
        <item x="443"/>
        <item x="266"/>
        <item x="468"/>
        <item x="315"/>
        <item x="442"/>
        <item x="331"/>
        <item x="323"/>
        <item x="337"/>
        <item x="333"/>
        <item x="267"/>
        <item x="291"/>
        <item x="422"/>
        <item x="261"/>
        <item x="463"/>
        <item x="317"/>
        <item x="458"/>
        <item x="256"/>
        <item x="456"/>
        <item x="263"/>
        <item x="264"/>
        <item x="294"/>
        <item x="455"/>
        <item x="462"/>
        <item x="293"/>
        <item x="310"/>
        <item x="309"/>
        <item x="308"/>
        <item x="330"/>
        <item x="421"/>
        <item x="329"/>
        <item x="259"/>
        <item x="273"/>
        <item x="457"/>
        <item x="292"/>
        <item x="277"/>
        <item x="461"/>
        <item x="459"/>
        <item x="278"/>
        <item x="460"/>
        <item x="454"/>
        <item x="265"/>
        <item x="269"/>
        <item x="258"/>
        <item x="276"/>
        <item x="328"/>
        <item x="301"/>
        <item x="274"/>
        <item x="260"/>
        <item x="275"/>
        <item x="272"/>
        <item x="290"/>
        <item x="295"/>
        <item x="351"/>
        <item x="471"/>
        <item x="279"/>
        <item x="262"/>
        <item x="268"/>
        <item x="271"/>
        <item x="470"/>
        <item x="296"/>
        <item x="307"/>
        <item x="270"/>
        <item x="469"/>
        <item x="302"/>
        <item x="408"/>
        <item x="472"/>
        <item x="289"/>
        <item x="304"/>
        <item x="306"/>
        <item x="303"/>
        <item x="398"/>
        <item x="397"/>
        <item x="396"/>
        <item x="394"/>
        <item x="407"/>
        <item x="385"/>
        <item x="395"/>
        <item x="399"/>
        <item x="388"/>
        <item x="386"/>
        <item x="392"/>
        <item x="299"/>
        <item x="300"/>
        <item x="391"/>
        <item x="405"/>
        <item x="389"/>
        <item x="298"/>
        <item x="387"/>
        <item x="390"/>
        <item x="403"/>
        <item x="406"/>
        <item x="404"/>
        <item x="402"/>
        <item x="287"/>
        <item x="297"/>
        <item x="305"/>
        <item x="401"/>
        <item x="280"/>
        <item x="393"/>
        <item x="473"/>
        <item x="400"/>
        <item x="383"/>
        <item x="381"/>
        <item x="379"/>
        <item x="382"/>
        <item x="367"/>
        <item x="353"/>
        <item x="380"/>
        <item x="474"/>
        <item x="475"/>
        <item x="352"/>
        <item x="384"/>
        <item x="359"/>
        <item x="282"/>
        <item x="378"/>
        <item x="370"/>
        <item x="281"/>
        <item x="377"/>
        <item x="357"/>
        <item x="369"/>
        <item x="376"/>
        <item x="286"/>
        <item x="285"/>
        <item x="375"/>
        <item x="368"/>
        <item x="373"/>
        <item x="288"/>
        <item x="283"/>
        <item x="371"/>
        <item x="360"/>
        <item x="361"/>
        <item x="356"/>
        <item x="284"/>
        <item x="366"/>
        <item x="355"/>
        <item x="362"/>
        <item x="363"/>
        <item x="372"/>
        <item x="358"/>
        <item x="354"/>
        <item x="365"/>
        <item x="364"/>
        <item x="374"/>
        <item x="476"/>
        <item x="477"/>
        <item x="480"/>
        <item x="481"/>
        <item x="479"/>
        <item x="483"/>
        <item x="478"/>
        <item x="482"/>
        <item x="484"/>
        <item x="487"/>
        <item x="486"/>
        <item x="490"/>
        <item x="489"/>
        <item x="488"/>
        <item x="485"/>
        <item x="491"/>
        <item x="498"/>
        <item x="492"/>
        <item x="505"/>
        <item x="500"/>
        <item x="497"/>
        <item x="502"/>
        <item x="501"/>
        <item x="493"/>
        <item x="496"/>
        <item x="495"/>
        <item x="511"/>
        <item x="507"/>
        <item x="494"/>
        <item x="503"/>
        <item x="506"/>
        <item x="504"/>
        <item x="510"/>
        <item x="514"/>
        <item x="508"/>
        <item x="509"/>
        <item x="512"/>
        <item x="513"/>
        <item x="499"/>
        <item x="515"/>
        <item x="516"/>
        <item x="567"/>
        <item x="568"/>
        <item x="570"/>
        <item x="517"/>
        <item x="569"/>
        <item x="525"/>
        <item x="563"/>
        <item x="531"/>
        <item x="526"/>
        <item x="566"/>
        <item x="564"/>
        <item x="565"/>
        <item x="559"/>
        <item x="571"/>
        <item x="529"/>
        <item x="518"/>
        <item x="573"/>
        <item x="543"/>
        <item x="572"/>
        <item x="544"/>
        <item x="530"/>
        <item x="545"/>
        <item x="533"/>
        <item x="560"/>
        <item x="540"/>
        <item x="576"/>
        <item x="580"/>
        <item x="532"/>
        <item x="542"/>
        <item x="581"/>
        <item x="562"/>
        <item x="558"/>
        <item x="548"/>
        <item x="557"/>
        <item x="527"/>
        <item x="575"/>
        <item x="579"/>
        <item x="538"/>
        <item x="528"/>
        <item x="577"/>
        <item x="582"/>
        <item x="561"/>
        <item x="578"/>
        <item x="574"/>
        <item x="521"/>
        <item x="541"/>
        <item x="539"/>
        <item x="534"/>
        <item x="523"/>
        <item x="537"/>
        <item x="520"/>
        <item x="524"/>
        <item x="535"/>
        <item x="552"/>
        <item x="551"/>
        <item x="536"/>
        <item x="519"/>
        <item x="550"/>
        <item x="522"/>
        <item x="546"/>
        <item x="549"/>
        <item x="583"/>
        <item x="547"/>
        <item x="584"/>
        <item x="554"/>
        <item x="556"/>
        <item x="555"/>
        <item x="553"/>
        <item x="585"/>
        <item x="586"/>
        <item x="587"/>
        <item x="589"/>
        <item x="588"/>
        <item x="599"/>
        <item x="598"/>
        <item x="600"/>
        <item x="593"/>
        <item x="601"/>
        <item x="595"/>
        <item x="590"/>
        <item x="597"/>
        <item x="591"/>
        <item x="594"/>
        <item x="592"/>
        <item x="596"/>
        <item x="795"/>
        <item x="763"/>
        <item x="796"/>
        <item x="602"/>
        <item x="797"/>
        <item x="765"/>
        <item x="734"/>
        <item x="764"/>
        <item x="794"/>
        <item x="732"/>
        <item x="735"/>
        <item x="731"/>
        <item x="798"/>
        <item x="603"/>
        <item x="790"/>
        <item x="800"/>
        <item x="738"/>
        <item x="792"/>
        <item x="773"/>
        <item x="799"/>
        <item x="737"/>
        <item x="739"/>
        <item x="793"/>
        <item x="736"/>
        <item x="762"/>
        <item x="801"/>
        <item x="805"/>
        <item x="667"/>
        <item x="733"/>
        <item x="776"/>
        <item x="769"/>
        <item x="772"/>
        <item x="774"/>
        <item x="789"/>
        <item x="778"/>
        <item x="786"/>
        <item x="791"/>
        <item x="788"/>
        <item x="668"/>
        <item x="804"/>
        <item x="740"/>
        <item x="770"/>
        <item x="787"/>
        <item x="775"/>
        <item x="777"/>
        <item x="785"/>
        <item x="803"/>
        <item x="730"/>
        <item x="829"/>
        <item x="721"/>
        <item x="806"/>
        <item x="725"/>
        <item x="780"/>
        <item x="802"/>
        <item x="828"/>
        <item x="771"/>
        <item x="821"/>
        <item x="666"/>
        <item x="761"/>
        <item x="822"/>
        <item x="741"/>
        <item x="676"/>
        <item x="677"/>
        <item x="723"/>
        <item x="820"/>
        <item x="767"/>
        <item x="726"/>
        <item x="768"/>
        <item x="779"/>
        <item x="674"/>
        <item x="605"/>
        <item x="653"/>
        <item x="760"/>
        <item x="678"/>
        <item x="680"/>
        <item x="724"/>
        <item x="807"/>
        <item x="766"/>
        <item x="722"/>
        <item x="624"/>
        <item x="729"/>
        <item x="607"/>
        <item x="823"/>
        <item x="824"/>
        <item x="827"/>
        <item x="826"/>
        <item x="673"/>
        <item x="606"/>
        <item x="830"/>
        <item x="604"/>
        <item x="727"/>
        <item x="825"/>
        <item x="832"/>
        <item x="728"/>
        <item x="784"/>
        <item x="669"/>
        <item x="679"/>
        <item x="808"/>
        <item x="675"/>
        <item x="664"/>
        <item x="814"/>
        <item x="672"/>
        <item x="608"/>
        <item x="720"/>
        <item x="809"/>
        <item x="831"/>
        <item x="819"/>
        <item x="812"/>
        <item x="810"/>
        <item x="663"/>
        <item x="651"/>
        <item x="654"/>
        <item x="811"/>
        <item x="662"/>
        <item x="627"/>
        <item x="610"/>
        <item x="652"/>
        <item x="649"/>
        <item x="665"/>
        <item x="655"/>
        <item x="670"/>
        <item x="745"/>
        <item x="671"/>
        <item x="628"/>
        <item x="781"/>
        <item x="718"/>
        <item x="744"/>
        <item x="782"/>
        <item x="719"/>
        <item x="660"/>
        <item x="813"/>
        <item x="783"/>
        <item x="661"/>
        <item x="758"/>
        <item x="717"/>
        <item x="742"/>
        <item x="657"/>
        <item x="716"/>
        <item x="656"/>
        <item x="743"/>
        <item x="715"/>
        <item x="815"/>
        <item x="682"/>
        <item x="621"/>
        <item x="759"/>
        <item x="751"/>
        <item x="638"/>
        <item x="626"/>
        <item x="818"/>
        <item x="650"/>
        <item x="752"/>
        <item x="816"/>
        <item x="817"/>
        <item x="750"/>
        <item x="639"/>
        <item x="711"/>
        <item x="833"/>
        <item x="611"/>
        <item x="712"/>
        <item x="757"/>
        <item x="681"/>
        <item x="685"/>
        <item x="659"/>
        <item x="842"/>
        <item x="714"/>
        <item x="713"/>
        <item x="844"/>
        <item x="746"/>
        <item x="710"/>
        <item x="756"/>
        <item x="658"/>
        <item x="612"/>
        <item x="684"/>
        <item x="845"/>
        <item x="834"/>
        <item x="683"/>
        <item x="747"/>
        <item x="648"/>
        <item x="629"/>
        <item x="708"/>
        <item x="841"/>
        <item x="840"/>
        <item x="836"/>
        <item x="697"/>
        <item x="623"/>
        <item x="695"/>
        <item x="749"/>
        <item x="835"/>
        <item x="698"/>
        <item x="699"/>
        <item x="854"/>
        <item x="754"/>
        <item x="641"/>
        <item x="753"/>
        <item x="625"/>
        <item x="846"/>
        <item x="689"/>
        <item x="748"/>
        <item x="843"/>
        <item x="709"/>
        <item x="755"/>
        <item x="694"/>
        <item x="613"/>
        <item x="609"/>
        <item x="838"/>
        <item x="696"/>
        <item x="622"/>
        <item x="837"/>
        <item x="614"/>
        <item x="640"/>
        <item x="692"/>
        <item x="690"/>
        <item x="853"/>
        <item x="700"/>
        <item x="642"/>
        <item x="839"/>
        <item x="615"/>
        <item x="688"/>
        <item x="645"/>
        <item x="691"/>
        <item x="852"/>
        <item x="705"/>
        <item x="704"/>
        <item x="855"/>
        <item x="643"/>
        <item x="693"/>
        <item x="620"/>
        <item x="632"/>
        <item x="851"/>
        <item x="707"/>
        <item x="635"/>
        <item x="706"/>
        <item x="637"/>
        <item x="634"/>
        <item x="847"/>
        <item x="630"/>
        <item x="631"/>
        <item x="647"/>
        <item x="687"/>
        <item x="850"/>
        <item x="701"/>
        <item x="646"/>
        <item x="633"/>
        <item x="703"/>
        <item x="702"/>
        <item x="636"/>
        <item x="619"/>
        <item x="686"/>
        <item x="617"/>
        <item x="644"/>
        <item x="616"/>
        <item x="849"/>
        <item x="848"/>
        <item x="618"/>
        <item x="856"/>
        <item x="857"/>
        <item x="858"/>
        <item x="859"/>
        <item x="980"/>
        <item x="860"/>
        <item x="979"/>
        <item x="983"/>
        <item x="1000"/>
        <item x="986"/>
        <item x="999"/>
        <item x="988"/>
        <item x="981"/>
        <item x="982"/>
        <item x="992"/>
        <item x="984"/>
        <item x="991"/>
        <item x="987"/>
        <item x="990"/>
        <item x="985"/>
        <item x="968"/>
        <item x="998"/>
        <item x="970"/>
        <item x="969"/>
        <item x="971"/>
        <item x="993"/>
        <item x="973"/>
        <item x="978"/>
        <item x="977"/>
        <item x="989"/>
        <item x="996"/>
        <item x="997"/>
        <item x="974"/>
        <item x="864"/>
        <item x="995"/>
        <item x="994"/>
        <item x="862"/>
        <item x="861"/>
        <item x="967"/>
        <item x="867"/>
        <item x="976"/>
        <item x="868"/>
        <item x="866"/>
        <item x="863"/>
        <item x="975"/>
        <item x="865"/>
        <item x="966"/>
        <item x="876"/>
        <item x="869"/>
        <item x="920"/>
        <item x="910"/>
        <item x="875"/>
        <item x="911"/>
        <item x="909"/>
        <item x="907"/>
        <item x="972"/>
        <item x="870"/>
        <item x="912"/>
        <item x="923"/>
        <item x="924"/>
        <item x="922"/>
        <item x="903"/>
        <item x="921"/>
        <item x="919"/>
        <item x="902"/>
        <item x="908"/>
        <item x="960"/>
        <item x="878"/>
        <item x="953"/>
        <item x="959"/>
        <item x="906"/>
        <item x="882"/>
        <item x="877"/>
        <item x="883"/>
        <item x="963"/>
        <item x="958"/>
        <item x="965"/>
        <item x="880"/>
        <item x="950"/>
        <item x="951"/>
        <item x="949"/>
        <item x="925"/>
        <item x="964"/>
        <item x="948"/>
        <item x="885"/>
        <item x="947"/>
        <item x="955"/>
        <item x="961"/>
        <item x="890"/>
        <item x="913"/>
        <item x="918"/>
        <item x="901"/>
        <item x="881"/>
        <item x="889"/>
        <item x="952"/>
        <item x="879"/>
        <item x="899"/>
        <item x="956"/>
        <item x="957"/>
        <item x="944"/>
        <item x="900"/>
        <item x="873"/>
        <item x="946"/>
        <item x="954"/>
        <item x="874"/>
        <item x="914"/>
        <item x="915"/>
        <item x="916"/>
        <item x="962"/>
        <item x="871"/>
        <item x="904"/>
        <item x="884"/>
        <item x="872"/>
        <item x="905"/>
        <item x="927"/>
        <item x="886"/>
        <item x="887"/>
        <item x="898"/>
        <item x="892"/>
        <item x="926"/>
        <item x="943"/>
        <item x="930"/>
        <item x="891"/>
        <item x="888"/>
        <item x="939"/>
        <item x="894"/>
        <item x="945"/>
        <item x="893"/>
        <item x="931"/>
        <item x="917"/>
        <item x="938"/>
        <item x="942"/>
        <item x="937"/>
        <item x="933"/>
        <item x="940"/>
        <item x="934"/>
        <item x="895"/>
        <item x="929"/>
        <item x="928"/>
        <item x="936"/>
        <item x="941"/>
        <item x="935"/>
        <item x="896"/>
        <item x="897"/>
        <item x="932"/>
        <item t="default"/>
      </items>
    </pivotField>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6">
    <i>
      <x/>
    </i>
    <i i="1">
      <x v="1"/>
    </i>
    <i i="2">
      <x v="2"/>
    </i>
    <i i="3">
      <x v="3"/>
    </i>
    <i i="4">
      <x v="4"/>
    </i>
    <i i="5">
      <x v="5"/>
    </i>
  </colItems>
  <dataFields count="6">
    <dataField name="Mín. de index" fld="6" subtotal="min" baseField="2" baseItem="0"/>
    <dataField name="Promedio de index" fld="6" subtotal="average" baseField="15" baseItem="1"/>
    <dataField name="Máx. de index" fld="6" subtotal="max" baseField="2" baseItem="0"/>
    <dataField name="Mín. de cierre IRX" fld="8" subtotal="min" baseField="2" baseItem="0" numFmtId="2"/>
    <dataField name="Promedio de cierre IRX" fld="8" subtotal="average" baseField="2" baseItem="0" numFmtId="2"/>
    <dataField name="Máx. de cierre IRX" fld="8" subtotal="max" baseField="2" baseItem="0" numFmtId="2"/>
  </dataFields>
  <formats count="56">
    <format dxfId="191">
      <pivotArea type="all" dataOnly="0" outline="0" fieldPosition="0"/>
    </format>
    <format dxfId="190">
      <pivotArea outline="0" collapsedLevelsAreSubtotals="1" fieldPosition="0"/>
    </format>
    <format dxfId="189">
      <pivotArea field="2" type="button" dataOnly="0" labelOnly="1" outline="0" axis="axisRow" fieldPosition="0"/>
    </format>
    <format dxfId="188">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187">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186">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185">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184">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183">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182">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181">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180">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179">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178">
      <pivotArea dataOnly="0" labelOnly="1" grandRow="1" outline="0" fieldPosition="0"/>
    </format>
    <format dxfId="177">
      <pivotArea dataOnly="0" labelOnly="1" outline="0" fieldPosition="0">
        <references count="1">
          <reference field="4294967294" count="1">
            <x v="1"/>
          </reference>
        </references>
      </pivotArea>
    </format>
    <format dxfId="176">
      <pivotArea type="all" dataOnly="0" outline="0" fieldPosition="0"/>
    </format>
    <format dxfId="175">
      <pivotArea outline="0" collapsedLevelsAreSubtotals="1" fieldPosition="0"/>
    </format>
    <format dxfId="174">
      <pivotArea field="2" type="button" dataOnly="0" labelOnly="1" outline="0" axis="axisRow" fieldPosition="0"/>
    </format>
    <format dxfId="173">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172">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171">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170">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169">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168">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167">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166">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165">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164">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163">
      <pivotArea dataOnly="0" labelOnly="1" grandRow="1" outline="0" fieldPosition="0"/>
    </format>
    <format dxfId="162">
      <pivotArea dataOnly="0" labelOnly="1" outline="0" fieldPosition="0">
        <references count="1">
          <reference field="4294967294" count="1">
            <x v="1"/>
          </reference>
        </references>
      </pivotArea>
    </format>
    <format dxfId="161">
      <pivotArea type="all" dataOnly="0" outline="0" fieldPosition="0"/>
    </format>
    <format dxfId="160">
      <pivotArea outline="0" collapsedLevelsAreSubtotals="1" fieldPosition="0"/>
    </format>
    <format dxfId="159">
      <pivotArea field="2" type="button" dataOnly="0" labelOnly="1" outline="0" axis="axisRow" fieldPosition="0"/>
    </format>
    <format dxfId="158">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7">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6">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5">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54">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53">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52">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51">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50">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49">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48">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47">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6">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45">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44">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43">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42">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41">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40">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39">
      <pivotArea dataOnly="0" labelOnly="1" fieldPosition="0">
        <references count="1">
          <reference field="2"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38">
      <pivotArea dataOnly="0" labelOnly="1" fieldPosition="0">
        <references count="1">
          <reference field="2" count="1">
            <x v="1000"/>
          </reference>
        </references>
      </pivotArea>
    </format>
    <format dxfId="137">
      <pivotArea dataOnly="0" labelOnly="1" grandRow="1" outline="0" fieldPosition="0"/>
    </format>
    <format dxfId="136">
      <pivotArea dataOnly="0" labelOnly="1" outline="0" fieldPosition="0">
        <references count="1">
          <reference field="4294967294" count="3">
            <x v="0"/>
            <x v="1"/>
            <x v="2"/>
          </reference>
        </references>
      </pivotArea>
    </format>
  </formats>
  <chartFormats count="2">
    <chartFormat chart="5" format="6" series="1">
      <pivotArea type="data" outline="0" fieldPosition="0">
        <references count="1">
          <reference field="4294967294" count="1" selected="0">
            <x v="1"/>
          </reference>
        </references>
      </pivotArea>
    </chartFormat>
    <chartFormat chart="5" format="7">
      <pivotArea type="data" outline="0" fieldPosition="0">
        <references count="2">
          <reference field="4294967294" count="1" selected="0">
            <x v="1"/>
          </reference>
          <reference field="2" count="1" selected="0">
            <x v="5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AEF223-E7CA-47A1-BE7E-E6D52EEE4B51}" name="TablaDinámica10"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13">
  <location ref="B3:D1005" firstHeaderRow="0" firstDataRow="1" firstDataCol="1"/>
  <pivotFields count="16">
    <pivotField showAll="0"/>
    <pivotField showAll="0">
      <items count="34">
        <item x="9"/>
        <item x="21"/>
        <item x="1"/>
        <item x="13"/>
        <item x="25"/>
        <item x="5"/>
        <item x="17"/>
        <item x="29"/>
        <item x="6"/>
        <item x="18"/>
        <item x="30"/>
        <item x="7"/>
        <item x="19"/>
        <item x="31"/>
        <item x="0"/>
        <item x="12"/>
        <item x="24"/>
        <item x="11"/>
        <item x="23"/>
        <item x="8"/>
        <item x="20"/>
        <item x="32"/>
        <item x="10"/>
        <item x="22"/>
        <item x="4"/>
        <item x="16"/>
        <item x="28"/>
        <item x="3"/>
        <item x="15"/>
        <item x="27"/>
        <item x="2"/>
        <item x="14"/>
        <item x="26"/>
        <item t="default"/>
      </items>
    </pivotField>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items count="3">
        <item x="1"/>
        <item x="0"/>
        <item t="default"/>
      </items>
    </pivotField>
    <pivotField multipleItemSelectionAllowed="1" showAll="0">
      <items count="5">
        <item x="2"/>
        <item x="3"/>
        <item x="1"/>
        <item x="0"/>
        <item t="default"/>
      </items>
    </pivotField>
    <pivotField dataField="1"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dataField="1" numFmtId="2" showAll="0"/>
    <pivotField numFmtId="44" showAll="0"/>
    <pivotField numFmtId="44" showAll="0">
      <items count="1002">
        <item x="140"/>
        <item x="128"/>
        <item x="141"/>
        <item x="147"/>
        <item x="139"/>
        <item x="132"/>
        <item x="168"/>
        <item x="146"/>
        <item x="148"/>
        <item x="145"/>
        <item x="144"/>
        <item x="180"/>
        <item x="177"/>
        <item x="179"/>
        <item x="143"/>
        <item x="142"/>
        <item x="133"/>
        <item x="181"/>
        <item x="178"/>
        <item x="165"/>
        <item x="135"/>
        <item x="183"/>
        <item x="136"/>
        <item x="182"/>
        <item x="137"/>
        <item x="138"/>
        <item x="176"/>
        <item x="167"/>
        <item x="166"/>
        <item x="172"/>
        <item x="131"/>
        <item x="170"/>
        <item x="171"/>
        <item x="185"/>
        <item x="174"/>
        <item x="173"/>
        <item x="156"/>
        <item x="184"/>
        <item x="134"/>
        <item x="169"/>
        <item x="152"/>
        <item x="175"/>
        <item x="186"/>
        <item x="187"/>
        <item x="150"/>
        <item x="154"/>
        <item x="130"/>
        <item x="151"/>
        <item x="155"/>
        <item x="188"/>
        <item x="160"/>
        <item x="159"/>
        <item x="153"/>
        <item x="158"/>
        <item x="149"/>
        <item x="189"/>
        <item x="161"/>
        <item x="157"/>
        <item x="164"/>
        <item x="190"/>
        <item x="129"/>
        <item x="162"/>
        <item x="163"/>
        <item x="191"/>
        <item x="127"/>
        <item x="79"/>
        <item x="83"/>
        <item x="64"/>
        <item x="192"/>
        <item x="78"/>
        <item x="82"/>
        <item x="90"/>
        <item x="99"/>
        <item x="108"/>
        <item x="103"/>
        <item x="85"/>
        <item x="107"/>
        <item x="98"/>
        <item x="100"/>
        <item x="109"/>
        <item x="102"/>
        <item x="110"/>
        <item x="84"/>
        <item x="104"/>
        <item x="65"/>
        <item x="81"/>
        <item x="89"/>
        <item x="8"/>
        <item x="66"/>
        <item x="106"/>
        <item x="112"/>
        <item x="101"/>
        <item x="80"/>
        <item x="96"/>
        <item x="76"/>
        <item x="86"/>
        <item x="88"/>
        <item x="97"/>
        <item x="77"/>
        <item x="95"/>
        <item x="105"/>
        <item x="111"/>
        <item x="87"/>
        <item x="55"/>
        <item x="91"/>
        <item x="73"/>
        <item x="74"/>
        <item x="57"/>
        <item x="63"/>
        <item x="61"/>
        <item x="193"/>
        <item x="94"/>
        <item x="60"/>
        <item x="7"/>
        <item x="62"/>
        <item x="54"/>
        <item x="58"/>
        <item x="113"/>
        <item x="59"/>
        <item x="75"/>
        <item x="121"/>
        <item x="93"/>
        <item x="249"/>
        <item x="1"/>
        <item x="122"/>
        <item x="9"/>
        <item x="0"/>
        <item x="72"/>
        <item x="53"/>
        <item x="115"/>
        <item x="71"/>
        <item x="56"/>
        <item x="92"/>
        <item x="248"/>
        <item x="120"/>
        <item x="119"/>
        <item x="2"/>
        <item x="10"/>
        <item x="116"/>
        <item x="126"/>
        <item x="250"/>
        <item x="118"/>
        <item x="198"/>
        <item x="114"/>
        <item x="13"/>
        <item x="117"/>
        <item x="11"/>
        <item x="6"/>
        <item x="46"/>
        <item x="195"/>
        <item x="125"/>
        <item x="194"/>
        <item x="199"/>
        <item x="123"/>
        <item x="197"/>
        <item x="47"/>
        <item x="196"/>
        <item x="12"/>
        <item x="22"/>
        <item x="124"/>
        <item x="21"/>
        <item x="67"/>
        <item x="51"/>
        <item x="49"/>
        <item x="50"/>
        <item x="48"/>
        <item x="5"/>
        <item x="52"/>
        <item x="3"/>
        <item x="221"/>
        <item x="68"/>
        <item x="247"/>
        <item x="4"/>
        <item x="69"/>
        <item x="223"/>
        <item x="224"/>
        <item x="220"/>
        <item x="222"/>
        <item x="251"/>
        <item x="246"/>
        <item x="225"/>
        <item x="243"/>
        <item x="242"/>
        <item x="70"/>
        <item x="245"/>
        <item x="244"/>
        <item x="19"/>
        <item x="14"/>
        <item x="20"/>
        <item x="31"/>
        <item x="204"/>
        <item x="200"/>
        <item x="18"/>
        <item x="202"/>
        <item x="217"/>
        <item x="201"/>
        <item x="210"/>
        <item x="30"/>
        <item x="23"/>
        <item x="203"/>
        <item x="219"/>
        <item x="216"/>
        <item x="33"/>
        <item x="29"/>
        <item x="208"/>
        <item x="206"/>
        <item x="207"/>
        <item x="205"/>
        <item x="211"/>
        <item x="239"/>
        <item x="36"/>
        <item x="17"/>
        <item x="236"/>
        <item x="34"/>
        <item x="235"/>
        <item x="45"/>
        <item x="16"/>
        <item x="218"/>
        <item x="32"/>
        <item x="28"/>
        <item x="215"/>
        <item x="44"/>
        <item x="27"/>
        <item x="15"/>
        <item x="214"/>
        <item x="213"/>
        <item x="241"/>
        <item x="238"/>
        <item x="237"/>
        <item x="227"/>
        <item x="240"/>
        <item x="26"/>
        <item x="212"/>
        <item x="209"/>
        <item x="25"/>
        <item x="35"/>
        <item x="24"/>
        <item x="43"/>
        <item x="234"/>
        <item x="37"/>
        <item x="38"/>
        <item x="42"/>
        <item x="233"/>
        <item x="252"/>
        <item x="226"/>
        <item x="41"/>
        <item x="230"/>
        <item x="254"/>
        <item x="39"/>
        <item x="40"/>
        <item x="232"/>
        <item x="228"/>
        <item x="229"/>
        <item x="253"/>
        <item x="231"/>
        <item x="255"/>
        <item x="345"/>
        <item x="434"/>
        <item x="346"/>
        <item x="429"/>
        <item x="336"/>
        <item x="428"/>
        <item x="424"/>
        <item x="427"/>
        <item x="433"/>
        <item x="435"/>
        <item x="341"/>
        <item x="425"/>
        <item x="432"/>
        <item x="343"/>
        <item x="431"/>
        <item x="344"/>
        <item x="423"/>
        <item x="342"/>
        <item x="426"/>
        <item x="418"/>
        <item x="414"/>
        <item x="417"/>
        <item x="410"/>
        <item x="419"/>
        <item x="411"/>
        <item x="420"/>
        <item x="413"/>
        <item x="416"/>
        <item x="412"/>
        <item x="449"/>
        <item x="436"/>
        <item x="430"/>
        <item x="447"/>
        <item x="448"/>
        <item x="347"/>
        <item x="324"/>
        <item x="349"/>
        <item x="338"/>
        <item x="450"/>
        <item x="415"/>
        <item x="325"/>
        <item x="340"/>
        <item x="339"/>
        <item x="348"/>
        <item x="440"/>
        <item x="437"/>
        <item x="444"/>
        <item x="439"/>
        <item x="446"/>
        <item x="445"/>
        <item x="438"/>
        <item x="409"/>
        <item x="326"/>
        <item x="321"/>
        <item x="441"/>
        <item x="465"/>
        <item x="313"/>
        <item x="312"/>
        <item x="332"/>
        <item x="318"/>
        <item x="350"/>
        <item x="322"/>
        <item x="467"/>
        <item x="466"/>
        <item x="327"/>
        <item x="464"/>
        <item x="319"/>
        <item x="452"/>
        <item x="314"/>
        <item x="257"/>
        <item x="453"/>
        <item x="311"/>
        <item x="451"/>
        <item x="316"/>
        <item x="334"/>
        <item x="335"/>
        <item x="320"/>
        <item x="443"/>
        <item x="266"/>
        <item x="468"/>
        <item x="315"/>
        <item x="442"/>
        <item x="331"/>
        <item x="323"/>
        <item x="337"/>
        <item x="333"/>
        <item x="267"/>
        <item x="291"/>
        <item x="422"/>
        <item x="261"/>
        <item x="463"/>
        <item x="317"/>
        <item x="458"/>
        <item x="256"/>
        <item x="456"/>
        <item x="263"/>
        <item x="264"/>
        <item x="294"/>
        <item x="455"/>
        <item x="462"/>
        <item x="293"/>
        <item x="310"/>
        <item x="309"/>
        <item x="308"/>
        <item x="330"/>
        <item x="421"/>
        <item x="329"/>
        <item x="259"/>
        <item x="273"/>
        <item x="457"/>
        <item x="292"/>
        <item x="277"/>
        <item x="461"/>
        <item x="459"/>
        <item x="278"/>
        <item x="460"/>
        <item x="454"/>
        <item x="265"/>
        <item x="269"/>
        <item x="258"/>
        <item x="276"/>
        <item x="328"/>
        <item x="301"/>
        <item x="274"/>
        <item x="260"/>
        <item x="275"/>
        <item x="272"/>
        <item x="290"/>
        <item x="295"/>
        <item x="351"/>
        <item x="471"/>
        <item x="279"/>
        <item x="262"/>
        <item x="268"/>
        <item x="271"/>
        <item x="470"/>
        <item x="296"/>
        <item x="307"/>
        <item x="270"/>
        <item x="469"/>
        <item x="302"/>
        <item x="408"/>
        <item x="472"/>
        <item x="289"/>
        <item x="304"/>
        <item x="306"/>
        <item x="303"/>
        <item x="398"/>
        <item x="397"/>
        <item x="396"/>
        <item x="394"/>
        <item x="407"/>
        <item x="385"/>
        <item x="395"/>
        <item x="399"/>
        <item x="388"/>
        <item x="386"/>
        <item x="392"/>
        <item x="299"/>
        <item x="300"/>
        <item x="391"/>
        <item x="405"/>
        <item x="389"/>
        <item x="298"/>
        <item x="387"/>
        <item x="390"/>
        <item x="403"/>
        <item x="406"/>
        <item x="404"/>
        <item x="402"/>
        <item x="287"/>
        <item x="297"/>
        <item x="305"/>
        <item x="401"/>
        <item x="280"/>
        <item x="393"/>
        <item x="473"/>
        <item x="400"/>
        <item x="383"/>
        <item x="381"/>
        <item x="379"/>
        <item x="382"/>
        <item x="367"/>
        <item x="353"/>
        <item x="380"/>
        <item x="474"/>
        <item x="475"/>
        <item x="352"/>
        <item x="384"/>
        <item x="359"/>
        <item x="282"/>
        <item x="378"/>
        <item x="370"/>
        <item x="281"/>
        <item x="377"/>
        <item x="357"/>
        <item x="369"/>
        <item x="376"/>
        <item x="286"/>
        <item x="285"/>
        <item x="375"/>
        <item x="368"/>
        <item x="373"/>
        <item x="288"/>
        <item x="283"/>
        <item x="371"/>
        <item x="360"/>
        <item x="361"/>
        <item x="356"/>
        <item x="284"/>
        <item x="366"/>
        <item x="355"/>
        <item x="362"/>
        <item x="363"/>
        <item x="372"/>
        <item x="358"/>
        <item x="354"/>
        <item x="365"/>
        <item x="364"/>
        <item x="374"/>
        <item x="476"/>
        <item x="477"/>
        <item x="480"/>
        <item x="481"/>
        <item x="479"/>
        <item x="483"/>
        <item x="478"/>
        <item x="482"/>
        <item x="484"/>
        <item x="487"/>
        <item x="486"/>
        <item x="490"/>
        <item x="489"/>
        <item x="488"/>
        <item x="485"/>
        <item x="491"/>
        <item x="498"/>
        <item x="492"/>
        <item x="505"/>
        <item x="500"/>
        <item x="497"/>
        <item x="502"/>
        <item x="501"/>
        <item x="493"/>
        <item x="496"/>
        <item x="495"/>
        <item x="511"/>
        <item x="507"/>
        <item x="494"/>
        <item x="503"/>
        <item x="506"/>
        <item x="504"/>
        <item x="510"/>
        <item x="514"/>
        <item x="508"/>
        <item x="509"/>
        <item x="512"/>
        <item x="513"/>
        <item x="499"/>
        <item x="515"/>
        <item x="516"/>
        <item x="567"/>
        <item x="568"/>
        <item x="570"/>
        <item x="517"/>
        <item x="569"/>
        <item x="525"/>
        <item x="563"/>
        <item x="531"/>
        <item x="526"/>
        <item x="566"/>
        <item x="564"/>
        <item x="565"/>
        <item x="559"/>
        <item x="571"/>
        <item x="529"/>
        <item x="518"/>
        <item x="573"/>
        <item x="543"/>
        <item x="572"/>
        <item x="544"/>
        <item x="530"/>
        <item x="545"/>
        <item x="533"/>
        <item x="560"/>
        <item x="540"/>
        <item x="576"/>
        <item x="580"/>
        <item x="532"/>
        <item x="542"/>
        <item x="581"/>
        <item x="562"/>
        <item x="558"/>
        <item x="548"/>
        <item x="557"/>
        <item x="527"/>
        <item x="575"/>
        <item x="579"/>
        <item x="538"/>
        <item x="528"/>
        <item x="577"/>
        <item x="582"/>
        <item x="561"/>
        <item x="578"/>
        <item x="574"/>
        <item x="521"/>
        <item x="541"/>
        <item x="539"/>
        <item x="534"/>
        <item x="523"/>
        <item x="537"/>
        <item x="520"/>
        <item x="524"/>
        <item x="535"/>
        <item x="552"/>
        <item x="551"/>
        <item x="536"/>
        <item x="519"/>
        <item x="550"/>
        <item x="522"/>
        <item x="546"/>
        <item x="549"/>
        <item x="583"/>
        <item x="547"/>
        <item x="584"/>
        <item x="554"/>
        <item x="556"/>
        <item x="555"/>
        <item x="553"/>
        <item x="585"/>
        <item x="586"/>
        <item x="587"/>
        <item x="589"/>
        <item x="588"/>
        <item x="599"/>
        <item x="598"/>
        <item x="600"/>
        <item x="593"/>
        <item x="601"/>
        <item x="595"/>
        <item x="590"/>
        <item x="597"/>
        <item x="591"/>
        <item x="594"/>
        <item x="592"/>
        <item x="596"/>
        <item x="795"/>
        <item x="763"/>
        <item x="796"/>
        <item x="602"/>
        <item x="797"/>
        <item x="765"/>
        <item x="734"/>
        <item x="764"/>
        <item x="794"/>
        <item x="732"/>
        <item x="735"/>
        <item x="731"/>
        <item x="798"/>
        <item x="603"/>
        <item x="790"/>
        <item x="800"/>
        <item x="738"/>
        <item x="792"/>
        <item x="773"/>
        <item x="799"/>
        <item x="737"/>
        <item x="739"/>
        <item x="793"/>
        <item x="736"/>
        <item x="762"/>
        <item x="801"/>
        <item x="805"/>
        <item x="667"/>
        <item x="733"/>
        <item x="776"/>
        <item x="769"/>
        <item x="772"/>
        <item x="774"/>
        <item x="789"/>
        <item x="778"/>
        <item x="786"/>
        <item x="791"/>
        <item x="788"/>
        <item x="668"/>
        <item x="804"/>
        <item x="740"/>
        <item x="770"/>
        <item x="787"/>
        <item x="775"/>
        <item x="777"/>
        <item x="785"/>
        <item x="803"/>
        <item x="730"/>
        <item x="829"/>
        <item x="721"/>
        <item x="806"/>
        <item x="725"/>
        <item x="780"/>
        <item x="802"/>
        <item x="828"/>
        <item x="771"/>
        <item x="821"/>
        <item x="666"/>
        <item x="761"/>
        <item x="822"/>
        <item x="741"/>
        <item x="676"/>
        <item x="677"/>
        <item x="723"/>
        <item x="820"/>
        <item x="767"/>
        <item x="726"/>
        <item x="768"/>
        <item x="779"/>
        <item x="674"/>
        <item x="605"/>
        <item x="653"/>
        <item x="760"/>
        <item x="678"/>
        <item x="680"/>
        <item x="724"/>
        <item x="807"/>
        <item x="766"/>
        <item x="722"/>
        <item x="624"/>
        <item x="729"/>
        <item x="607"/>
        <item x="823"/>
        <item x="824"/>
        <item x="827"/>
        <item x="826"/>
        <item x="673"/>
        <item x="606"/>
        <item x="830"/>
        <item x="604"/>
        <item x="727"/>
        <item x="825"/>
        <item x="832"/>
        <item x="728"/>
        <item x="784"/>
        <item x="669"/>
        <item x="679"/>
        <item x="808"/>
        <item x="675"/>
        <item x="664"/>
        <item x="814"/>
        <item x="672"/>
        <item x="608"/>
        <item x="720"/>
        <item x="809"/>
        <item x="831"/>
        <item x="819"/>
        <item x="812"/>
        <item x="810"/>
        <item x="663"/>
        <item x="651"/>
        <item x="654"/>
        <item x="811"/>
        <item x="662"/>
        <item x="627"/>
        <item x="610"/>
        <item x="652"/>
        <item x="649"/>
        <item x="665"/>
        <item x="655"/>
        <item x="670"/>
        <item x="745"/>
        <item x="671"/>
        <item x="628"/>
        <item x="781"/>
        <item x="718"/>
        <item x="744"/>
        <item x="782"/>
        <item x="719"/>
        <item x="660"/>
        <item x="813"/>
        <item x="783"/>
        <item x="661"/>
        <item x="758"/>
        <item x="717"/>
        <item x="742"/>
        <item x="657"/>
        <item x="716"/>
        <item x="656"/>
        <item x="743"/>
        <item x="715"/>
        <item x="815"/>
        <item x="682"/>
        <item x="621"/>
        <item x="759"/>
        <item x="751"/>
        <item x="638"/>
        <item x="626"/>
        <item x="818"/>
        <item x="650"/>
        <item x="752"/>
        <item x="816"/>
        <item x="817"/>
        <item x="750"/>
        <item x="639"/>
        <item x="711"/>
        <item x="833"/>
        <item x="611"/>
        <item x="712"/>
        <item x="757"/>
        <item x="681"/>
        <item x="685"/>
        <item x="659"/>
        <item x="842"/>
        <item x="714"/>
        <item x="713"/>
        <item x="844"/>
        <item x="746"/>
        <item x="710"/>
        <item x="756"/>
        <item x="658"/>
        <item x="612"/>
        <item x="684"/>
        <item x="845"/>
        <item x="834"/>
        <item x="683"/>
        <item x="747"/>
        <item x="648"/>
        <item x="629"/>
        <item x="708"/>
        <item x="841"/>
        <item x="840"/>
        <item x="836"/>
        <item x="697"/>
        <item x="623"/>
        <item x="695"/>
        <item x="749"/>
        <item x="835"/>
        <item x="698"/>
        <item x="699"/>
        <item x="854"/>
        <item x="754"/>
        <item x="641"/>
        <item x="753"/>
        <item x="625"/>
        <item x="846"/>
        <item x="689"/>
        <item x="748"/>
        <item x="843"/>
        <item x="709"/>
        <item x="755"/>
        <item x="694"/>
        <item x="613"/>
        <item x="609"/>
        <item x="838"/>
        <item x="696"/>
        <item x="622"/>
        <item x="837"/>
        <item x="614"/>
        <item x="640"/>
        <item x="692"/>
        <item x="690"/>
        <item x="853"/>
        <item x="700"/>
        <item x="642"/>
        <item x="839"/>
        <item x="615"/>
        <item x="688"/>
        <item x="645"/>
        <item x="691"/>
        <item x="852"/>
        <item x="705"/>
        <item x="704"/>
        <item x="855"/>
        <item x="643"/>
        <item x="693"/>
        <item x="620"/>
        <item x="632"/>
        <item x="851"/>
        <item x="707"/>
        <item x="635"/>
        <item x="706"/>
        <item x="637"/>
        <item x="634"/>
        <item x="847"/>
        <item x="630"/>
        <item x="631"/>
        <item x="647"/>
        <item x="687"/>
        <item x="850"/>
        <item x="701"/>
        <item x="646"/>
        <item x="633"/>
        <item x="703"/>
        <item x="702"/>
        <item x="636"/>
        <item x="619"/>
        <item x="686"/>
        <item x="617"/>
        <item x="644"/>
        <item x="616"/>
        <item x="849"/>
        <item x="848"/>
        <item x="618"/>
        <item x="856"/>
        <item x="857"/>
        <item x="858"/>
        <item x="859"/>
        <item x="980"/>
        <item x="860"/>
        <item x="979"/>
        <item x="983"/>
        <item x="1000"/>
        <item x="986"/>
        <item x="999"/>
        <item x="988"/>
        <item x="981"/>
        <item x="982"/>
        <item x="992"/>
        <item x="984"/>
        <item x="991"/>
        <item x="987"/>
        <item x="990"/>
        <item x="985"/>
        <item x="968"/>
        <item x="998"/>
        <item x="970"/>
        <item x="969"/>
        <item x="971"/>
        <item x="993"/>
        <item x="973"/>
        <item x="978"/>
        <item x="977"/>
        <item x="989"/>
        <item x="996"/>
        <item x="997"/>
        <item x="974"/>
        <item x="864"/>
        <item x="995"/>
        <item x="994"/>
        <item x="862"/>
        <item x="861"/>
        <item x="967"/>
        <item x="867"/>
        <item x="976"/>
        <item x="868"/>
        <item x="866"/>
        <item x="863"/>
        <item x="975"/>
        <item x="865"/>
        <item x="966"/>
        <item x="876"/>
        <item x="869"/>
        <item x="920"/>
        <item x="910"/>
        <item x="875"/>
        <item x="911"/>
        <item x="909"/>
        <item x="907"/>
        <item x="972"/>
        <item x="870"/>
        <item x="912"/>
        <item x="923"/>
        <item x="924"/>
        <item x="922"/>
        <item x="903"/>
        <item x="921"/>
        <item x="919"/>
        <item x="902"/>
        <item x="908"/>
        <item x="960"/>
        <item x="878"/>
        <item x="953"/>
        <item x="959"/>
        <item x="906"/>
        <item x="882"/>
        <item x="877"/>
        <item x="883"/>
        <item x="963"/>
        <item x="958"/>
        <item x="965"/>
        <item x="880"/>
        <item x="950"/>
        <item x="951"/>
        <item x="949"/>
        <item x="925"/>
        <item x="964"/>
        <item x="948"/>
        <item x="885"/>
        <item x="947"/>
        <item x="955"/>
        <item x="961"/>
        <item x="890"/>
        <item x="913"/>
        <item x="918"/>
        <item x="901"/>
        <item x="881"/>
        <item x="889"/>
        <item x="952"/>
        <item x="879"/>
        <item x="899"/>
        <item x="956"/>
        <item x="957"/>
        <item x="944"/>
        <item x="900"/>
        <item x="873"/>
        <item x="946"/>
        <item x="954"/>
        <item x="874"/>
        <item x="914"/>
        <item x="915"/>
        <item x="916"/>
        <item x="962"/>
        <item x="871"/>
        <item x="904"/>
        <item x="884"/>
        <item x="872"/>
        <item x="905"/>
        <item x="927"/>
        <item x="886"/>
        <item x="887"/>
        <item x="898"/>
        <item x="892"/>
        <item x="926"/>
        <item x="943"/>
        <item x="930"/>
        <item x="891"/>
        <item x="888"/>
        <item x="939"/>
        <item x="894"/>
        <item x="945"/>
        <item x="893"/>
        <item x="931"/>
        <item x="917"/>
        <item x="938"/>
        <item x="942"/>
        <item x="937"/>
        <item x="933"/>
        <item x="940"/>
        <item x="934"/>
        <item x="895"/>
        <item x="929"/>
        <item x="928"/>
        <item x="936"/>
        <item x="941"/>
        <item x="935"/>
        <item x="896"/>
        <item x="897"/>
        <item x="932"/>
        <item t="default"/>
      </items>
    </pivotField>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2">
    <i>
      <x/>
    </i>
    <i i="1">
      <x v="1"/>
    </i>
  </colItems>
  <dataFields count="2">
    <dataField name="Promedio de index" fld="6" subtotal="average" baseField="15" baseItem="1"/>
    <dataField name="Promedio de cierre IRX" fld="8" subtotal="average" baseField="2" baseItem="0" numFmtId="2"/>
  </dataFields>
  <formats count="56">
    <format dxfId="247">
      <pivotArea type="all" dataOnly="0" outline="0" fieldPosition="0"/>
    </format>
    <format dxfId="246">
      <pivotArea outline="0" collapsedLevelsAreSubtotals="1" fieldPosition="0"/>
    </format>
    <format dxfId="245">
      <pivotArea field="2" type="button" dataOnly="0" labelOnly="1" outline="0" axis="axisRow" fieldPosition="0"/>
    </format>
    <format dxfId="244">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243">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242">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241">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240">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239">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238">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237">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236">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235">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234">
      <pivotArea dataOnly="0" labelOnly="1" grandRow="1" outline="0" fieldPosition="0"/>
    </format>
    <format dxfId="233">
      <pivotArea dataOnly="0" labelOnly="1" outline="0" fieldPosition="0">
        <references count="1">
          <reference field="4294967294" count="1">
            <x v="0"/>
          </reference>
        </references>
      </pivotArea>
    </format>
    <format dxfId="232">
      <pivotArea type="all" dataOnly="0" outline="0" fieldPosition="0"/>
    </format>
    <format dxfId="231">
      <pivotArea outline="0" collapsedLevelsAreSubtotals="1" fieldPosition="0"/>
    </format>
    <format dxfId="230">
      <pivotArea field="2" type="button" dataOnly="0" labelOnly="1" outline="0" axis="axisRow" fieldPosition="0"/>
    </format>
    <format dxfId="229">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228">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227">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226">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225">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224">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223">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222">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221">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220">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219">
      <pivotArea dataOnly="0" labelOnly="1" grandRow="1" outline="0" fieldPosition="0"/>
    </format>
    <format dxfId="218">
      <pivotArea dataOnly="0" labelOnly="1" outline="0" fieldPosition="0">
        <references count="1">
          <reference field="4294967294" count="1">
            <x v="0"/>
          </reference>
        </references>
      </pivotArea>
    </format>
    <format dxfId="217">
      <pivotArea type="all" dataOnly="0" outline="0" fieldPosition="0"/>
    </format>
    <format dxfId="216">
      <pivotArea outline="0" collapsedLevelsAreSubtotals="1" fieldPosition="0"/>
    </format>
    <format dxfId="215">
      <pivotArea field="2" type="button" dataOnly="0" labelOnly="1" outline="0" axis="axisRow" fieldPosition="0"/>
    </format>
    <format dxfId="214">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3">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12">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11">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10">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09">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8">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207">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206">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05">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204">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203">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202">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201">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200">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99">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98">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197">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196">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195">
      <pivotArea dataOnly="0" labelOnly="1" fieldPosition="0">
        <references count="1">
          <reference field="2"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194">
      <pivotArea dataOnly="0" labelOnly="1" fieldPosition="0">
        <references count="1">
          <reference field="2" count="1">
            <x v="1000"/>
          </reference>
        </references>
      </pivotArea>
    </format>
    <format dxfId="193">
      <pivotArea dataOnly="0" labelOnly="1" grandRow="1" outline="0" fieldPosition="0"/>
    </format>
    <format dxfId="192">
      <pivotArea dataOnly="0" labelOnly="1" outline="0" fieldPosition="0">
        <references count="1">
          <reference field="4294967294" count="1">
            <x v="0"/>
          </reference>
        </references>
      </pivotArea>
    </format>
  </formats>
  <conditionalFormats count="2">
    <conditionalFormat priority="1">
      <pivotAreas count="1">
        <pivotArea type="data" collapsedLevelsAreSubtotals="1" fieldPosition="0">
          <references count="2">
            <reference field="4294967294" count="1" selected="0">
              <x v="1"/>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 priority="2">
      <pivotAreas count="1">
        <pivotArea type="data" collapsedLevelsAreSubtotals="1" fieldPosition="0">
          <references count="2">
            <reference field="4294967294" count="1" selected="0">
              <x v="0"/>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s>
  <chartFormats count="6">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2" count="1" selected="0">
            <x v="548"/>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4B0687-39C6-48A1-8A5F-4F9A2E338506}" name="TablaDinámica2"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6">
  <location ref="F3:L1005" firstHeaderRow="0" firstDataRow="1" firstDataCol="1"/>
  <pivotFields count="16">
    <pivotField showAll="0"/>
    <pivotField showAll="0">
      <items count="34">
        <item x="9"/>
        <item x="21"/>
        <item x="1"/>
        <item x="13"/>
        <item x="25"/>
        <item x="5"/>
        <item x="17"/>
        <item x="29"/>
        <item x="6"/>
        <item x="18"/>
        <item x="30"/>
        <item x="7"/>
        <item x="19"/>
        <item x="31"/>
        <item x="0"/>
        <item x="12"/>
        <item x="24"/>
        <item x="11"/>
        <item x="23"/>
        <item x="8"/>
        <item x="20"/>
        <item x="32"/>
        <item x="10"/>
        <item x="22"/>
        <item x="4"/>
        <item x="16"/>
        <item x="28"/>
        <item x="3"/>
        <item x="15"/>
        <item x="27"/>
        <item x="2"/>
        <item x="14"/>
        <item x="26"/>
        <item t="default"/>
      </items>
    </pivotField>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items count="3">
        <item x="1"/>
        <item x="0"/>
        <item t="default"/>
      </items>
    </pivotField>
    <pivotField multipleItemSelectionAllowed="1" showAll="0">
      <items count="5">
        <item x="2"/>
        <item x="3"/>
        <item x="1"/>
        <item x="0"/>
        <item t="default"/>
      </items>
    </pivotField>
    <pivotField dataField="1"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numFmtId="2" showAll="0"/>
    <pivotField numFmtId="44" showAll="0"/>
    <pivotField dataField="1" numFmtId="44" showAll="0">
      <items count="1002">
        <item x="140"/>
        <item x="128"/>
        <item x="141"/>
        <item x="147"/>
        <item x="139"/>
        <item x="132"/>
        <item x="168"/>
        <item x="146"/>
        <item x="148"/>
        <item x="145"/>
        <item x="144"/>
        <item x="180"/>
        <item x="177"/>
        <item x="179"/>
        <item x="143"/>
        <item x="142"/>
        <item x="133"/>
        <item x="181"/>
        <item x="178"/>
        <item x="165"/>
        <item x="135"/>
        <item x="183"/>
        <item x="136"/>
        <item x="182"/>
        <item x="137"/>
        <item x="138"/>
        <item x="176"/>
        <item x="167"/>
        <item x="166"/>
        <item x="172"/>
        <item x="131"/>
        <item x="170"/>
        <item x="171"/>
        <item x="185"/>
        <item x="174"/>
        <item x="173"/>
        <item x="156"/>
        <item x="184"/>
        <item x="134"/>
        <item x="169"/>
        <item x="152"/>
        <item x="175"/>
        <item x="186"/>
        <item x="187"/>
        <item x="150"/>
        <item x="154"/>
        <item x="130"/>
        <item x="151"/>
        <item x="155"/>
        <item x="188"/>
        <item x="160"/>
        <item x="159"/>
        <item x="153"/>
        <item x="158"/>
        <item x="149"/>
        <item x="189"/>
        <item x="161"/>
        <item x="157"/>
        <item x="164"/>
        <item x="190"/>
        <item x="129"/>
        <item x="162"/>
        <item x="163"/>
        <item x="191"/>
        <item x="127"/>
        <item x="79"/>
        <item x="83"/>
        <item x="64"/>
        <item x="192"/>
        <item x="78"/>
        <item x="82"/>
        <item x="90"/>
        <item x="99"/>
        <item x="108"/>
        <item x="103"/>
        <item x="85"/>
        <item x="107"/>
        <item x="98"/>
        <item x="100"/>
        <item x="109"/>
        <item x="102"/>
        <item x="110"/>
        <item x="84"/>
        <item x="104"/>
        <item x="65"/>
        <item x="81"/>
        <item x="89"/>
        <item x="8"/>
        <item x="66"/>
        <item x="106"/>
        <item x="112"/>
        <item x="101"/>
        <item x="80"/>
        <item x="96"/>
        <item x="76"/>
        <item x="86"/>
        <item x="88"/>
        <item x="97"/>
        <item x="77"/>
        <item x="95"/>
        <item x="105"/>
        <item x="111"/>
        <item x="87"/>
        <item x="55"/>
        <item x="91"/>
        <item x="73"/>
        <item x="74"/>
        <item x="57"/>
        <item x="63"/>
        <item x="61"/>
        <item x="193"/>
        <item x="94"/>
        <item x="60"/>
        <item x="7"/>
        <item x="62"/>
        <item x="54"/>
        <item x="58"/>
        <item x="113"/>
        <item x="59"/>
        <item x="75"/>
        <item x="121"/>
        <item x="93"/>
        <item x="249"/>
        <item x="1"/>
        <item x="122"/>
        <item x="9"/>
        <item x="0"/>
        <item x="72"/>
        <item x="53"/>
        <item x="115"/>
        <item x="71"/>
        <item x="56"/>
        <item x="92"/>
        <item x="248"/>
        <item x="120"/>
        <item x="119"/>
        <item x="2"/>
        <item x="10"/>
        <item x="116"/>
        <item x="126"/>
        <item x="250"/>
        <item x="118"/>
        <item x="198"/>
        <item x="114"/>
        <item x="13"/>
        <item x="117"/>
        <item x="11"/>
        <item x="6"/>
        <item x="46"/>
        <item x="195"/>
        <item x="125"/>
        <item x="194"/>
        <item x="199"/>
        <item x="123"/>
        <item x="197"/>
        <item x="47"/>
        <item x="196"/>
        <item x="12"/>
        <item x="22"/>
        <item x="124"/>
        <item x="21"/>
        <item x="67"/>
        <item x="51"/>
        <item x="49"/>
        <item x="50"/>
        <item x="48"/>
        <item x="5"/>
        <item x="52"/>
        <item x="3"/>
        <item x="221"/>
        <item x="68"/>
        <item x="247"/>
        <item x="4"/>
        <item x="69"/>
        <item x="223"/>
        <item x="224"/>
        <item x="220"/>
        <item x="222"/>
        <item x="251"/>
        <item x="246"/>
        <item x="225"/>
        <item x="243"/>
        <item x="242"/>
        <item x="70"/>
        <item x="245"/>
        <item x="244"/>
        <item x="19"/>
        <item x="14"/>
        <item x="20"/>
        <item x="31"/>
        <item x="204"/>
        <item x="200"/>
        <item x="18"/>
        <item x="202"/>
        <item x="217"/>
        <item x="201"/>
        <item x="210"/>
        <item x="30"/>
        <item x="23"/>
        <item x="203"/>
        <item x="219"/>
        <item x="216"/>
        <item x="33"/>
        <item x="29"/>
        <item x="208"/>
        <item x="206"/>
        <item x="207"/>
        <item x="205"/>
        <item x="211"/>
        <item x="239"/>
        <item x="36"/>
        <item x="17"/>
        <item x="236"/>
        <item x="34"/>
        <item x="235"/>
        <item x="45"/>
        <item x="16"/>
        <item x="218"/>
        <item x="32"/>
        <item x="28"/>
        <item x="215"/>
        <item x="44"/>
        <item x="27"/>
        <item x="15"/>
        <item x="214"/>
        <item x="213"/>
        <item x="241"/>
        <item x="238"/>
        <item x="237"/>
        <item x="227"/>
        <item x="240"/>
        <item x="26"/>
        <item x="212"/>
        <item x="209"/>
        <item x="25"/>
        <item x="35"/>
        <item x="24"/>
        <item x="43"/>
        <item x="234"/>
        <item x="37"/>
        <item x="38"/>
        <item x="42"/>
        <item x="233"/>
        <item x="252"/>
        <item x="226"/>
        <item x="41"/>
        <item x="230"/>
        <item x="254"/>
        <item x="39"/>
        <item x="40"/>
        <item x="232"/>
        <item x="228"/>
        <item x="229"/>
        <item x="253"/>
        <item x="231"/>
        <item x="255"/>
        <item x="345"/>
        <item x="434"/>
        <item x="346"/>
        <item x="429"/>
        <item x="336"/>
        <item x="428"/>
        <item x="424"/>
        <item x="427"/>
        <item x="433"/>
        <item x="435"/>
        <item x="341"/>
        <item x="425"/>
        <item x="432"/>
        <item x="343"/>
        <item x="431"/>
        <item x="344"/>
        <item x="423"/>
        <item x="342"/>
        <item x="426"/>
        <item x="418"/>
        <item x="414"/>
        <item x="417"/>
        <item x="410"/>
        <item x="419"/>
        <item x="411"/>
        <item x="420"/>
        <item x="413"/>
        <item x="416"/>
        <item x="412"/>
        <item x="449"/>
        <item x="436"/>
        <item x="430"/>
        <item x="447"/>
        <item x="448"/>
        <item x="347"/>
        <item x="324"/>
        <item x="349"/>
        <item x="338"/>
        <item x="450"/>
        <item x="415"/>
        <item x="325"/>
        <item x="340"/>
        <item x="339"/>
        <item x="348"/>
        <item x="440"/>
        <item x="437"/>
        <item x="444"/>
        <item x="439"/>
        <item x="446"/>
        <item x="445"/>
        <item x="438"/>
        <item x="409"/>
        <item x="326"/>
        <item x="321"/>
        <item x="441"/>
        <item x="465"/>
        <item x="313"/>
        <item x="312"/>
        <item x="332"/>
        <item x="318"/>
        <item x="350"/>
        <item x="322"/>
        <item x="467"/>
        <item x="466"/>
        <item x="327"/>
        <item x="464"/>
        <item x="319"/>
        <item x="452"/>
        <item x="314"/>
        <item x="257"/>
        <item x="453"/>
        <item x="311"/>
        <item x="451"/>
        <item x="316"/>
        <item x="334"/>
        <item x="335"/>
        <item x="320"/>
        <item x="443"/>
        <item x="266"/>
        <item x="468"/>
        <item x="315"/>
        <item x="442"/>
        <item x="331"/>
        <item x="323"/>
        <item x="337"/>
        <item x="333"/>
        <item x="267"/>
        <item x="291"/>
        <item x="422"/>
        <item x="261"/>
        <item x="463"/>
        <item x="317"/>
        <item x="458"/>
        <item x="256"/>
        <item x="456"/>
        <item x="263"/>
        <item x="264"/>
        <item x="294"/>
        <item x="455"/>
        <item x="462"/>
        <item x="293"/>
        <item x="310"/>
        <item x="309"/>
        <item x="308"/>
        <item x="330"/>
        <item x="421"/>
        <item x="329"/>
        <item x="259"/>
        <item x="273"/>
        <item x="457"/>
        <item x="292"/>
        <item x="277"/>
        <item x="461"/>
        <item x="459"/>
        <item x="278"/>
        <item x="460"/>
        <item x="454"/>
        <item x="265"/>
        <item x="269"/>
        <item x="258"/>
        <item x="276"/>
        <item x="328"/>
        <item x="301"/>
        <item x="274"/>
        <item x="260"/>
        <item x="275"/>
        <item x="272"/>
        <item x="290"/>
        <item x="295"/>
        <item x="351"/>
        <item x="471"/>
        <item x="279"/>
        <item x="262"/>
        <item x="268"/>
        <item x="271"/>
        <item x="470"/>
        <item x="296"/>
        <item x="307"/>
        <item x="270"/>
        <item x="469"/>
        <item x="302"/>
        <item x="408"/>
        <item x="472"/>
        <item x="289"/>
        <item x="304"/>
        <item x="306"/>
        <item x="303"/>
        <item x="398"/>
        <item x="397"/>
        <item x="396"/>
        <item x="394"/>
        <item x="407"/>
        <item x="385"/>
        <item x="395"/>
        <item x="399"/>
        <item x="388"/>
        <item x="386"/>
        <item x="392"/>
        <item x="299"/>
        <item x="300"/>
        <item x="391"/>
        <item x="405"/>
        <item x="389"/>
        <item x="298"/>
        <item x="387"/>
        <item x="390"/>
        <item x="403"/>
        <item x="406"/>
        <item x="404"/>
        <item x="402"/>
        <item x="287"/>
        <item x="297"/>
        <item x="305"/>
        <item x="401"/>
        <item x="280"/>
        <item x="393"/>
        <item x="473"/>
        <item x="400"/>
        <item x="383"/>
        <item x="381"/>
        <item x="379"/>
        <item x="382"/>
        <item x="367"/>
        <item x="353"/>
        <item x="380"/>
        <item x="474"/>
        <item x="475"/>
        <item x="352"/>
        <item x="384"/>
        <item x="359"/>
        <item x="282"/>
        <item x="378"/>
        <item x="370"/>
        <item x="281"/>
        <item x="377"/>
        <item x="357"/>
        <item x="369"/>
        <item x="376"/>
        <item x="286"/>
        <item x="285"/>
        <item x="375"/>
        <item x="368"/>
        <item x="373"/>
        <item x="288"/>
        <item x="283"/>
        <item x="371"/>
        <item x="360"/>
        <item x="361"/>
        <item x="356"/>
        <item x="284"/>
        <item x="366"/>
        <item x="355"/>
        <item x="362"/>
        <item x="363"/>
        <item x="372"/>
        <item x="358"/>
        <item x="354"/>
        <item x="365"/>
        <item x="364"/>
        <item x="374"/>
        <item x="476"/>
        <item x="477"/>
        <item x="480"/>
        <item x="481"/>
        <item x="479"/>
        <item x="483"/>
        <item x="478"/>
        <item x="482"/>
        <item x="484"/>
        <item x="487"/>
        <item x="486"/>
        <item x="490"/>
        <item x="489"/>
        <item x="488"/>
        <item x="485"/>
        <item x="491"/>
        <item x="498"/>
        <item x="492"/>
        <item x="505"/>
        <item x="500"/>
        <item x="497"/>
        <item x="502"/>
        <item x="501"/>
        <item x="493"/>
        <item x="496"/>
        <item x="495"/>
        <item x="511"/>
        <item x="507"/>
        <item x="494"/>
        <item x="503"/>
        <item x="506"/>
        <item x="504"/>
        <item x="510"/>
        <item x="514"/>
        <item x="508"/>
        <item x="509"/>
        <item x="512"/>
        <item x="513"/>
        <item x="499"/>
        <item x="515"/>
        <item x="516"/>
        <item x="567"/>
        <item x="568"/>
        <item x="570"/>
        <item x="517"/>
        <item x="569"/>
        <item x="525"/>
        <item x="563"/>
        <item x="531"/>
        <item x="526"/>
        <item x="566"/>
        <item x="564"/>
        <item x="565"/>
        <item x="559"/>
        <item x="571"/>
        <item x="529"/>
        <item x="518"/>
        <item x="573"/>
        <item x="543"/>
        <item x="572"/>
        <item x="544"/>
        <item x="530"/>
        <item x="545"/>
        <item x="533"/>
        <item x="560"/>
        <item x="540"/>
        <item x="576"/>
        <item x="580"/>
        <item x="532"/>
        <item x="542"/>
        <item x="581"/>
        <item x="562"/>
        <item x="558"/>
        <item x="548"/>
        <item x="557"/>
        <item x="527"/>
        <item x="575"/>
        <item x="579"/>
        <item x="538"/>
        <item x="528"/>
        <item x="577"/>
        <item x="582"/>
        <item x="561"/>
        <item x="578"/>
        <item x="574"/>
        <item x="521"/>
        <item x="541"/>
        <item x="539"/>
        <item x="534"/>
        <item x="523"/>
        <item x="537"/>
        <item x="520"/>
        <item x="524"/>
        <item x="535"/>
        <item x="552"/>
        <item x="551"/>
        <item x="536"/>
        <item x="519"/>
        <item x="550"/>
        <item x="522"/>
        <item x="546"/>
        <item x="549"/>
        <item x="583"/>
        <item x="547"/>
        <item x="584"/>
        <item x="554"/>
        <item x="556"/>
        <item x="555"/>
        <item x="553"/>
        <item x="585"/>
        <item x="586"/>
        <item x="587"/>
        <item x="589"/>
        <item x="588"/>
        <item x="599"/>
        <item x="598"/>
        <item x="600"/>
        <item x="593"/>
        <item x="601"/>
        <item x="595"/>
        <item x="590"/>
        <item x="597"/>
        <item x="591"/>
        <item x="594"/>
        <item x="592"/>
        <item x="596"/>
        <item x="795"/>
        <item x="763"/>
        <item x="796"/>
        <item x="602"/>
        <item x="797"/>
        <item x="765"/>
        <item x="734"/>
        <item x="764"/>
        <item x="794"/>
        <item x="732"/>
        <item x="735"/>
        <item x="731"/>
        <item x="798"/>
        <item x="603"/>
        <item x="790"/>
        <item x="800"/>
        <item x="738"/>
        <item x="792"/>
        <item x="773"/>
        <item x="799"/>
        <item x="737"/>
        <item x="739"/>
        <item x="793"/>
        <item x="736"/>
        <item x="762"/>
        <item x="801"/>
        <item x="805"/>
        <item x="667"/>
        <item x="733"/>
        <item x="776"/>
        <item x="769"/>
        <item x="772"/>
        <item x="774"/>
        <item x="789"/>
        <item x="778"/>
        <item x="786"/>
        <item x="791"/>
        <item x="788"/>
        <item x="668"/>
        <item x="804"/>
        <item x="740"/>
        <item x="770"/>
        <item x="787"/>
        <item x="775"/>
        <item x="777"/>
        <item x="785"/>
        <item x="803"/>
        <item x="730"/>
        <item x="829"/>
        <item x="721"/>
        <item x="806"/>
        <item x="725"/>
        <item x="780"/>
        <item x="802"/>
        <item x="828"/>
        <item x="771"/>
        <item x="821"/>
        <item x="666"/>
        <item x="761"/>
        <item x="822"/>
        <item x="741"/>
        <item x="676"/>
        <item x="677"/>
        <item x="723"/>
        <item x="820"/>
        <item x="767"/>
        <item x="726"/>
        <item x="768"/>
        <item x="779"/>
        <item x="674"/>
        <item x="605"/>
        <item x="653"/>
        <item x="760"/>
        <item x="678"/>
        <item x="680"/>
        <item x="724"/>
        <item x="807"/>
        <item x="766"/>
        <item x="722"/>
        <item x="624"/>
        <item x="729"/>
        <item x="607"/>
        <item x="823"/>
        <item x="824"/>
        <item x="827"/>
        <item x="826"/>
        <item x="673"/>
        <item x="606"/>
        <item x="830"/>
        <item x="604"/>
        <item x="727"/>
        <item x="825"/>
        <item x="832"/>
        <item x="728"/>
        <item x="784"/>
        <item x="669"/>
        <item x="679"/>
        <item x="808"/>
        <item x="675"/>
        <item x="664"/>
        <item x="814"/>
        <item x="672"/>
        <item x="608"/>
        <item x="720"/>
        <item x="809"/>
        <item x="831"/>
        <item x="819"/>
        <item x="812"/>
        <item x="810"/>
        <item x="663"/>
        <item x="651"/>
        <item x="654"/>
        <item x="811"/>
        <item x="662"/>
        <item x="627"/>
        <item x="610"/>
        <item x="652"/>
        <item x="649"/>
        <item x="665"/>
        <item x="655"/>
        <item x="670"/>
        <item x="745"/>
        <item x="671"/>
        <item x="628"/>
        <item x="781"/>
        <item x="718"/>
        <item x="744"/>
        <item x="782"/>
        <item x="719"/>
        <item x="660"/>
        <item x="813"/>
        <item x="783"/>
        <item x="661"/>
        <item x="758"/>
        <item x="717"/>
        <item x="742"/>
        <item x="657"/>
        <item x="716"/>
        <item x="656"/>
        <item x="743"/>
        <item x="715"/>
        <item x="815"/>
        <item x="682"/>
        <item x="621"/>
        <item x="759"/>
        <item x="751"/>
        <item x="638"/>
        <item x="626"/>
        <item x="818"/>
        <item x="650"/>
        <item x="752"/>
        <item x="816"/>
        <item x="817"/>
        <item x="750"/>
        <item x="639"/>
        <item x="711"/>
        <item x="833"/>
        <item x="611"/>
        <item x="712"/>
        <item x="757"/>
        <item x="681"/>
        <item x="685"/>
        <item x="659"/>
        <item x="842"/>
        <item x="714"/>
        <item x="713"/>
        <item x="844"/>
        <item x="746"/>
        <item x="710"/>
        <item x="756"/>
        <item x="658"/>
        <item x="612"/>
        <item x="684"/>
        <item x="845"/>
        <item x="834"/>
        <item x="683"/>
        <item x="747"/>
        <item x="648"/>
        <item x="629"/>
        <item x="708"/>
        <item x="841"/>
        <item x="840"/>
        <item x="836"/>
        <item x="697"/>
        <item x="623"/>
        <item x="695"/>
        <item x="749"/>
        <item x="835"/>
        <item x="698"/>
        <item x="699"/>
        <item x="854"/>
        <item x="754"/>
        <item x="641"/>
        <item x="753"/>
        <item x="625"/>
        <item x="846"/>
        <item x="689"/>
        <item x="748"/>
        <item x="843"/>
        <item x="709"/>
        <item x="755"/>
        <item x="694"/>
        <item x="613"/>
        <item x="609"/>
        <item x="838"/>
        <item x="696"/>
        <item x="622"/>
        <item x="837"/>
        <item x="614"/>
        <item x="640"/>
        <item x="692"/>
        <item x="690"/>
        <item x="853"/>
        <item x="700"/>
        <item x="642"/>
        <item x="839"/>
        <item x="615"/>
        <item x="688"/>
        <item x="645"/>
        <item x="691"/>
        <item x="852"/>
        <item x="705"/>
        <item x="704"/>
        <item x="855"/>
        <item x="643"/>
        <item x="693"/>
        <item x="620"/>
        <item x="632"/>
        <item x="851"/>
        <item x="707"/>
        <item x="635"/>
        <item x="706"/>
        <item x="637"/>
        <item x="634"/>
        <item x="847"/>
        <item x="630"/>
        <item x="631"/>
        <item x="647"/>
        <item x="687"/>
        <item x="850"/>
        <item x="701"/>
        <item x="646"/>
        <item x="633"/>
        <item x="703"/>
        <item x="702"/>
        <item x="636"/>
        <item x="619"/>
        <item x="686"/>
        <item x="617"/>
        <item x="644"/>
        <item x="616"/>
        <item x="849"/>
        <item x="848"/>
        <item x="618"/>
        <item x="856"/>
        <item x="857"/>
        <item x="858"/>
        <item x="859"/>
        <item x="980"/>
        <item x="860"/>
        <item x="979"/>
        <item x="983"/>
        <item x="1000"/>
        <item x="986"/>
        <item x="999"/>
        <item x="988"/>
        <item x="981"/>
        <item x="982"/>
        <item x="992"/>
        <item x="984"/>
        <item x="991"/>
        <item x="987"/>
        <item x="990"/>
        <item x="985"/>
        <item x="968"/>
        <item x="998"/>
        <item x="970"/>
        <item x="969"/>
        <item x="971"/>
        <item x="993"/>
        <item x="973"/>
        <item x="978"/>
        <item x="977"/>
        <item x="989"/>
        <item x="996"/>
        <item x="997"/>
        <item x="974"/>
        <item x="864"/>
        <item x="995"/>
        <item x="994"/>
        <item x="862"/>
        <item x="861"/>
        <item x="967"/>
        <item x="867"/>
        <item x="976"/>
        <item x="868"/>
        <item x="866"/>
        <item x="863"/>
        <item x="975"/>
        <item x="865"/>
        <item x="966"/>
        <item x="876"/>
        <item x="869"/>
        <item x="920"/>
        <item x="910"/>
        <item x="875"/>
        <item x="911"/>
        <item x="909"/>
        <item x="907"/>
        <item x="972"/>
        <item x="870"/>
        <item x="912"/>
        <item x="923"/>
        <item x="924"/>
        <item x="922"/>
        <item x="903"/>
        <item x="921"/>
        <item x="919"/>
        <item x="902"/>
        <item x="908"/>
        <item x="960"/>
        <item x="878"/>
        <item x="953"/>
        <item x="959"/>
        <item x="906"/>
        <item x="882"/>
        <item x="877"/>
        <item x="883"/>
        <item x="963"/>
        <item x="958"/>
        <item x="965"/>
        <item x="880"/>
        <item x="950"/>
        <item x="951"/>
        <item x="949"/>
        <item x="925"/>
        <item x="964"/>
        <item x="948"/>
        <item x="885"/>
        <item x="947"/>
        <item x="955"/>
        <item x="961"/>
        <item x="890"/>
        <item x="913"/>
        <item x="918"/>
        <item x="901"/>
        <item x="881"/>
        <item x="889"/>
        <item x="952"/>
        <item x="879"/>
        <item x="899"/>
        <item x="956"/>
        <item x="957"/>
        <item x="944"/>
        <item x="900"/>
        <item x="873"/>
        <item x="946"/>
        <item x="954"/>
        <item x="874"/>
        <item x="914"/>
        <item x="915"/>
        <item x="916"/>
        <item x="962"/>
        <item x="871"/>
        <item x="904"/>
        <item x="884"/>
        <item x="872"/>
        <item x="905"/>
        <item x="927"/>
        <item x="886"/>
        <item x="887"/>
        <item x="898"/>
        <item x="892"/>
        <item x="926"/>
        <item x="943"/>
        <item x="930"/>
        <item x="891"/>
        <item x="888"/>
        <item x="939"/>
        <item x="894"/>
        <item x="945"/>
        <item x="893"/>
        <item x="931"/>
        <item x="917"/>
        <item x="938"/>
        <item x="942"/>
        <item x="937"/>
        <item x="933"/>
        <item x="940"/>
        <item x="934"/>
        <item x="895"/>
        <item x="929"/>
        <item x="928"/>
        <item x="936"/>
        <item x="941"/>
        <item x="935"/>
        <item x="896"/>
        <item x="897"/>
        <item x="932"/>
        <item t="default"/>
      </items>
    </pivotField>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6">
    <i>
      <x/>
    </i>
    <i i="1">
      <x v="1"/>
    </i>
    <i i="2">
      <x v="2"/>
    </i>
    <i i="3">
      <x v="3"/>
    </i>
    <i i="4">
      <x v="4"/>
    </i>
    <i i="5">
      <x v="5"/>
    </i>
  </colItems>
  <dataFields count="6">
    <dataField name="Mín. de cierre BTC" fld="10" subtotal="min" baseField="2" baseItem="0" numFmtId="44"/>
    <dataField name="Promedio de cierre BTC" fld="10" subtotal="average" baseField="15" baseItem="1" numFmtId="44"/>
    <dataField name="Máx. de cierre BTC" fld="10" subtotal="max" baseField="2" baseItem="0" numFmtId="44"/>
    <dataField name="Mín. de index" fld="6" subtotal="min" baseField="2" baseItem="0"/>
    <dataField name="Promedio de index" fld="6" subtotal="average" baseField="15" baseItem="1"/>
    <dataField name="Máx. de index" fld="6" subtotal="max" baseField="2" baseItem="0"/>
  </dataFields>
  <formats count="56">
    <format dxfId="79">
      <pivotArea type="all" dataOnly="0" outline="0" fieldPosition="0"/>
    </format>
    <format dxfId="78">
      <pivotArea outline="0" collapsedLevelsAreSubtotals="1" fieldPosition="0"/>
    </format>
    <format dxfId="77">
      <pivotArea field="2" type="button" dataOnly="0" labelOnly="1" outline="0" axis="axisRow" fieldPosition="0"/>
    </format>
    <format dxfId="76">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75">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74">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73">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72">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71">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70">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69">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68">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67">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66">
      <pivotArea dataOnly="0" labelOnly="1" grandRow="1" outline="0" fieldPosition="0"/>
    </format>
    <format dxfId="65">
      <pivotArea dataOnly="0" labelOnly="1" outline="0" fieldPosition="0">
        <references count="1">
          <reference field="4294967294" count="2">
            <x v="1"/>
            <x v="4"/>
          </reference>
        </references>
      </pivotArea>
    </format>
    <format dxfId="64">
      <pivotArea type="all" dataOnly="0" outline="0" fieldPosition="0"/>
    </format>
    <format dxfId="63">
      <pivotArea outline="0" collapsedLevelsAreSubtotals="1" fieldPosition="0"/>
    </format>
    <format dxfId="62">
      <pivotArea field="2" type="button" dataOnly="0" labelOnly="1" outline="0" axis="axisRow" fieldPosition="0"/>
    </format>
    <format dxfId="61">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60">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59">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58">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57">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56">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55">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54">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53">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52">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51">
      <pivotArea dataOnly="0" labelOnly="1" grandRow="1" outline="0" fieldPosition="0"/>
    </format>
    <format dxfId="50">
      <pivotArea dataOnly="0" labelOnly="1" outline="0" fieldPosition="0">
        <references count="1">
          <reference field="4294967294" count="2">
            <x v="1"/>
            <x v="4"/>
          </reference>
        </references>
      </pivotArea>
    </format>
    <format dxfId="49">
      <pivotArea type="all" dataOnly="0" outline="0" fieldPosition="0"/>
    </format>
    <format dxfId="48">
      <pivotArea outline="0" collapsedLevelsAreSubtotals="1" fieldPosition="0"/>
    </format>
    <format dxfId="47">
      <pivotArea field="2" type="button" dataOnly="0" labelOnly="1" outline="0" axis="axisRow" fieldPosition="0"/>
    </format>
    <format dxfId="46">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5">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4">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3">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2">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1">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0">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9">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8">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7">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36">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35">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34">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33">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32">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31">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30">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29">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28">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27">
      <pivotArea dataOnly="0" labelOnly="1" fieldPosition="0">
        <references count="1">
          <reference field="2"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26">
      <pivotArea dataOnly="0" labelOnly="1" fieldPosition="0">
        <references count="1">
          <reference field="2" count="1">
            <x v="1000"/>
          </reference>
        </references>
      </pivotArea>
    </format>
    <format dxfId="25">
      <pivotArea dataOnly="0" labelOnly="1" grandRow="1" outline="0" fieldPosition="0"/>
    </format>
    <format dxfId="24">
      <pivotArea dataOnly="0" labelOnly="1" outline="0" fieldPosition="0">
        <references count="1">
          <reference field="4294967294" count="6">
            <x v="0"/>
            <x v="1"/>
            <x v="2"/>
            <x v="3"/>
            <x v="4"/>
            <x v="5"/>
          </reference>
        </references>
      </pivotArea>
    </format>
  </formats>
  <chartFormats count="3">
    <chartFormat chart="5" format="5" series="1">
      <pivotArea type="data" outline="0" fieldPosition="0">
        <references count="1">
          <reference field="4294967294" count="1" selected="0">
            <x v="1"/>
          </reference>
        </references>
      </pivotArea>
    </chartFormat>
    <chartFormat chart="5" format="6" series="1">
      <pivotArea type="data" outline="0" fieldPosition="0">
        <references count="1">
          <reference field="4294967294" count="1" selected="0">
            <x v="4"/>
          </reference>
        </references>
      </pivotArea>
    </chartFormat>
    <chartFormat chart="5" format="7">
      <pivotArea type="data" outline="0" fieldPosition="0">
        <references count="2">
          <reference field="4294967294" count="1" selected="0">
            <x v="4"/>
          </reference>
          <reference field="2" count="1" selected="0">
            <x v="5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582A61-D1D6-4304-9D68-A015475BF6F8}" name="TablaDinámica10"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8">
  <location ref="B3:D1005" firstHeaderRow="0" firstDataRow="1" firstDataCol="1"/>
  <pivotFields count="16">
    <pivotField showAll="0"/>
    <pivotField showAll="0">
      <items count="34">
        <item x="9"/>
        <item x="21"/>
        <item x="1"/>
        <item x="13"/>
        <item x="25"/>
        <item x="5"/>
        <item x="17"/>
        <item x="29"/>
        <item x="6"/>
        <item x="18"/>
        <item x="30"/>
        <item x="7"/>
        <item x="19"/>
        <item x="31"/>
        <item x="0"/>
        <item x="12"/>
        <item x="24"/>
        <item x="11"/>
        <item x="23"/>
        <item x="8"/>
        <item x="20"/>
        <item x="32"/>
        <item x="10"/>
        <item x="22"/>
        <item x="4"/>
        <item x="16"/>
        <item x="28"/>
        <item x="3"/>
        <item x="15"/>
        <item x="27"/>
        <item x="2"/>
        <item x="14"/>
        <item x="26"/>
        <item t="default"/>
      </items>
    </pivotField>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items count="3">
        <item x="1"/>
        <item x="0"/>
        <item t="default"/>
      </items>
    </pivotField>
    <pivotField multipleItemSelectionAllowed="1" showAll="0">
      <items count="5">
        <item x="2"/>
        <item x="3"/>
        <item x="1"/>
        <item x="0"/>
        <item t="default"/>
      </items>
    </pivotField>
    <pivotField dataField="1"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numFmtId="2" showAll="0"/>
    <pivotField numFmtId="44" showAll="0"/>
    <pivotField dataField="1" numFmtId="44" showAll="0">
      <items count="1002">
        <item x="140"/>
        <item x="128"/>
        <item x="141"/>
        <item x="147"/>
        <item x="139"/>
        <item x="132"/>
        <item x="168"/>
        <item x="146"/>
        <item x="148"/>
        <item x="145"/>
        <item x="144"/>
        <item x="180"/>
        <item x="177"/>
        <item x="179"/>
        <item x="143"/>
        <item x="142"/>
        <item x="133"/>
        <item x="181"/>
        <item x="178"/>
        <item x="165"/>
        <item x="135"/>
        <item x="183"/>
        <item x="136"/>
        <item x="182"/>
        <item x="137"/>
        <item x="138"/>
        <item x="176"/>
        <item x="167"/>
        <item x="166"/>
        <item x="172"/>
        <item x="131"/>
        <item x="170"/>
        <item x="171"/>
        <item x="185"/>
        <item x="174"/>
        <item x="173"/>
        <item x="156"/>
        <item x="184"/>
        <item x="134"/>
        <item x="169"/>
        <item x="152"/>
        <item x="175"/>
        <item x="186"/>
        <item x="187"/>
        <item x="150"/>
        <item x="154"/>
        <item x="130"/>
        <item x="151"/>
        <item x="155"/>
        <item x="188"/>
        <item x="160"/>
        <item x="159"/>
        <item x="153"/>
        <item x="158"/>
        <item x="149"/>
        <item x="189"/>
        <item x="161"/>
        <item x="157"/>
        <item x="164"/>
        <item x="190"/>
        <item x="129"/>
        <item x="162"/>
        <item x="163"/>
        <item x="191"/>
        <item x="127"/>
        <item x="79"/>
        <item x="83"/>
        <item x="64"/>
        <item x="192"/>
        <item x="78"/>
        <item x="82"/>
        <item x="90"/>
        <item x="99"/>
        <item x="108"/>
        <item x="103"/>
        <item x="85"/>
        <item x="107"/>
        <item x="98"/>
        <item x="100"/>
        <item x="109"/>
        <item x="102"/>
        <item x="110"/>
        <item x="84"/>
        <item x="104"/>
        <item x="65"/>
        <item x="81"/>
        <item x="89"/>
        <item x="8"/>
        <item x="66"/>
        <item x="106"/>
        <item x="112"/>
        <item x="101"/>
        <item x="80"/>
        <item x="96"/>
        <item x="76"/>
        <item x="86"/>
        <item x="88"/>
        <item x="97"/>
        <item x="77"/>
        <item x="95"/>
        <item x="105"/>
        <item x="111"/>
        <item x="87"/>
        <item x="55"/>
        <item x="91"/>
        <item x="73"/>
        <item x="74"/>
        <item x="57"/>
        <item x="63"/>
        <item x="61"/>
        <item x="193"/>
        <item x="94"/>
        <item x="60"/>
        <item x="7"/>
        <item x="62"/>
        <item x="54"/>
        <item x="58"/>
        <item x="113"/>
        <item x="59"/>
        <item x="75"/>
        <item x="121"/>
        <item x="93"/>
        <item x="249"/>
        <item x="1"/>
        <item x="122"/>
        <item x="9"/>
        <item x="0"/>
        <item x="72"/>
        <item x="53"/>
        <item x="115"/>
        <item x="71"/>
        <item x="56"/>
        <item x="92"/>
        <item x="248"/>
        <item x="120"/>
        <item x="119"/>
        <item x="2"/>
        <item x="10"/>
        <item x="116"/>
        <item x="126"/>
        <item x="250"/>
        <item x="118"/>
        <item x="198"/>
        <item x="114"/>
        <item x="13"/>
        <item x="117"/>
        <item x="11"/>
        <item x="6"/>
        <item x="46"/>
        <item x="195"/>
        <item x="125"/>
        <item x="194"/>
        <item x="199"/>
        <item x="123"/>
        <item x="197"/>
        <item x="47"/>
        <item x="196"/>
        <item x="12"/>
        <item x="22"/>
        <item x="124"/>
        <item x="21"/>
        <item x="67"/>
        <item x="51"/>
        <item x="49"/>
        <item x="50"/>
        <item x="48"/>
        <item x="5"/>
        <item x="52"/>
        <item x="3"/>
        <item x="221"/>
        <item x="68"/>
        <item x="247"/>
        <item x="4"/>
        <item x="69"/>
        <item x="223"/>
        <item x="224"/>
        <item x="220"/>
        <item x="222"/>
        <item x="251"/>
        <item x="246"/>
        <item x="225"/>
        <item x="243"/>
        <item x="242"/>
        <item x="70"/>
        <item x="245"/>
        <item x="244"/>
        <item x="19"/>
        <item x="14"/>
        <item x="20"/>
        <item x="31"/>
        <item x="204"/>
        <item x="200"/>
        <item x="18"/>
        <item x="202"/>
        <item x="217"/>
        <item x="201"/>
        <item x="210"/>
        <item x="30"/>
        <item x="23"/>
        <item x="203"/>
        <item x="219"/>
        <item x="216"/>
        <item x="33"/>
        <item x="29"/>
        <item x="208"/>
        <item x="206"/>
        <item x="207"/>
        <item x="205"/>
        <item x="211"/>
        <item x="239"/>
        <item x="36"/>
        <item x="17"/>
        <item x="236"/>
        <item x="34"/>
        <item x="235"/>
        <item x="45"/>
        <item x="16"/>
        <item x="218"/>
        <item x="32"/>
        <item x="28"/>
        <item x="215"/>
        <item x="44"/>
        <item x="27"/>
        <item x="15"/>
        <item x="214"/>
        <item x="213"/>
        <item x="241"/>
        <item x="238"/>
        <item x="237"/>
        <item x="227"/>
        <item x="240"/>
        <item x="26"/>
        <item x="212"/>
        <item x="209"/>
        <item x="25"/>
        <item x="35"/>
        <item x="24"/>
        <item x="43"/>
        <item x="234"/>
        <item x="37"/>
        <item x="38"/>
        <item x="42"/>
        <item x="233"/>
        <item x="252"/>
        <item x="226"/>
        <item x="41"/>
        <item x="230"/>
        <item x="254"/>
        <item x="39"/>
        <item x="40"/>
        <item x="232"/>
        <item x="228"/>
        <item x="229"/>
        <item x="253"/>
        <item x="231"/>
        <item x="255"/>
        <item x="345"/>
        <item x="434"/>
        <item x="346"/>
        <item x="429"/>
        <item x="336"/>
        <item x="428"/>
        <item x="424"/>
        <item x="427"/>
        <item x="433"/>
        <item x="435"/>
        <item x="341"/>
        <item x="425"/>
        <item x="432"/>
        <item x="343"/>
        <item x="431"/>
        <item x="344"/>
        <item x="423"/>
        <item x="342"/>
        <item x="426"/>
        <item x="418"/>
        <item x="414"/>
        <item x="417"/>
        <item x="410"/>
        <item x="419"/>
        <item x="411"/>
        <item x="420"/>
        <item x="413"/>
        <item x="416"/>
        <item x="412"/>
        <item x="449"/>
        <item x="436"/>
        <item x="430"/>
        <item x="447"/>
        <item x="448"/>
        <item x="347"/>
        <item x="324"/>
        <item x="349"/>
        <item x="338"/>
        <item x="450"/>
        <item x="415"/>
        <item x="325"/>
        <item x="340"/>
        <item x="339"/>
        <item x="348"/>
        <item x="440"/>
        <item x="437"/>
        <item x="444"/>
        <item x="439"/>
        <item x="446"/>
        <item x="445"/>
        <item x="438"/>
        <item x="409"/>
        <item x="326"/>
        <item x="321"/>
        <item x="441"/>
        <item x="465"/>
        <item x="313"/>
        <item x="312"/>
        <item x="332"/>
        <item x="318"/>
        <item x="350"/>
        <item x="322"/>
        <item x="467"/>
        <item x="466"/>
        <item x="327"/>
        <item x="464"/>
        <item x="319"/>
        <item x="452"/>
        <item x="314"/>
        <item x="257"/>
        <item x="453"/>
        <item x="311"/>
        <item x="451"/>
        <item x="316"/>
        <item x="334"/>
        <item x="335"/>
        <item x="320"/>
        <item x="443"/>
        <item x="266"/>
        <item x="468"/>
        <item x="315"/>
        <item x="442"/>
        <item x="331"/>
        <item x="323"/>
        <item x="337"/>
        <item x="333"/>
        <item x="267"/>
        <item x="291"/>
        <item x="422"/>
        <item x="261"/>
        <item x="463"/>
        <item x="317"/>
        <item x="458"/>
        <item x="256"/>
        <item x="456"/>
        <item x="263"/>
        <item x="264"/>
        <item x="294"/>
        <item x="455"/>
        <item x="462"/>
        <item x="293"/>
        <item x="310"/>
        <item x="309"/>
        <item x="308"/>
        <item x="330"/>
        <item x="421"/>
        <item x="329"/>
        <item x="259"/>
        <item x="273"/>
        <item x="457"/>
        <item x="292"/>
        <item x="277"/>
        <item x="461"/>
        <item x="459"/>
        <item x="278"/>
        <item x="460"/>
        <item x="454"/>
        <item x="265"/>
        <item x="269"/>
        <item x="258"/>
        <item x="276"/>
        <item x="328"/>
        <item x="301"/>
        <item x="274"/>
        <item x="260"/>
        <item x="275"/>
        <item x="272"/>
        <item x="290"/>
        <item x="295"/>
        <item x="351"/>
        <item x="471"/>
        <item x="279"/>
        <item x="262"/>
        <item x="268"/>
        <item x="271"/>
        <item x="470"/>
        <item x="296"/>
        <item x="307"/>
        <item x="270"/>
        <item x="469"/>
        <item x="302"/>
        <item x="408"/>
        <item x="472"/>
        <item x="289"/>
        <item x="304"/>
        <item x="306"/>
        <item x="303"/>
        <item x="398"/>
        <item x="397"/>
        <item x="396"/>
        <item x="394"/>
        <item x="407"/>
        <item x="385"/>
        <item x="395"/>
        <item x="399"/>
        <item x="388"/>
        <item x="386"/>
        <item x="392"/>
        <item x="299"/>
        <item x="300"/>
        <item x="391"/>
        <item x="405"/>
        <item x="389"/>
        <item x="298"/>
        <item x="387"/>
        <item x="390"/>
        <item x="403"/>
        <item x="406"/>
        <item x="404"/>
        <item x="402"/>
        <item x="287"/>
        <item x="297"/>
        <item x="305"/>
        <item x="401"/>
        <item x="280"/>
        <item x="393"/>
        <item x="473"/>
        <item x="400"/>
        <item x="383"/>
        <item x="381"/>
        <item x="379"/>
        <item x="382"/>
        <item x="367"/>
        <item x="353"/>
        <item x="380"/>
        <item x="474"/>
        <item x="475"/>
        <item x="352"/>
        <item x="384"/>
        <item x="359"/>
        <item x="282"/>
        <item x="378"/>
        <item x="370"/>
        <item x="281"/>
        <item x="377"/>
        <item x="357"/>
        <item x="369"/>
        <item x="376"/>
        <item x="286"/>
        <item x="285"/>
        <item x="375"/>
        <item x="368"/>
        <item x="373"/>
        <item x="288"/>
        <item x="283"/>
        <item x="371"/>
        <item x="360"/>
        <item x="361"/>
        <item x="356"/>
        <item x="284"/>
        <item x="366"/>
        <item x="355"/>
        <item x="362"/>
        <item x="363"/>
        <item x="372"/>
        <item x="358"/>
        <item x="354"/>
        <item x="365"/>
        <item x="364"/>
        <item x="374"/>
        <item x="476"/>
        <item x="477"/>
        <item x="480"/>
        <item x="481"/>
        <item x="479"/>
        <item x="483"/>
        <item x="478"/>
        <item x="482"/>
        <item x="484"/>
        <item x="487"/>
        <item x="486"/>
        <item x="490"/>
        <item x="489"/>
        <item x="488"/>
        <item x="485"/>
        <item x="491"/>
        <item x="498"/>
        <item x="492"/>
        <item x="505"/>
        <item x="500"/>
        <item x="497"/>
        <item x="502"/>
        <item x="501"/>
        <item x="493"/>
        <item x="496"/>
        <item x="495"/>
        <item x="511"/>
        <item x="507"/>
        <item x="494"/>
        <item x="503"/>
        <item x="506"/>
        <item x="504"/>
        <item x="510"/>
        <item x="514"/>
        <item x="508"/>
        <item x="509"/>
        <item x="512"/>
        <item x="513"/>
        <item x="499"/>
        <item x="515"/>
        <item x="516"/>
        <item x="567"/>
        <item x="568"/>
        <item x="570"/>
        <item x="517"/>
        <item x="569"/>
        <item x="525"/>
        <item x="563"/>
        <item x="531"/>
        <item x="526"/>
        <item x="566"/>
        <item x="564"/>
        <item x="565"/>
        <item x="559"/>
        <item x="571"/>
        <item x="529"/>
        <item x="518"/>
        <item x="573"/>
        <item x="543"/>
        <item x="572"/>
        <item x="544"/>
        <item x="530"/>
        <item x="545"/>
        <item x="533"/>
        <item x="560"/>
        <item x="540"/>
        <item x="576"/>
        <item x="580"/>
        <item x="532"/>
        <item x="542"/>
        <item x="581"/>
        <item x="562"/>
        <item x="558"/>
        <item x="548"/>
        <item x="557"/>
        <item x="527"/>
        <item x="575"/>
        <item x="579"/>
        <item x="538"/>
        <item x="528"/>
        <item x="577"/>
        <item x="582"/>
        <item x="561"/>
        <item x="578"/>
        <item x="574"/>
        <item x="521"/>
        <item x="541"/>
        <item x="539"/>
        <item x="534"/>
        <item x="523"/>
        <item x="537"/>
        <item x="520"/>
        <item x="524"/>
        <item x="535"/>
        <item x="552"/>
        <item x="551"/>
        <item x="536"/>
        <item x="519"/>
        <item x="550"/>
        <item x="522"/>
        <item x="546"/>
        <item x="549"/>
        <item x="583"/>
        <item x="547"/>
        <item x="584"/>
        <item x="554"/>
        <item x="556"/>
        <item x="555"/>
        <item x="553"/>
        <item x="585"/>
        <item x="586"/>
        <item x="587"/>
        <item x="589"/>
        <item x="588"/>
        <item x="599"/>
        <item x="598"/>
        <item x="600"/>
        <item x="593"/>
        <item x="601"/>
        <item x="595"/>
        <item x="590"/>
        <item x="597"/>
        <item x="591"/>
        <item x="594"/>
        <item x="592"/>
        <item x="596"/>
        <item x="795"/>
        <item x="763"/>
        <item x="796"/>
        <item x="602"/>
        <item x="797"/>
        <item x="765"/>
        <item x="734"/>
        <item x="764"/>
        <item x="794"/>
        <item x="732"/>
        <item x="735"/>
        <item x="731"/>
        <item x="798"/>
        <item x="603"/>
        <item x="790"/>
        <item x="800"/>
        <item x="738"/>
        <item x="792"/>
        <item x="773"/>
        <item x="799"/>
        <item x="737"/>
        <item x="739"/>
        <item x="793"/>
        <item x="736"/>
        <item x="762"/>
        <item x="801"/>
        <item x="805"/>
        <item x="667"/>
        <item x="733"/>
        <item x="776"/>
        <item x="769"/>
        <item x="772"/>
        <item x="774"/>
        <item x="789"/>
        <item x="778"/>
        <item x="786"/>
        <item x="791"/>
        <item x="788"/>
        <item x="668"/>
        <item x="804"/>
        <item x="740"/>
        <item x="770"/>
        <item x="787"/>
        <item x="775"/>
        <item x="777"/>
        <item x="785"/>
        <item x="803"/>
        <item x="730"/>
        <item x="829"/>
        <item x="721"/>
        <item x="806"/>
        <item x="725"/>
        <item x="780"/>
        <item x="802"/>
        <item x="828"/>
        <item x="771"/>
        <item x="821"/>
        <item x="666"/>
        <item x="761"/>
        <item x="822"/>
        <item x="741"/>
        <item x="676"/>
        <item x="677"/>
        <item x="723"/>
        <item x="820"/>
        <item x="767"/>
        <item x="726"/>
        <item x="768"/>
        <item x="779"/>
        <item x="674"/>
        <item x="605"/>
        <item x="653"/>
        <item x="760"/>
        <item x="678"/>
        <item x="680"/>
        <item x="724"/>
        <item x="807"/>
        <item x="766"/>
        <item x="722"/>
        <item x="624"/>
        <item x="729"/>
        <item x="607"/>
        <item x="823"/>
        <item x="824"/>
        <item x="827"/>
        <item x="826"/>
        <item x="673"/>
        <item x="606"/>
        <item x="830"/>
        <item x="604"/>
        <item x="727"/>
        <item x="825"/>
        <item x="832"/>
        <item x="728"/>
        <item x="784"/>
        <item x="669"/>
        <item x="679"/>
        <item x="808"/>
        <item x="675"/>
        <item x="664"/>
        <item x="814"/>
        <item x="672"/>
        <item x="608"/>
        <item x="720"/>
        <item x="809"/>
        <item x="831"/>
        <item x="819"/>
        <item x="812"/>
        <item x="810"/>
        <item x="663"/>
        <item x="651"/>
        <item x="654"/>
        <item x="811"/>
        <item x="662"/>
        <item x="627"/>
        <item x="610"/>
        <item x="652"/>
        <item x="649"/>
        <item x="665"/>
        <item x="655"/>
        <item x="670"/>
        <item x="745"/>
        <item x="671"/>
        <item x="628"/>
        <item x="781"/>
        <item x="718"/>
        <item x="744"/>
        <item x="782"/>
        <item x="719"/>
        <item x="660"/>
        <item x="813"/>
        <item x="783"/>
        <item x="661"/>
        <item x="758"/>
        <item x="717"/>
        <item x="742"/>
        <item x="657"/>
        <item x="716"/>
        <item x="656"/>
        <item x="743"/>
        <item x="715"/>
        <item x="815"/>
        <item x="682"/>
        <item x="621"/>
        <item x="759"/>
        <item x="751"/>
        <item x="638"/>
        <item x="626"/>
        <item x="818"/>
        <item x="650"/>
        <item x="752"/>
        <item x="816"/>
        <item x="817"/>
        <item x="750"/>
        <item x="639"/>
        <item x="711"/>
        <item x="833"/>
        <item x="611"/>
        <item x="712"/>
        <item x="757"/>
        <item x="681"/>
        <item x="685"/>
        <item x="659"/>
        <item x="842"/>
        <item x="714"/>
        <item x="713"/>
        <item x="844"/>
        <item x="746"/>
        <item x="710"/>
        <item x="756"/>
        <item x="658"/>
        <item x="612"/>
        <item x="684"/>
        <item x="845"/>
        <item x="834"/>
        <item x="683"/>
        <item x="747"/>
        <item x="648"/>
        <item x="629"/>
        <item x="708"/>
        <item x="841"/>
        <item x="840"/>
        <item x="836"/>
        <item x="697"/>
        <item x="623"/>
        <item x="695"/>
        <item x="749"/>
        <item x="835"/>
        <item x="698"/>
        <item x="699"/>
        <item x="854"/>
        <item x="754"/>
        <item x="641"/>
        <item x="753"/>
        <item x="625"/>
        <item x="846"/>
        <item x="689"/>
        <item x="748"/>
        <item x="843"/>
        <item x="709"/>
        <item x="755"/>
        <item x="694"/>
        <item x="613"/>
        <item x="609"/>
        <item x="838"/>
        <item x="696"/>
        <item x="622"/>
        <item x="837"/>
        <item x="614"/>
        <item x="640"/>
        <item x="692"/>
        <item x="690"/>
        <item x="853"/>
        <item x="700"/>
        <item x="642"/>
        <item x="839"/>
        <item x="615"/>
        <item x="688"/>
        <item x="645"/>
        <item x="691"/>
        <item x="852"/>
        <item x="705"/>
        <item x="704"/>
        <item x="855"/>
        <item x="643"/>
        <item x="693"/>
        <item x="620"/>
        <item x="632"/>
        <item x="851"/>
        <item x="707"/>
        <item x="635"/>
        <item x="706"/>
        <item x="637"/>
        <item x="634"/>
        <item x="847"/>
        <item x="630"/>
        <item x="631"/>
        <item x="647"/>
        <item x="687"/>
        <item x="850"/>
        <item x="701"/>
        <item x="646"/>
        <item x="633"/>
        <item x="703"/>
        <item x="702"/>
        <item x="636"/>
        <item x="619"/>
        <item x="686"/>
        <item x="617"/>
        <item x="644"/>
        <item x="616"/>
        <item x="849"/>
        <item x="848"/>
        <item x="618"/>
        <item x="856"/>
        <item x="857"/>
        <item x="858"/>
        <item x="859"/>
        <item x="980"/>
        <item x="860"/>
        <item x="979"/>
        <item x="983"/>
        <item x="1000"/>
        <item x="986"/>
        <item x="999"/>
        <item x="988"/>
        <item x="981"/>
        <item x="982"/>
        <item x="992"/>
        <item x="984"/>
        <item x="991"/>
        <item x="987"/>
        <item x="990"/>
        <item x="985"/>
        <item x="968"/>
        <item x="998"/>
        <item x="970"/>
        <item x="969"/>
        <item x="971"/>
        <item x="993"/>
        <item x="973"/>
        <item x="978"/>
        <item x="977"/>
        <item x="989"/>
        <item x="996"/>
        <item x="997"/>
        <item x="974"/>
        <item x="864"/>
        <item x="995"/>
        <item x="994"/>
        <item x="862"/>
        <item x="861"/>
        <item x="967"/>
        <item x="867"/>
        <item x="976"/>
        <item x="868"/>
        <item x="866"/>
        <item x="863"/>
        <item x="975"/>
        <item x="865"/>
        <item x="966"/>
        <item x="876"/>
        <item x="869"/>
        <item x="920"/>
        <item x="910"/>
        <item x="875"/>
        <item x="911"/>
        <item x="909"/>
        <item x="907"/>
        <item x="972"/>
        <item x="870"/>
        <item x="912"/>
        <item x="923"/>
        <item x="924"/>
        <item x="922"/>
        <item x="903"/>
        <item x="921"/>
        <item x="919"/>
        <item x="902"/>
        <item x="908"/>
        <item x="960"/>
        <item x="878"/>
        <item x="953"/>
        <item x="959"/>
        <item x="906"/>
        <item x="882"/>
        <item x="877"/>
        <item x="883"/>
        <item x="963"/>
        <item x="958"/>
        <item x="965"/>
        <item x="880"/>
        <item x="950"/>
        <item x="951"/>
        <item x="949"/>
        <item x="925"/>
        <item x="964"/>
        <item x="948"/>
        <item x="885"/>
        <item x="947"/>
        <item x="955"/>
        <item x="961"/>
        <item x="890"/>
        <item x="913"/>
        <item x="918"/>
        <item x="901"/>
        <item x="881"/>
        <item x="889"/>
        <item x="952"/>
        <item x="879"/>
        <item x="899"/>
        <item x="956"/>
        <item x="957"/>
        <item x="944"/>
        <item x="900"/>
        <item x="873"/>
        <item x="946"/>
        <item x="954"/>
        <item x="874"/>
        <item x="914"/>
        <item x="915"/>
        <item x="916"/>
        <item x="962"/>
        <item x="871"/>
        <item x="904"/>
        <item x="884"/>
        <item x="872"/>
        <item x="905"/>
        <item x="927"/>
        <item x="886"/>
        <item x="887"/>
        <item x="898"/>
        <item x="892"/>
        <item x="926"/>
        <item x="943"/>
        <item x="930"/>
        <item x="891"/>
        <item x="888"/>
        <item x="939"/>
        <item x="894"/>
        <item x="945"/>
        <item x="893"/>
        <item x="931"/>
        <item x="917"/>
        <item x="938"/>
        <item x="942"/>
        <item x="937"/>
        <item x="933"/>
        <item x="940"/>
        <item x="934"/>
        <item x="895"/>
        <item x="929"/>
        <item x="928"/>
        <item x="936"/>
        <item x="941"/>
        <item x="935"/>
        <item x="896"/>
        <item x="897"/>
        <item x="932"/>
        <item t="default"/>
      </items>
    </pivotField>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2">
    <i>
      <x/>
    </i>
    <i i="1">
      <x v="1"/>
    </i>
  </colItems>
  <dataFields count="2">
    <dataField name="Promedio de cierre BTC" fld="10" subtotal="average" baseField="15" baseItem="1" numFmtId="44"/>
    <dataField name="Promedio de index" fld="6" subtotal="average" baseField="15" baseItem="1"/>
  </dataFields>
  <formats count="56">
    <format dxfId="135">
      <pivotArea type="all" dataOnly="0" outline="0" fieldPosition="0"/>
    </format>
    <format dxfId="134">
      <pivotArea outline="0" collapsedLevelsAreSubtotals="1" fieldPosition="0"/>
    </format>
    <format dxfId="133">
      <pivotArea field="2" type="button" dataOnly="0" labelOnly="1" outline="0" axis="axisRow" fieldPosition="0"/>
    </format>
    <format dxfId="132">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131">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130">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129">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128">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127">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126">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125">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124">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123">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122">
      <pivotArea dataOnly="0" labelOnly="1" grandRow="1" outline="0" fieldPosition="0"/>
    </format>
    <format dxfId="121">
      <pivotArea dataOnly="0" labelOnly="1" outline="0" fieldPosition="0">
        <references count="1">
          <reference field="4294967294" count="2">
            <x v="0"/>
            <x v="1"/>
          </reference>
        </references>
      </pivotArea>
    </format>
    <format dxfId="120">
      <pivotArea type="all" dataOnly="0" outline="0" fieldPosition="0"/>
    </format>
    <format dxfId="119">
      <pivotArea outline="0" collapsedLevelsAreSubtotals="1" fieldPosition="0"/>
    </format>
    <format dxfId="118">
      <pivotArea field="2" type="button" dataOnly="0" labelOnly="1" outline="0" axis="axisRow" fieldPosition="0"/>
    </format>
    <format dxfId="117">
      <pivotArea dataOnly="0" labelOnly="1" fieldPosition="0">
        <references count="1">
          <reference field="2" count="50">
            <x v="195"/>
            <x v="197"/>
            <x v="198"/>
            <x v="200"/>
            <x v="201"/>
            <x v="202"/>
            <x v="203"/>
            <x v="204"/>
            <x v="205"/>
            <x v="206"/>
            <x v="207"/>
            <x v="208"/>
            <x v="209"/>
            <x v="210"/>
            <x v="211"/>
            <x v="212"/>
            <x v="213"/>
            <x v="214"/>
            <x v="215"/>
            <x v="216"/>
            <x v="217"/>
            <x v="218"/>
            <x v="219"/>
            <x v="220"/>
            <x v="223"/>
            <x v="225"/>
            <x v="226"/>
            <x v="227"/>
            <x v="228"/>
            <x v="229"/>
            <x v="230"/>
            <x v="231"/>
            <x v="232"/>
            <x v="233"/>
            <x v="234"/>
            <x v="235"/>
            <x v="236"/>
            <x v="237"/>
            <x v="238"/>
            <x v="239"/>
            <x v="240"/>
            <x v="241"/>
            <x v="242"/>
            <x v="243"/>
            <x v="247"/>
            <x v="253"/>
            <x v="254"/>
            <x v="255"/>
            <x v="256"/>
            <x v="257"/>
          </reference>
        </references>
      </pivotArea>
    </format>
    <format dxfId="116">
      <pivotArea dataOnly="0" labelOnly="1" fieldPosition="0">
        <references count="1">
          <reference field="2" count="50">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reference>
        </references>
      </pivotArea>
    </format>
    <format dxfId="115">
      <pivotArea dataOnly="0" labelOnly="1" fieldPosition="0">
        <references count="1">
          <reference field="2" count="50">
            <x v="308"/>
            <x v="309"/>
            <x v="310"/>
            <x v="311"/>
            <x v="315"/>
            <x v="316"/>
            <x v="317"/>
            <x v="318"/>
            <x v="321"/>
            <x v="323"/>
            <x v="324"/>
            <x v="325"/>
            <x v="328"/>
            <x v="329"/>
            <x v="330"/>
            <x v="331"/>
            <x v="332"/>
            <x v="333"/>
            <x v="334"/>
            <x v="335"/>
            <x v="336"/>
            <x v="338"/>
            <x v="339"/>
            <x v="340"/>
            <x v="352"/>
            <x v="353"/>
            <x v="354"/>
            <x v="355"/>
            <x v="356"/>
            <x v="357"/>
            <x v="358"/>
            <x v="359"/>
            <x v="360"/>
            <x v="361"/>
            <x v="362"/>
            <x v="363"/>
            <x v="364"/>
            <x v="365"/>
            <x v="366"/>
            <x v="367"/>
            <x v="368"/>
            <x v="369"/>
            <x v="370"/>
            <x v="371"/>
            <x v="372"/>
            <x v="373"/>
            <x v="374"/>
            <x v="375"/>
            <x v="376"/>
            <x v="377"/>
          </reference>
        </references>
      </pivotArea>
    </format>
    <format dxfId="114">
      <pivotArea dataOnly="0" labelOnly="1" fieldPosition="0">
        <references count="1">
          <reference field="2" count="50">
            <x v="378"/>
            <x v="379"/>
            <x v="380"/>
            <x v="381"/>
            <x v="382"/>
            <x v="383"/>
            <x v="384"/>
            <x v="385"/>
            <x v="386"/>
            <x v="387"/>
            <x v="388"/>
            <x v="389"/>
            <x v="390"/>
            <x v="391"/>
            <x v="392"/>
            <x v="393"/>
            <x v="394"/>
            <x v="395"/>
            <x v="396"/>
            <x v="397"/>
            <x v="400"/>
            <x v="401"/>
            <x v="402"/>
            <x v="403"/>
            <x v="404"/>
            <x v="405"/>
            <x v="406"/>
            <x v="407"/>
            <x v="408"/>
            <x v="409"/>
            <x v="423"/>
            <x v="455"/>
            <x v="456"/>
            <x v="459"/>
            <x v="461"/>
            <x v="462"/>
            <x v="463"/>
            <x v="470"/>
            <x v="471"/>
            <x v="472"/>
            <x v="473"/>
            <x v="474"/>
            <x v="475"/>
            <x v="476"/>
            <x v="477"/>
            <x v="478"/>
            <x v="479"/>
            <x v="480"/>
            <x v="481"/>
            <x v="482"/>
          </reference>
        </references>
      </pivotArea>
    </format>
    <format dxfId="113">
      <pivotArea dataOnly="0" labelOnly="1" fieldPosition="0">
        <references count="1">
          <reference field="2" count="50">
            <x v="483"/>
            <x v="484"/>
            <x v="485"/>
            <x v="486"/>
            <x v="487"/>
            <x v="488"/>
            <x v="489"/>
            <x v="490"/>
            <x v="491"/>
            <x v="492"/>
            <x v="493"/>
            <x v="494"/>
            <x v="495"/>
            <x v="496"/>
            <x v="497"/>
            <x v="498"/>
            <x v="499"/>
            <x v="500"/>
            <x v="501"/>
            <x v="502"/>
            <x v="503"/>
            <x v="504"/>
            <x v="505"/>
            <x v="506"/>
            <x v="507"/>
            <x v="508"/>
            <x v="509"/>
            <x v="510"/>
            <x v="511"/>
            <x v="512"/>
            <x v="513"/>
            <x v="514"/>
            <x v="515"/>
            <x v="516"/>
            <x v="517"/>
            <x v="518"/>
            <x v="520"/>
            <x v="521"/>
            <x v="522"/>
            <x v="523"/>
            <x v="524"/>
            <x v="525"/>
            <x v="526"/>
            <x v="527"/>
            <x v="528"/>
            <x v="529"/>
            <x v="530"/>
            <x v="531"/>
            <x v="532"/>
            <x v="533"/>
          </reference>
        </references>
      </pivotArea>
    </format>
    <format dxfId="112">
      <pivotArea dataOnly="0" labelOnly="1" fieldPosition="0">
        <references count="1">
          <reference field="2" count="50">
            <x v="534"/>
            <x v="535"/>
            <x v="536"/>
            <x v="537"/>
            <x v="538"/>
            <x v="539"/>
            <x v="540"/>
            <x v="541"/>
            <x v="542"/>
            <x v="543"/>
            <x v="544"/>
            <x v="545"/>
            <x v="546"/>
            <x v="547"/>
            <x v="548"/>
            <x v="549"/>
            <x v="550"/>
            <x v="551"/>
            <x v="552"/>
            <x v="553"/>
            <x v="555"/>
            <x v="557"/>
            <x v="558"/>
            <x v="559"/>
            <x v="560"/>
            <x v="561"/>
            <x v="562"/>
            <x v="563"/>
            <x v="564"/>
            <x v="565"/>
            <x v="566"/>
            <x v="567"/>
            <x v="568"/>
            <x v="570"/>
            <x v="572"/>
            <x v="573"/>
            <x v="574"/>
            <x v="575"/>
            <x v="576"/>
            <x v="577"/>
            <x v="578"/>
            <x v="579"/>
            <x v="580"/>
            <x v="581"/>
            <x v="582"/>
            <x v="583"/>
            <x v="584"/>
            <x v="585"/>
            <x v="586"/>
            <x v="587"/>
          </reference>
        </references>
      </pivotArea>
    </format>
    <format dxfId="111">
      <pivotArea dataOnly="0" labelOnly="1" fieldPosition="0">
        <references count="1">
          <reference field="2" count="50">
            <x v="588"/>
            <x v="590"/>
            <x v="591"/>
            <x v="592"/>
            <x v="594"/>
            <x v="596"/>
            <x v="598"/>
            <x v="600"/>
            <x v="601"/>
            <x v="602"/>
            <x v="625"/>
            <x v="628"/>
            <x v="629"/>
            <x v="639"/>
            <x v="640"/>
            <x v="649"/>
            <x v="650"/>
            <x v="651"/>
            <x v="652"/>
            <x v="653"/>
            <x v="654"/>
            <x v="655"/>
            <x v="656"/>
            <x v="657"/>
            <x v="658"/>
            <x v="659"/>
            <x v="660"/>
            <x v="661"/>
            <x v="662"/>
            <x v="663"/>
            <x v="664"/>
            <x v="665"/>
            <x v="666"/>
            <x v="667"/>
            <x v="670"/>
            <x v="671"/>
            <x v="672"/>
            <x v="673"/>
            <x v="674"/>
            <x v="675"/>
            <x v="676"/>
            <x v="677"/>
            <x v="678"/>
            <x v="679"/>
            <x v="680"/>
            <x v="681"/>
            <x v="682"/>
            <x v="683"/>
            <x v="684"/>
            <x v="685"/>
          </reference>
        </references>
      </pivotArea>
    </format>
    <format dxfId="110">
      <pivotArea dataOnly="0" labelOnly="1" fieldPosition="0">
        <references count="1">
          <reference field="2" count="50">
            <x v="686"/>
            <x v="690"/>
            <x v="693"/>
            <x v="694"/>
            <x v="695"/>
            <x v="696"/>
            <x v="697"/>
            <x v="698"/>
            <x v="699"/>
            <x v="700"/>
            <x v="701"/>
            <x v="705"/>
            <x v="707"/>
            <x v="708"/>
            <x v="709"/>
            <x v="710"/>
            <x v="711"/>
            <x v="712"/>
            <x v="713"/>
            <x v="714"/>
            <x v="715"/>
            <x v="716"/>
            <x v="717"/>
            <x v="718"/>
            <x v="719"/>
            <x v="720"/>
            <x v="721"/>
            <x v="728"/>
            <x v="729"/>
            <x v="730"/>
            <x v="742"/>
            <x v="743"/>
            <x v="744"/>
            <x v="745"/>
            <x v="746"/>
            <x v="747"/>
            <x v="748"/>
            <x v="749"/>
            <x v="750"/>
            <x v="751"/>
            <x v="752"/>
            <x v="753"/>
            <x v="754"/>
            <x v="755"/>
            <x v="756"/>
            <x v="757"/>
            <x v="758"/>
            <x v="759"/>
            <x v="760"/>
            <x v="782"/>
          </reference>
        </references>
      </pivotArea>
    </format>
    <format dxfId="109">
      <pivotArea dataOnly="0" labelOnly="1" fieldPosition="0">
        <references count="1">
          <reference field="2" count="50">
            <x v="783"/>
            <x v="784"/>
            <x v="803"/>
            <x v="804"/>
            <x v="809"/>
            <x v="810"/>
            <x v="811"/>
            <x v="812"/>
            <x v="813"/>
            <x v="814"/>
            <x v="815"/>
            <x v="816"/>
            <x v="817"/>
            <x v="818"/>
            <x v="819"/>
            <x v="820"/>
            <x v="825"/>
            <x v="826"/>
            <x v="832"/>
            <x v="834"/>
            <x v="835"/>
            <x v="836"/>
            <x v="837"/>
            <x v="838"/>
            <x v="839"/>
            <x v="840"/>
            <x v="841"/>
            <x v="842"/>
            <x v="843"/>
            <x v="844"/>
            <x v="845"/>
            <x v="846"/>
            <x v="847"/>
            <x v="848"/>
            <x v="852"/>
            <x v="853"/>
            <x v="854"/>
            <x v="855"/>
            <x v="856"/>
            <x v="886"/>
            <x v="891"/>
            <x v="900"/>
            <x v="901"/>
            <x v="902"/>
            <x v="903"/>
            <x v="904"/>
            <x v="905"/>
            <x v="907"/>
            <x v="908"/>
            <x v="909"/>
          </reference>
        </references>
      </pivotArea>
    </format>
    <format dxfId="108">
      <pivotArea dataOnly="0" labelOnly="1" fieldPosition="0">
        <references count="1">
          <reference field="2" count="30">
            <x v="910"/>
            <x v="911"/>
            <x v="912"/>
            <x v="913"/>
            <x v="914"/>
            <x v="915"/>
            <x v="916"/>
            <x v="919"/>
            <x v="920"/>
            <x v="921"/>
            <x v="922"/>
            <x v="923"/>
            <x v="924"/>
            <x v="925"/>
            <x v="926"/>
            <x v="937"/>
            <x v="938"/>
            <x v="939"/>
            <x v="940"/>
            <x v="941"/>
            <x v="943"/>
            <x v="944"/>
            <x v="946"/>
            <x v="947"/>
            <x v="955"/>
            <x v="957"/>
            <x v="958"/>
            <x v="959"/>
            <x v="963"/>
            <x v="965"/>
          </reference>
        </references>
      </pivotArea>
    </format>
    <format dxfId="107">
      <pivotArea dataOnly="0" labelOnly="1" grandRow="1" outline="0" fieldPosition="0"/>
    </format>
    <format dxfId="106">
      <pivotArea dataOnly="0" labelOnly="1" outline="0" fieldPosition="0">
        <references count="1">
          <reference field="4294967294" count="2">
            <x v="0"/>
            <x v="1"/>
          </reference>
        </references>
      </pivotArea>
    </format>
    <format dxfId="105">
      <pivotArea type="all" dataOnly="0" outline="0" fieldPosition="0"/>
    </format>
    <format dxfId="104">
      <pivotArea outline="0" collapsedLevelsAreSubtotals="1" fieldPosition="0"/>
    </format>
    <format dxfId="103">
      <pivotArea field="2" type="button" dataOnly="0" labelOnly="1" outline="0" axis="axisRow" fieldPosition="0"/>
    </format>
    <format dxfId="102">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01">
      <pivotArea dataOnly="0" labelOnly="1"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00">
      <pivotArea dataOnly="0" labelOnly="1"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99">
      <pivotArea dataOnly="0" labelOnly="1"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98">
      <pivotArea dataOnly="0" labelOnly="1"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97">
      <pivotArea dataOnly="0" labelOnly="1"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96">
      <pivotArea dataOnly="0" labelOnly="1" fieldPosition="0">
        <references count="1">
          <reference field="2"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95">
      <pivotArea dataOnly="0" labelOnly="1" fieldPosition="0">
        <references count="1">
          <reference field="2"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94">
      <pivotArea dataOnly="0" labelOnly="1" fieldPosition="0">
        <references count="1">
          <reference field="2"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93">
      <pivotArea dataOnly="0" labelOnly="1" fieldPosition="0">
        <references count="1">
          <reference field="2"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92">
      <pivotArea dataOnly="0" labelOnly="1" fieldPosition="0">
        <references count="1">
          <reference field="2"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91">
      <pivotArea dataOnly="0" labelOnly="1" fieldPosition="0">
        <references count="1">
          <reference field="2"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90">
      <pivotArea dataOnly="0" labelOnly="1" fieldPosition="0">
        <references count="1">
          <reference field="2"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89">
      <pivotArea dataOnly="0" labelOnly="1" fieldPosition="0">
        <references count="1">
          <reference field="2"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88">
      <pivotArea dataOnly="0" labelOnly="1" fieldPosition="0">
        <references count="1">
          <reference field="2"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87">
      <pivotArea dataOnly="0" labelOnly="1" fieldPosition="0">
        <references count="1">
          <reference field="2"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86">
      <pivotArea dataOnly="0" labelOnly="1" fieldPosition="0">
        <references count="1">
          <reference field="2"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85">
      <pivotArea dataOnly="0" labelOnly="1" fieldPosition="0">
        <references count="1">
          <reference field="2"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4">
      <pivotArea dataOnly="0" labelOnly="1" fieldPosition="0">
        <references count="1">
          <reference field="2"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83">
      <pivotArea dataOnly="0" labelOnly="1" fieldPosition="0">
        <references count="1">
          <reference field="2"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82">
      <pivotArea dataOnly="0" labelOnly="1" fieldPosition="0">
        <references count="1">
          <reference field="2" count="1">
            <x v="1000"/>
          </reference>
        </references>
      </pivotArea>
    </format>
    <format dxfId="81">
      <pivotArea dataOnly="0" labelOnly="1" grandRow="1" outline="0" fieldPosition="0"/>
    </format>
    <format dxfId="80">
      <pivotArea dataOnly="0" labelOnly="1" outline="0" fieldPosition="0">
        <references count="1">
          <reference field="4294967294" count="2">
            <x v="0"/>
            <x v="1"/>
          </reference>
        </references>
      </pivotArea>
    </format>
  </formats>
  <conditionalFormats count="2">
    <conditionalFormat priority="1">
      <pivotAreas count="1">
        <pivotArea type="data" collapsedLevelsAreSubtotals="1" fieldPosition="0">
          <references count="2">
            <reference field="4294967294" count="1" selected="0">
              <x v="1"/>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 priority="2">
      <pivotAreas count="1">
        <pivotArea type="data" collapsedLevelsAreSubtotals="1" fieldPosition="0">
          <references count="2">
            <reference field="4294967294" count="1" selected="0">
              <x v="0"/>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s>
  <chartFormats count="3">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pivotArea type="data" outline="0" fieldPosition="0">
        <references count="2">
          <reference field="4294967294" count="1" selected="0">
            <x v="1"/>
          </reference>
          <reference field="2" count="1" selected="0">
            <x v="54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16EC4B-342C-465A-8B9C-8F919D2A2EB0}" name="TablaDinámica1"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15" rowHeaderCaption="Fecha">
  <location ref="F3:O1005" firstHeaderRow="0" firstDataRow="1" firstDataCol="1"/>
  <pivotFields count="16">
    <pivotField showAll="0"/>
    <pivotField showAll="0"/>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items count="8">
        <item x="6"/>
        <item x="0"/>
        <item x="1"/>
        <item x="2"/>
        <item x="3"/>
        <item x="4"/>
        <item x="5"/>
        <item t="default"/>
      </items>
    </pivotField>
    <pivotField showAll="0"/>
    <pivotField showAll="0">
      <items count="5">
        <item x="2"/>
        <item x="3"/>
        <item x="1"/>
        <item x="0"/>
        <item t="default"/>
      </items>
    </pivotField>
    <pivotField dataField="1"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items count="22">
        <item x="0"/>
        <item x="2"/>
        <item x="3"/>
        <item x="4"/>
        <item x="5"/>
        <item x="6"/>
        <item x="7"/>
        <item x="8"/>
        <item x="9"/>
        <item x="10"/>
        <item x="11"/>
        <item x="12"/>
        <item x="13"/>
        <item x="14"/>
        <item x="15"/>
        <item x="16"/>
        <item x="17"/>
        <item x="18"/>
        <item x="19"/>
        <item x="20"/>
        <item x="1"/>
        <item t="default"/>
      </items>
    </pivotField>
    <pivotField numFmtId="2" showAll="0"/>
    <pivotField dataField="1" numFmtId="44" showAll="0"/>
    <pivotField dataField="1" numFmtId="44" showAll="0"/>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9">
    <i>
      <x/>
    </i>
    <i i="1">
      <x v="1"/>
    </i>
    <i i="2">
      <x v="2"/>
    </i>
    <i i="3">
      <x v="3"/>
    </i>
    <i i="4">
      <x v="4"/>
    </i>
    <i i="5">
      <x v="5"/>
    </i>
    <i i="6">
      <x v="6"/>
    </i>
    <i i="7">
      <x v="7"/>
    </i>
    <i i="8">
      <x v="8"/>
    </i>
  </colItems>
  <dataFields count="9">
    <dataField name="Mín. de cierre BTC" fld="10" subtotal="min" baseField="2" baseItem="51" numFmtId="44"/>
    <dataField name="Promedio de cierre BTC" fld="10" subtotal="average" baseField="2" baseItem="181" numFmtId="44"/>
    <dataField name="Máx. de cierre BTC" fld="10" subtotal="max" baseField="2" baseItem="51" numFmtId="44"/>
    <dataField name="Mín. de cierre GOLD" fld="9" subtotal="min" baseField="2" baseItem="51" numFmtId="44"/>
    <dataField name="Promedio de cierre GOLD" fld="9" subtotal="average" baseField="2" baseItem="181" numFmtId="44"/>
    <dataField name="Máx. de cierre GOLD" fld="9" subtotal="max" baseField="2" baseItem="51" numFmtId="44"/>
    <dataField name="Mín. de index" fld="6" subtotal="min" baseField="2" baseItem="912"/>
    <dataField name="Promedio de index" fld="6" subtotal="average" baseField="2" baseItem="912"/>
    <dataField name="Máx. de index" fld="6" subtotal="max" baseField="2" baseItem="912"/>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fieldPosition="0">
        <references count="1">
          <reference field="2" count="9">
            <x v="51"/>
            <x v="52"/>
            <x v="60"/>
            <x v="70"/>
            <x v="93"/>
            <x v="130"/>
            <x v="155"/>
            <x v="157"/>
            <x v="180"/>
          </reference>
        </references>
      </pivotArea>
    </format>
    <format dxfId="7">
      <pivotArea dataOnly="0" labelOnly="1" grandRow="1" outline="0" fieldPosition="0"/>
    </format>
    <format dxfId="6">
      <pivotArea dataOnly="0" labelOnly="1" outline="0" fieldPosition="0">
        <references count="1">
          <reference field="4294967294" count="2">
            <x v="0"/>
            <x v="3"/>
          </reference>
        </references>
      </pivotArea>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fieldPosition="0">
        <references count="1">
          <reference field="2" count="9">
            <x v="51"/>
            <x v="52"/>
            <x v="60"/>
            <x v="70"/>
            <x v="93"/>
            <x v="130"/>
            <x v="155"/>
            <x v="157"/>
            <x v="180"/>
          </reference>
        </references>
      </pivotArea>
    </format>
    <format dxfId="1">
      <pivotArea dataOnly="0" labelOnly="1" grandRow="1" outline="0" fieldPosition="0"/>
    </format>
    <format dxfId="0">
      <pivotArea dataOnly="0" labelOnly="1" outline="0" fieldPosition="0">
        <references count="1">
          <reference field="4294967294" count="2">
            <x v="0"/>
            <x v="3"/>
          </reference>
        </references>
      </pivotArea>
    </format>
  </formats>
  <chartFormats count="4">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50BF43-F88A-447F-A4DA-E611E03488BB}" name="TablaDinámica12" cacheId="0" applyNumberFormats="0" applyBorderFormats="0" applyFontFormats="0" applyPatternFormats="0" applyAlignmentFormats="0" applyWidthHeightFormats="1" dataCaption="Valores" updatedVersion="8" minRefreshableVersion="5" useAutoFormatting="1" itemPrintTitles="1" createdVersion="8" indent="0" multipleFieldFilters="0" chartFormat="17" rowHeaderCaption="Fecha">
  <location ref="B3:D1005" firstHeaderRow="0" firstDataRow="1" firstDataCol="1"/>
  <pivotFields count="16">
    <pivotField showAll="0"/>
    <pivotField showAll="0"/>
    <pivotField axis="axisRow"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pivotField showAll="0">
      <items count="5">
        <item x="2"/>
        <item x="3"/>
        <item x="1"/>
        <item x="0"/>
        <item t="default"/>
      </items>
    </pivotField>
    <pivotField showAll="0">
      <items count="77">
        <item x="75"/>
        <item x="0"/>
        <item x="7"/>
        <item x="6"/>
        <item x="70"/>
        <item x="2"/>
        <item x="1"/>
        <item x="3"/>
        <item x="8"/>
        <item x="5"/>
        <item x="26"/>
        <item x="4"/>
        <item x="25"/>
        <item x="13"/>
        <item x="24"/>
        <item x="14"/>
        <item x="23"/>
        <item x="9"/>
        <item x="10"/>
        <item x="15"/>
        <item x="12"/>
        <item x="11"/>
        <item x="50"/>
        <item x="27"/>
        <item x="16"/>
        <item x="28"/>
        <item x="18"/>
        <item x="17"/>
        <item x="51"/>
        <item x="22"/>
        <item x="21"/>
        <item x="19"/>
        <item x="20"/>
        <item x="39"/>
        <item x="40"/>
        <item x="32"/>
        <item x="30"/>
        <item x="29"/>
        <item x="31"/>
        <item x="33"/>
        <item x="34"/>
        <item x="36"/>
        <item x="47"/>
        <item x="38"/>
        <item x="42"/>
        <item x="37"/>
        <item x="35"/>
        <item x="41"/>
        <item x="44"/>
        <item x="43"/>
        <item x="48"/>
        <item x="45"/>
        <item x="58"/>
        <item x="46"/>
        <item x="49"/>
        <item x="54"/>
        <item x="53"/>
        <item x="52"/>
        <item x="56"/>
        <item x="55"/>
        <item x="57"/>
        <item x="59"/>
        <item x="69"/>
        <item x="61"/>
        <item x="60"/>
        <item x="63"/>
        <item x="66"/>
        <item x="62"/>
        <item x="64"/>
        <item x="67"/>
        <item x="71"/>
        <item x="74"/>
        <item x="68"/>
        <item x="65"/>
        <item x="73"/>
        <item x="72"/>
        <item t="default"/>
      </items>
    </pivotField>
    <pivotField showAll="0"/>
    <pivotField numFmtId="2" showAll="0"/>
    <pivotField dataField="1" numFmtId="44" showAll="0"/>
    <pivotField dataField="1" numFmtId="44" showAll="0"/>
    <pivotField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10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t="grand">
      <x/>
    </i>
  </rowItems>
  <colFields count="1">
    <field x="-2"/>
  </colFields>
  <colItems count="2">
    <i>
      <x/>
    </i>
    <i i="1">
      <x v="1"/>
    </i>
  </colItems>
  <dataFields count="2">
    <dataField name="Promedio de cierre BTC" fld="10" subtotal="average" baseField="0" baseItem="1" numFmtId="44"/>
    <dataField name="Promedio de cierre GOLD" fld="9" subtotal="average" baseField="0" baseItem="1" numFmtId="44"/>
  </dataFields>
  <formats count="12">
    <format dxfId="23">
      <pivotArea type="all" dataOnly="0" outline="0" fieldPosition="0"/>
    </format>
    <format dxfId="22">
      <pivotArea outline="0" collapsedLevelsAreSubtotals="1" fieldPosition="0"/>
    </format>
    <format dxfId="21">
      <pivotArea field="2" type="button" dataOnly="0" labelOnly="1" outline="0" axis="axisRow" fieldPosition="0"/>
    </format>
    <format dxfId="20">
      <pivotArea dataOnly="0" labelOnly="1" fieldPosition="0">
        <references count="1">
          <reference field="2" count="9">
            <x v="51"/>
            <x v="52"/>
            <x v="60"/>
            <x v="70"/>
            <x v="93"/>
            <x v="130"/>
            <x v="155"/>
            <x v="157"/>
            <x v="180"/>
          </reference>
        </references>
      </pivotArea>
    </format>
    <format dxfId="19">
      <pivotArea dataOnly="0" labelOnly="1" grandRow="1" outline="0" fieldPosition="0"/>
    </format>
    <format dxfId="18">
      <pivotArea dataOnly="0" labelOnly="1" outline="0" fieldPosition="0">
        <references count="1">
          <reference field="4294967294" count="2">
            <x v="0"/>
            <x v="1"/>
          </reference>
        </references>
      </pivotArea>
    </format>
    <format dxfId="17">
      <pivotArea type="all" dataOnly="0" outline="0" fieldPosition="0"/>
    </format>
    <format dxfId="16">
      <pivotArea outline="0" collapsedLevelsAreSubtotals="1" fieldPosition="0"/>
    </format>
    <format dxfId="15">
      <pivotArea field="2" type="button" dataOnly="0" labelOnly="1" outline="0" axis="axisRow" fieldPosition="0"/>
    </format>
    <format dxfId="14">
      <pivotArea dataOnly="0" labelOnly="1" fieldPosition="0">
        <references count="1">
          <reference field="2" count="9">
            <x v="51"/>
            <x v="52"/>
            <x v="60"/>
            <x v="70"/>
            <x v="93"/>
            <x v="130"/>
            <x v="155"/>
            <x v="157"/>
            <x v="180"/>
          </reference>
        </references>
      </pivotArea>
    </format>
    <format dxfId="13">
      <pivotArea dataOnly="0" labelOnly="1" grandRow="1" outline="0" fieldPosition="0"/>
    </format>
    <format dxfId="12">
      <pivotArea dataOnly="0" labelOnly="1" outline="0" fieldPosition="0">
        <references count="1">
          <reference field="4294967294" count="2">
            <x v="0"/>
            <x v="1"/>
          </reference>
        </references>
      </pivotArea>
    </format>
  </formats>
  <conditionalFormats count="2">
    <conditionalFormat priority="2">
      <pivotAreas count="1">
        <pivotArea type="data" collapsedLevelsAreSubtotals="1" fieldPosition="0">
          <references count="2">
            <reference field="4294967294" count="1" selected="0">
              <x v="1"/>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 priority="3">
      <pivotAreas count="1">
        <pivotArea type="data" collapsedLevelsAreSubtotals="1" fieldPosition="0">
          <references count="2">
            <reference field="4294967294" count="1" selected="0">
              <x v="0"/>
            </reference>
            <reference field="2" count="100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reference>
          </references>
        </pivotArea>
      </pivotAreas>
    </conditionalFormat>
  </conditionalFormats>
  <chartFormats count="4">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16" format="12" series="1">
      <pivotArea type="data" outline="0" fieldPosition="0">
        <references count="1">
          <reference field="4294967294" count="1" selected="0">
            <x v="0"/>
          </reference>
        </references>
      </pivotArea>
    </chartFormat>
    <chartFormat chart="16"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dex1" xr10:uid="{5B677416-6971-4923-AC62-59E2D46A2578}" sourceName="index">
  <pivotTables>
    <pivotTable tabId="9" name="TablaDinámica12"/>
    <pivotTable tabId="9" name="TablaDinámica1"/>
    <pivotTable tabId="7" name="TablaDinámica10"/>
    <pivotTable tabId="7" name="TablaDinámica2"/>
    <pivotTable tabId="20" name="TablaDinámica2"/>
    <pivotTable tabId="20" name="TablaDinámica10"/>
  </pivotTables>
  <data>
    <tabular pivotCacheId="1077814903">
      <items count="76">
        <i x="75" s="1"/>
        <i x="0" s="1"/>
        <i x="7" s="1"/>
        <i x="6" s="1"/>
        <i x="70" s="1"/>
        <i x="2" s="1"/>
        <i x="1" s="1"/>
        <i x="3" s="1"/>
        <i x="8" s="1"/>
        <i x="5" s="1"/>
        <i x="26" s="1"/>
        <i x="4" s="1"/>
        <i x="25" s="1"/>
        <i x="13" s="1"/>
        <i x="24" s="1"/>
        <i x="14" s="1"/>
        <i x="23" s="1"/>
        <i x="9" s="1"/>
        <i x="10" s="1"/>
        <i x="15" s="1"/>
        <i x="12" s="1"/>
        <i x="11" s="1"/>
        <i x="50" s="1"/>
        <i x="27" s="1"/>
        <i x="16" s="1"/>
        <i x="28" s="1"/>
        <i x="18" s="1"/>
        <i x="17" s="1"/>
        <i x="51" s="1"/>
        <i x="22" s="1"/>
        <i x="21" s="1"/>
        <i x="19" s="1"/>
        <i x="20" s="1"/>
        <i x="39" s="1"/>
        <i x="40" s="1"/>
        <i x="32" s="1"/>
        <i x="30" s="1"/>
        <i x="29" s="1"/>
        <i x="31" s="1"/>
        <i x="33" s="1"/>
        <i x="34" s="1"/>
        <i x="36" s="1"/>
        <i x="47" s="1"/>
        <i x="38" s="1"/>
        <i x="42" s="1"/>
        <i x="37" s="1"/>
        <i x="35" s="1"/>
        <i x="41" s="1"/>
        <i x="44" s="1"/>
        <i x="43" s="1"/>
        <i x="48" s="1"/>
        <i x="45" s="1"/>
        <i x="58" s="1"/>
        <i x="46" s="1"/>
        <i x="49" s="1"/>
        <i x="54" s="1"/>
        <i x="53" s="1"/>
        <i x="52" s="1"/>
        <i x="56" s="1"/>
        <i x="55" s="1"/>
        <i x="57" s="1"/>
        <i x="59" s="1"/>
        <i x="69" s="1"/>
        <i x="61" s="1"/>
        <i x="60" s="1"/>
        <i x="63" s="1"/>
        <i x="66" s="1"/>
        <i x="62" s="1"/>
        <i x="64" s="1"/>
        <i x="67" s="1"/>
        <i x="71" s="1"/>
        <i x="74" s="1"/>
        <i x="68" s="1"/>
        <i x="65" s="1"/>
        <i x="73" s="1"/>
        <i x="7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1" xr10:uid="{E9D6E56E-2E68-4724-9935-CCA2D1AEC619}" sourceName="categoria">
  <pivotTables>
    <pivotTable tabId="9" name="TablaDinámica12"/>
    <pivotTable tabId="9" name="TablaDinámica1"/>
    <pivotTable tabId="7" name="TablaDinámica10"/>
    <pivotTable tabId="7" name="TablaDinámica2"/>
    <pivotTable tabId="20" name="TablaDinámica2"/>
    <pivotTable tabId="20" name="TablaDinámica10"/>
  </pivotTables>
  <data>
    <tabular pivotCacheId="1077814903">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ex 5" xr10:uid="{191319AE-1341-42A2-B551-0805E870700E}" cache="SegmentaciónDeDatos_index1" caption="index" columnCount="19" rowHeight="180000"/>
  <slicer name="categoria 2" xr10:uid="{900355FF-813D-4759-9C8C-597E262880FF}" cache="SegmentaciónDeDatos_categoria1" caption="categoria" columnCount="2" rowHeight="46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ex 4" xr10:uid="{3503B51D-1C3B-4E10-87B9-32CC9D147191}" cache="SegmentaciónDeDatos_index1" caption="index" startItem="19" columnCount="19" rowHeight="180000"/>
  <slicer name="categoria 4" xr10:uid="{64D21030-C504-42BD-A548-3E77507F712C}" cache="SegmentaciónDeDatos_categoria1" caption="categoria" columnCount="2" rowHeight="28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ex" xr10:uid="{E999E0A6-C70E-4452-8B02-BCD1778A1B29}" cache="SegmentaciónDeDatos_index1" caption="index" columnCount="10" rowHeight="252000"/>
  <slicer name="categoria 1" xr10:uid="{16C7B52F-F229-4803-BAEF-E5F566A69A55}" cache="SegmentaciónDeDatos_categoria1" caption="categoria" columnCount="2" rowHeight="468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ex 3" xr10:uid="{C7165CC2-6A72-4E82-A822-5CD92CD0CB90}" cache="SegmentaciónDeDatos_index1" caption="index" startItem="19" columnCount="19" rowHeight="180000"/>
  <slicer name="categoria 3" xr10:uid="{93411C05-25A1-4E10-9F49-FB7545A722E0}" cache="SegmentaciónDeDatos_categoria1" caption="categoria" columnCount="2"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BC35B5-4571-4FC4-9A13-2ABCCFDA925E}" name="Tabla1" displayName="Tabla1" ref="A1:M1002" totalsRowShown="0" headerRowDxfId="262" dataDxfId="261">
  <autoFilter ref="A1:M1002" xr:uid="{C5BC35B5-4571-4FC4-9A13-2ABCCFDA925E}"/>
  <tableColumns count="13">
    <tableColumn id="1" xr3:uid="{656587DC-A52F-47E6-A2E5-565C69DAFDE2}" name="id_fecha" dataDxfId="260"/>
    <tableColumn id="2" xr3:uid="{F7915EC2-1865-4F83-8AAC-8169EFC271A7}" name="mes/ año" dataDxfId="259"/>
    <tableColumn id="3" xr3:uid="{073D9206-0D6E-46B0-9385-5C9AE055A89F}" name="fecha" dataDxfId="258"/>
    <tableColumn id="4" xr3:uid="{5975B8A1-619D-44C7-8445-3AF0E81659A0}" name="dia_semana" dataDxfId="257"/>
    <tableColumn id="5" xr3:uid="{A52D3D51-8BD1-419D-8849-311928F680EC}" name="mercado_abierto" dataDxfId="256"/>
    <tableColumn id="6" xr3:uid="{874E2484-6825-4023-A725-206141888B89}" name="categoria" dataDxfId="255"/>
    <tableColumn id="7" xr3:uid="{7B7BFAF7-A4CB-4FD0-BC98-9E7E210A3350}" name="index" dataDxfId="254"/>
    <tableColumn id="8" xr3:uid="{F4F1536D-77FE-4A55-AFC4-DB427F8A1F11}" name="id_noticia" dataDxfId="253"/>
    <tableColumn id="9" xr3:uid="{C6C7B47F-6589-47CB-836E-7BEA4E9F650D}" name="cierre IRX" dataDxfId="252"/>
    <tableColumn id="10" xr3:uid="{5856E79B-7F9B-4432-854D-26D208503C5D}" name="cierre GOLD" dataDxfId="251"/>
    <tableColumn id="11" xr3:uid="{C4B25A8E-438E-4F62-B97E-CB7802D83EA2}" name="cierre BTC" dataDxfId="250"/>
    <tableColumn id="12" xr3:uid="{C8F8019C-942B-48A9-ACDB-6CBD270223D5}" name="volumen" dataDxfId="249"/>
    <tableColumn id="13" xr3:uid="{95BB7F52-A7DE-4305-8D5E-8BAD1B71E85B}" name="cierra % btc" dataDxfId="248"/>
  </tableColumns>
  <tableStyleInfo name="TableStyleMedium23"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1" xr10:uid="{7DC37C84-D4D0-4BCB-B585-34B1035C0EBB}" sourceName="fecha">
  <pivotTables>
    <pivotTable tabId="9" name="TablaDinámica12"/>
    <pivotTable tabId="9" name="TablaDinámica1"/>
    <pivotTable tabId="7" name="TablaDinámica10"/>
    <pivotTable tabId="7" name="TablaDinámica2"/>
    <pivotTable tabId="20" name="TablaDinámica2"/>
    <pivotTable tabId="20" name="TablaDinámica10"/>
  </pivotTables>
  <state minimalRefreshVersion="6" lastRefreshVersion="6" pivotCacheId="1077814903" filterType="unknown">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5" xr10:uid="{9EC72EB9-2AA0-45A0-B153-AA6A9293A6F1}" cache="NativeTimeline_fecha1" caption="fecha" level="0" selectionLevel="0" scrollPosition="2022-01-01T00:00:00" style="TimeSlicerStyleLight5"/>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4" xr10:uid="{5EEDBBBB-482F-4C5A-98B4-08255FA3457D}" cache="NativeTimeline_fecha1" caption="fecha" level="0" selectionLevel="0" scrollPosition="2022-01-01T00:00:00" style="TimeSlicerStyleLight5"/>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1" xr10:uid="{A144F2BE-FCC2-4DF8-A581-6B32990F9562}" cache="NativeTimeline_fecha1" caption="fecha" level="0" selectionLevel="0" scrollPosition="2022-01-01T00:00:00" style="TimeSlicerStyleLight5"/>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3" xr10:uid="{AFFC8550-A4F9-49D1-8FA4-E137ECD023F2}" cache="NativeTimeline_fecha1" caption="fecha" level="0" selectionLevel="0" scrollPosition="2022-01-01T00:00:00" style="TimeSlicerStyleLight5"/>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4.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B4EE8-7E66-420D-BC13-5EE6E6000CD6}">
  <dimension ref="A1:BY182"/>
  <sheetViews>
    <sheetView zoomScale="40" zoomScaleNormal="40" workbookViewId="0">
      <selection activeCell="G59" sqref="G59"/>
    </sheetView>
  </sheetViews>
  <sheetFormatPr baseColWidth="10" defaultRowHeight="15" x14ac:dyDescent="0.25"/>
  <cols>
    <col min="1" max="1" width="19.85546875" style="39" bestFit="1" customWidth="1"/>
    <col min="2" max="2" width="27.7109375" style="39" bestFit="1" customWidth="1"/>
    <col min="3" max="3" width="11.42578125" style="39"/>
    <col min="4" max="12" width="11.42578125" style="1"/>
    <col min="13" max="23" width="11.42578125" style="39"/>
    <col min="24" max="24" width="30.140625" style="39" bestFit="1" customWidth="1"/>
    <col min="25" max="25" width="27" style="39" bestFit="1" customWidth="1"/>
    <col min="26" max="16384" width="11.42578125" style="39"/>
  </cols>
  <sheetData>
    <row r="1" spans="1:77" x14ac:dyDescent="0.25">
      <c r="M1" s="65" t="s">
        <v>90</v>
      </c>
      <c r="N1" s="65"/>
      <c r="O1" s="65"/>
      <c r="P1" s="65"/>
      <c r="Q1" s="1"/>
      <c r="R1" s="1"/>
      <c r="S1" s="1"/>
      <c r="T1" s="1"/>
      <c r="U1" s="1"/>
      <c r="V1" s="1"/>
      <c r="W1" s="1"/>
      <c r="AB1" s="38"/>
      <c r="AC1" s="38"/>
      <c r="AD1" s="38"/>
      <c r="AE1" s="38"/>
      <c r="AF1" s="38"/>
      <c r="AG1" s="38"/>
      <c r="AH1" s="38"/>
      <c r="AI1" s="38"/>
      <c r="AJ1" s="38"/>
      <c r="AK1" s="38"/>
      <c r="AL1" s="38"/>
      <c r="AM1" s="38"/>
      <c r="AN1" s="38"/>
    </row>
    <row r="2" spans="1:77" x14ac:dyDescent="0.25">
      <c r="AB2" s="38"/>
      <c r="AC2" s="38"/>
      <c r="AD2" s="38"/>
      <c r="AE2" s="38"/>
      <c r="AF2" s="38"/>
      <c r="AG2" s="38"/>
      <c r="AH2" s="38"/>
      <c r="AI2" s="38"/>
      <c r="AJ2" s="38"/>
      <c r="AK2" s="38"/>
      <c r="AL2" s="38"/>
      <c r="AM2" s="38"/>
      <c r="AN2" s="38"/>
    </row>
    <row r="3" spans="1:77" x14ac:dyDescent="0.25">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row>
    <row r="4" spans="1:77" x14ac:dyDescent="0.25">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row>
    <row r="5" spans="1:77" x14ac:dyDescent="0.25">
      <c r="AB5" s="38"/>
      <c r="AC5" s="38"/>
      <c r="AD5" s="38"/>
      <c r="AE5" s="38"/>
      <c r="AF5" s="38"/>
      <c r="AG5" s="38"/>
      <c r="AH5" s="38"/>
      <c r="AI5" s="38"/>
      <c r="AJ5" s="38"/>
      <c r="AK5" s="38"/>
      <c r="AL5" s="38"/>
      <c r="AM5" s="38"/>
      <c r="AN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row>
    <row r="6" spans="1:77" x14ac:dyDescent="0.25">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row>
    <row r="7" spans="1:77" x14ac:dyDescent="0.25">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row>
    <row r="8" spans="1:77" x14ac:dyDescent="0.25">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row>
    <row r="9" spans="1:77" x14ac:dyDescent="0.25">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row>
    <row r="10" spans="1:77" x14ac:dyDescent="0.25">
      <c r="A10" s="61"/>
      <c r="B10" s="61"/>
      <c r="C10" s="61"/>
      <c r="D10" s="61"/>
      <c r="E10" s="61"/>
      <c r="F10" s="61"/>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c r="BL10" s="38"/>
      <c r="BM10" s="38"/>
      <c r="BN10" s="38"/>
      <c r="BO10" s="38"/>
      <c r="BP10" s="38"/>
      <c r="BQ10" s="38"/>
      <c r="BR10" s="38"/>
      <c r="BS10" s="38"/>
      <c r="BT10" s="38"/>
      <c r="BU10" s="38"/>
      <c r="BV10" s="38"/>
      <c r="BW10" s="38"/>
      <c r="BX10" s="38"/>
      <c r="BY10" s="38"/>
    </row>
    <row r="11" spans="1:77" x14ac:dyDescent="0.25">
      <c r="A11" s="61"/>
      <c r="B11" s="61"/>
      <c r="C11" s="61"/>
      <c r="D11" s="61"/>
      <c r="E11" s="61"/>
      <c r="F11" s="61"/>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38"/>
      <c r="BO11" s="38"/>
      <c r="BP11" s="38"/>
      <c r="BQ11" s="38"/>
      <c r="BR11" s="38"/>
      <c r="BS11" s="38"/>
      <c r="BT11" s="38"/>
      <c r="BU11" s="38"/>
      <c r="BV11" s="38"/>
      <c r="BW11" s="38"/>
      <c r="BX11" s="38"/>
      <c r="BY11" s="38"/>
    </row>
    <row r="12" spans="1:77" x14ac:dyDescent="0.25">
      <c r="A12" s="61"/>
      <c r="B12" s="61"/>
      <c r="C12" s="61"/>
      <c r="D12" s="61"/>
      <c r="E12" s="61"/>
      <c r="F12" s="61"/>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BO12" s="38"/>
      <c r="BP12" s="38"/>
      <c r="BQ12" s="38"/>
      <c r="BR12" s="38"/>
      <c r="BS12" s="38"/>
      <c r="BT12" s="38"/>
      <c r="BU12" s="38"/>
      <c r="BV12" s="38"/>
      <c r="BW12" s="38"/>
      <c r="BX12" s="38"/>
      <c r="BY12" s="38"/>
    </row>
    <row r="13" spans="1:77" x14ac:dyDescent="0.25">
      <c r="A13" s="61"/>
      <c r="B13" s="61"/>
      <c r="C13" s="61"/>
      <c r="D13" s="61"/>
      <c r="E13" s="61"/>
      <c r="F13" s="61"/>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row>
    <row r="14" spans="1:77" x14ac:dyDescent="0.25">
      <c r="A14" s="61"/>
      <c r="B14" s="61"/>
      <c r="C14" s="61"/>
      <c r="D14" s="61"/>
      <c r="E14" s="61"/>
      <c r="F14" s="61"/>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row>
    <row r="15" spans="1:77" x14ac:dyDescent="0.25">
      <c r="A15" s="61"/>
      <c r="B15" s="61"/>
      <c r="C15" s="61"/>
      <c r="D15" s="61"/>
      <c r="E15" s="61"/>
      <c r="F15" s="61"/>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c r="BL15" s="38"/>
      <c r="BM15" s="38"/>
      <c r="BN15" s="38"/>
      <c r="BO15" s="38"/>
      <c r="BP15" s="38"/>
      <c r="BQ15" s="38"/>
      <c r="BR15" s="38"/>
      <c r="BS15" s="38"/>
      <c r="BT15" s="38"/>
      <c r="BU15" s="38"/>
      <c r="BV15" s="38"/>
      <c r="BW15" s="38"/>
      <c r="BX15" s="38"/>
      <c r="BY15" s="38"/>
    </row>
    <row r="16" spans="1:77" x14ac:dyDescent="0.25">
      <c r="A16" s="61"/>
      <c r="B16" s="61"/>
      <c r="C16" s="61"/>
      <c r="D16" s="61"/>
      <c r="E16" s="61"/>
      <c r="F16" s="61"/>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row>
    <row r="17" spans="1:77" x14ac:dyDescent="0.25">
      <c r="A17" s="61"/>
      <c r="B17" s="61"/>
      <c r="C17" s="61"/>
      <c r="D17" s="61"/>
      <c r="E17" s="61"/>
      <c r="F17" s="61"/>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row>
    <row r="18" spans="1:77" x14ac:dyDescent="0.25">
      <c r="A18" s="61"/>
      <c r="B18" s="61"/>
      <c r="C18" s="61"/>
      <c r="D18" s="61"/>
      <c r="E18" s="61"/>
      <c r="F18" s="61"/>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row>
    <row r="19" spans="1:77" x14ac:dyDescent="0.25">
      <c r="A19" s="61"/>
      <c r="B19" s="61"/>
      <c r="C19" s="61"/>
      <c r="D19" s="61"/>
      <c r="E19" s="61"/>
      <c r="F19" s="61"/>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row>
    <row r="20" spans="1:77" x14ac:dyDescent="0.25">
      <c r="A20" s="61"/>
      <c r="B20" s="61"/>
      <c r="C20" s="61"/>
      <c r="D20" s="61"/>
      <c r="E20" s="61"/>
      <c r="F20" s="61"/>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c r="BL20" s="38"/>
      <c r="BM20" s="38"/>
      <c r="BN20" s="38"/>
      <c r="BO20" s="38"/>
      <c r="BP20" s="38"/>
      <c r="BQ20" s="38"/>
      <c r="BR20" s="38"/>
      <c r="BS20" s="38"/>
      <c r="BT20" s="38"/>
      <c r="BU20" s="38"/>
      <c r="BV20" s="38"/>
      <c r="BW20" s="38"/>
      <c r="BX20" s="38"/>
      <c r="BY20" s="38"/>
    </row>
    <row r="21" spans="1:77" x14ac:dyDescent="0.25">
      <c r="A21" s="61"/>
      <c r="B21" s="61"/>
      <c r="C21" s="61"/>
      <c r="D21" s="61"/>
      <c r="E21" s="61"/>
      <c r="F21" s="61"/>
      <c r="AB21" s="38"/>
      <c r="AC21" s="38"/>
      <c r="AD21" s="38"/>
      <c r="AE21" s="38"/>
      <c r="AF21" s="38"/>
      <c r="AG21" s="38"/>
      <c r="AH21" s="38"/>
      <c r="AI21" s="38"/>
      <c r="AJ21" s="38"/>
      <c r="AK21" s="38"/>
      <c r="AL21" s="38"/>
      <c r="AM21" s="38"/>
      <c r="AN21" s="38"/>
      <c r="AO21" s="38"/>
      <c r="AP21" s="38"/>
      <c r="AQ21" s="38"/>
      <c r="AR21" s="38"/>
      <c r="AS21" s="38"/>
      <c r="AT21" s="38"/>
      <c r="AU21" s="38"/>
      <c r="AV21" s="38"/>
      <c r="AW21" s="38"/>
      <c r="AX21" s="38"/>
      <c r="AY21" s="38"/>
      <c r="AZ21" s="38"/>
      <c r="BA21" s="38"/>
      <c r="BB21" s="38"/>
      <c r="BC21" s="38"/>
      <c r="BD21" s="38"/>
      <c r="BE21" s="38"/>
      <c r="BF21" s="38"/>
      <c r="BG21" s="38"/>
      <c r="BH21" s="38"/>
      <c r="BI21" s="38"/>
      <c r="BJ21" s="38"/>
      <c r="BK21" s="38"/>
      <c r="BL21" s="38"/>
      <c r="BM21" s="38"/>
      <c r="BN21" s="38"/>
      <c r="BO21" s="38"/>
      <c r="BP21" s="38"/>
      <c r="BQ21" s="38"/>
      <c r="BR21" s="38"/>
      <c r="BS21" s="38"/>
      <c r="BT21" s="38"/>
      <c r="BU21" s="38"/>
      <c r="BV21" s="38"/>
      <c r="BW21" s="38"/>
      <c r="BX21" s="38"/>
      <c r="BY21" s="38"/>
    </row>
    <row r="22" spans="1:77" x14ac:dyDescent="0.25">
      <c r="A22" s="61"/>
      <c r="B22" s="61"/>
      <c r="C22" s="61"/>
      <c r="D22" s="61"/>
      <c r="E22" s="61"/>
      <c r="F22" s="61"/>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row>
    <row r="23" spans="1:77" x14ac:dyDescent="0.25">
      <c r="A23" s="61"/>
      <c r="B23" s="61"/>
      <c r="C23" s="61"/>
      <c r="D23" s="61"/>
      <c r="E23" s="61"/>
      <c r="F23" s="61"/>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row>
    <row r="24" spans="1:77" x14ac:dyDescent="0.25">
      <c r="A24" s="61"/>
      <c r="B24" s="61"/>
      <c r="C24" s="61"/>
      <c r="D24" s="61"/>
      <c r="E24" s="61"/>
      <c r="F24" s="61"/>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row>
    <row r="25" spans="1:77" x14ac:dyDescent="0.25">
      <c r="A25" s="61"/>
      <c r="B25" s="61"/>
      <c r="C25" s="61"/>
      <c r="D25" s="61"/>
      <c r="E25" s="61"/>
      <c r="F25" s="61"/>
      <c r="AB25" s="38"/>
      <c r="AC25" s="38"/>
      <c r="AD25" s="38"/>
      <c r="AE25" s="38"/>
      <c r="AF25" s="38"/>
      <c r="AG25" s="38"/>
      <c r="AH25" s="38"/>
      <c r="AI25" s="38"/>
      <c r="AJ25" s="38"/>
      <c r="AK25" s="38"/>
      <c r="AL25" s="38"/>
      <c r="AM25" s="38"/>
      <c r="AN25" s="38"/>
      <c r="AO25" s="38"/>
      <c r="AP25" s="38"/>
      <c r="AQ25" s="38"/>
      <c r="AR25" s="38"/>
      <c r="AS25" s="38"/>
      <c r="AT25" s="38"/>
      <c r="AU25" s="38"/>
      <c r="AV25" s="38"/>
      <c r="AW25" s="38"/>
      <c r="AX25" s="38"/>
      <c r="AY25" s="38"/>
      <c r="AZ25" s="38"/>
      <c r="BA25" s="38"/>
      <c r="BB25" s="38"/>
      <c r="BC25" s="38"/>
      <c r="BD25" s="38"/>
      <c r="BE25" s="38"/>
      <c r="BF25" s="38"/>
      <c r="BG25" s="38"/>
      <c r="BH25" s="38"/>
      <c r="BI25" s="38"/>
      <c r="BJ25" s="38"/>
      <c r="BK25" s="38"/>
      <c r="BL25" s="38"/>
      <c r="BM25" s="38"/>
      <c r="BN25" s="38"/>
      <c r="BO25" s="38"/>
      <c r="BP25" s="38"/>
      <c r="BQ25" s="38"/>
      <c r="BR25" s="38"/>
      <c r="BS25" s="38"/>
      <c r="BT25" s="38"/>
      <c r="BU25" s="38"/>
      <c r="BV25" s="38"/>
      <c r="BW25" s="38"/>
      <c r="BX25" s="38"/>
      <c r="BY25" s="38"/>
    </row>
    <row r="26" spans="1:77" x14ac:dyDescent="0.25">
      <c r="A26" s="61"/>
      <c r="B26" s="61"/>
      <c r="C26" s="61"/>
      <c r="D26" s="61"/>
      <c r="E26" s="61"/>
      <c r="F26" s="61"/>
      <c r="AB26" s="38"/>
      <c r="AC26" s="38"/>
      <c r="AD26" s="38"/>
      <c r="AE26" s="38"/>
      <c r="AF26" s="38"/>
      <c r="AG26" s="38"/>
      <c r="AH26" s="38"/>
      <c r="AI26" s="38"/>
      <c r="AJ26" s="38"/>
      <c r="AK26" s="38"/>
      <c r="AL26" s="38"/>
      <c r="AM26" s="38"/>
      <c r="AN26" s="38"/>
      <c r="AO26" s="38"/>
      <c r="AP26" s="38"/>
      <c r="AQ26" s="38"/>
      <c r="AR26" s="38"/>
      <c r="AS26" s="38"/>
      <c r="AT26" s="38"/>
      <c r="AU26" s="38"/>
      <c r="AV26" s="38"/>
      <c r="AW26" s="38"/>
      <c r="AX26" s="38"/>
      <c r="AY26" s="38"/>
      <c r="AZ26" s="38"/>
      <c r="BA26" s="38"/>
      <c r="BB26" s="38"/>
      <c r="BC26" s="38"/>
      <c r="BD26" s="38"/>
      <c r="BE26" s="38"/>
      <c r="BF26" s="38"/>
      <c r="BG26" s="38"/>
      <c r="BH26" s="38"/>
      <c r="BI26" s="38"/>
      <c r="BJ26" s="38"/>
      <c r="BK26" s="38"/>
      <c r="BL26" s="38"/>
      <c r="BM26" s="38"/>
      <c r="BN26" s="38"/>
      <c r="BO26" s="38"/>
      <c r="BP26" s="38"/>
      <c r="BQ26" s="38"/>
      <c r="BR26" s="38"/>
      <c r="BS26" s="38"/>
      <c r="BT26" s="38"/>
      <c r="BU26" s="38"/>
      <c r="BV26" s="38"/>
      <c r="BW26" s="38"/>
      <c r="BX26" s="38"/>
      <c r="BY26" s="38"/>
    </row>
    <row r="27" spans="1:77" x14ac:dyDescent="0.25">
      <c r="A27" s="61"/>
      <c r="B27" s="61"/>
      <c r="C27" s="61"/>
      <c r="D27" s="61"/>
      <c r="E27" s="61"/>
      <c r="F27" s="61"/>
      <c r="AB27" s="38"/>
      <c r="AC27" s="38"/>
      <c r="AD27" s="38"/>
      <c r="AE27" s="38"/>
      <c r="AF27" s="38"/>
      <c r="AG27" s="38"/>
      <c r="AH27" s="38"/>
      <c r="AI27" s="38"/>
      <c r="AJ27" s="38"/>
      <c r="AK27" s="38"/>
      <c r="AL27" s="38"/>
      <c r="AM27" s="38"/>
      <c r="AN27" s="38"/>
      <c r="AO27" s="38"/>
      <c r="AP27" s="38"/>
      <c r="AQ27" s="38"/>
      <c r="AR27" s="38"/>
      <c r="AS27" s="38"/>
      <c r="AT27" s="38"/>
      <c r="AU27" s="38"/>
      <c r="AV27" s="38"/>
      <c r="AW27" s="38"/>
      <c r="AX27" s="38"/>
      <c r="AY27" s="38"/>
      <c r="AZ27" s="38"/>
      <c r="BA27" s="38"/>
      <c r="BB27" s="38"/>
      <c r="BC27" s="38"/>
      <c r="BD27" s="38"/>
      <c r="BE27" s="38"/>
      <c r="BF27" s="38"/>
      <c r="BG27" s="38"/>
      <c r="BH27" s="38"/>
      <c r="BI27" s="38"/>
      <c r="BJ27" s="38"/>
      <c r="BK27" s="38"/>
      <c r="BL27" s="38"/>
      <c r="BM27" s="38"/>
      <c r="BN27" s="38"/>
      <c r="BO27" s="38"/>
      <c r="BP27" s="38"/>
      <c r="BQ27" s="38"/>
      <c r="BR27" s="38"/>
      <c r="BS27" s="38"/>
      <c r="BT27" s="38"/>
      <c r="BU27" s="38"/>
      <c r="BV27" s="38"/>
      <c r="BW27" s="38"/>
      <c r="BX27" s="38"/>
      <c r="BY27" s="38"/>
    </row>
    <row r="28" spans="1:77" x14ac:dyDescent="0.25">
      <c r="A28" s="61"/>
      <c r="B28" s="61"/>
      <c r="C28" s="61"/>
      <c r="D28" s="61"/>
      <c r="E28" s="61"/>
      <c r="F28" s="61"/>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row>
    <row r="29" spans="1:77" x14ac:dyDescent="0.25">
      <c r="A29" s="61"/>
      <c r="B29" s="61"/>
      <c r="C29" s="61"/>
      <c r="D29" s="61"/>
      <c r="E29" s="61"/>
      <c r="F29" s="61"/>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row>
    <row r="30" spans="1:77" x14ac:dyDescent="0.25">
      <c r="A30" s="61"/>
      <c r="B30" s="61"/>
      <c r="C30" s="61"/>
      <c r="D30" s="61"/>
      <c r="E30" s="61"/>
      <c r="F30" s="61"/>
      <c r="AB30" s="38"/>
      <c r="AC30" s="38"/>
      <c r="AD30" s="38"/>
      <c r="AE30" s="38"/>
      <c r="AF30" s="38"/>
      <c r="AG30" s="38"/>
      <c r="AH30" s="38"/>
      <c r="AI30" s="38"/>
      <c r="AJ30" s="38"/>
      <c r="AK30" s="38"/>
      <c r="AL30" s="38"/>
      <c r="AM30" s="38"/>
      <c r="AN30" s="38"/>
      <c r="AO30" s="38"/>
      <c r="AP30" s="38"/>
      <c r="AQ30" s="38"/>
      <c r="AR30" s="38"/>
      <c r="AS30" s="38"/>
      <c r="AT30" s="38"/>
      <c r="AU30" s="38"/>
      <c r="AV30" s="38"/>
      <c r="AW30" s="38"/>
      <c r="AX30" s="38"/>
      <c r="AY30" s="38"/>
      <c r="AZ30" s="38"/>
      <c r="BA30" s="38"/>
      <c r="BB30" s="38"/>
      <c r="BC30" s="38"/>
      <c r="BD30" s="38"/>
      <c r="BE30" s="38"/>
      <c r="BF30" s="38"/>
      <c r="BG30" s="38"/>
      <c r="BH30" s="38"/>
      <c r="BI30" s="38"/>
      <c r="BJ30" s="38"/>
      <c r="BK30" s="38"/>
      <c r="BL30" s="38"/>
      <c r="BM30" s="38"/>
      <c r="BN30" s="38"/>
      <c r="BO30" s="38"/>
      <c r="BP30" s="38"/>
      <c r="BQ30" s="38"/>
      <c r="BR30" s="38"/>
      <c r="BS30" s="38"/>
      <c r="BT30" s="38"/>
      <c r="BU30" s="38"/>
      <c r="BV30" s="38"/>
      <c r="BW30" s="38"/>
      <c r="BX30" s="38"/>
      <c r="BY30" s="38"/>
    </row>
    <row r="31" spans="1:77" x14ac:dyDescent="0.25">
      <c r="A31" s="61"/>
      <c r="B31" s="61"/>
      <c r="C31" s="61"/>
      <c r="D31" s="61"/>
      <c r="E31" s="61"/>
      <c r="F31" s="61"/>
      <c r="AB31" s="38"/>
      <c r="AC31" s="38"/>
      <c r="AD31" s="38"/>
      <c r="AE31" s="38"/>
      <c r="AF31" s="38"/>
      <c r="AG31" s="38"/>
      <c r="AH31" s="38"/>
      <c r="AI31" s="38"/>
      <c r="AJ31" s="38"/>
      <c r="AK31" s="38"/>
      <c r="AL31" s="38"/>
      <c r="AM31" s="38"/>
      <c r="AN31" s="38"/>
      <c r="AO31" s="38"/>
      <c r="AP31" s="38"/>
      <c r="AQ31" s="38"/>
      <c r="AR31" s="38"/>
      <c r="AS31" s="38"/>
      <c r="AT31" s="38"/>
      <c r="AU31" s="38"/>
      <c r="AV31" s="38"/>
      <c r="AW31" s="38"/>
      <c r="AX31" s="38"/>
      <c r="AY31" s="38"/>
      <c r="AZ31" s="38"/>
      <c r="BA31" s="38"/>
      <c r="BB31" s="38"/>
      <c r="BC31" s="38"/>
      <c r="BD31" s="38"/>
      <c r="BE31" s="38"/>
      <c r="BF31" s="38"/>
      <c r="BG31" s="38"/>
      <c r="BH31" s="38"/>
      <c r="BI31" s="38"/>
      <c r="BJ31" s="38"/>
      <c r="BK31" s="38"/>
      <c r="BL31" s="38"/>
      <c r="BM31" s="38"/>
      <c r="BN31" s="38"/>
      <c r="BO31" s="38"/>
      <c r="BP31" s="38"/>
      <c r="BQ31" s="38"/>
      <c r="BR31" s="38"/>
      <c r="BS31" s="38"/>
      <c r="BT31" s="38"/>
      <c r="BU31" s="38"/>
      <c r="BV31" s="38"/>
      <c r="BW31" s="38"/>
      <c r="BX31" s="38"/>
      <c r="BY31" s="38"/>
    </row>
    <row r="32" spans="1:77" x14ac:dyDescent="0.25">
      <c r="A32" s="61"/>
      <c r="B32" s="61"/>
      <c r="C32" s="61"/>
      <c r="D32" s="61"/>
      <c r="E32" s="61"/>
      <c r="F32" s="61"/>
      <c r="AB32" s="38"/>
      <c r="AC32" s="38"/>
      <c r="AD32" s="38"/>
      <c r="AE32" s="38"/>
      <c r="AF32" s="38"/>
      <c r="AG32" s="38"/>
      <c r="AH32" s="38"/>
      <c r="AI32" s="38"/>
      <c r="AJ32" s="38"/>
      <c r="AK32" s="38"/>
      <c r="AL32" s="38"/>
      <c r="AM32" s="38"/>
      <c r="AN32" s="38"/>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38"/>
      <c r="BX32" s="38"/>
      <c r="BY32" s="38"/>
    </row>
    <row r="33" spans="1:77" x14ac:dyDescent="0.25">
      <c r="A33" s="61"/>
      <c r="B33" s="61"/>
      <c r="C33" s="61"/>
      <c r="D33" s="61"/>
      <c r="E33" s="61"/>
      <c r="F33" s="61"/>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row>
    <row r="34" spans="1:77" x14ac:dyDescent="0.25">
      <c r="A34" s="61"/>
      <c r="B34" s="61"/>
      <c r="C34" s="61"/>
      <c r="D34" s="61"/>
      <c r="E34" s="61"/>
      <c r="F34" s="61"/>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row>
    <row r="35" spans="1:77" x14ac:dyDescent="0.25">
      <c r="A35" s="61"/>
      <c r="B35" s="61"/>
      <c r="C35" s="61"/>
      <c r="D35" s="61"/>
      <c r="E35" s="61"/>
      <c r="F35" s="61"/>
      <c r="X35" s="53" t="s">
        <v>60</v>
      </c>
      <c r="Y35" t="s">
        <v>133</v>
      </c>
      <c r="AB35" s="38"/>
      <c r="AC35" s="38"/>
      <c r="AD35" s="38"/>
      <c r="AE35" s="38"/>
      <c r="AF35" s="38"/>
      <c r="AG35" s="38"/>
      <c r="AH35" s="38"/>
      <c r="AI35" s="38"/>
      <c r="AJ35" s="38"/>
      <c r="AK35" s="38"/>
      <c r="AL35" s="38"/>
      <c r="AM35" s="38"/>
      <c r="AN35" s="38"/>
      <c r="AO35" s="38"/>
      <c r="AP35" s="38"/>
      <c r="AQ35" s="38"/>
      <c r="AR35" s="38"/>
      <c r="AS35" s="38"/>
      <c r="AT35" s="38"/>
      <c r="AU35" s="38"/>
      <c r="AV35" s="38"/>
      <c r="AW35" s="38"/>
      <c r="AX35" s="38"/>
      <c r="AY35" s="38"/>
      <c r="AZ35" s="38"/>
      <c r="BA35" s="38"/>
      <c r="BB35" s="38"/>
      <c r="BC35" s="38"/>
      <c r="BD35" s="38"/>
      <c r="BE35" s="38"/>
      <c r="BF35" s="38"/>
      <c r="BG35" s="38"/>
      <c r="BH35" s="38"/>
      <c r="BI35" s="38"/>
      <c r="BJ35" s="38"/>
      <c r="BK35" s="38"/>
      <c r="BL35" s="38"/>
      <c r="BM35" s="38"/>
      <c r="BN35" s="38"/>
      <c r="BO35" s="38"/>
      <c r="BP35" s="38"/>
      <c r="BQ35" s="38"/>
      <c r="BR35" s="38"/>
      <c r="BS35" s="38"/>
      <c r="BT35" s="38"/>
      <c r="BU35" s="38"/>
      <c r="BV35" s="38"/>
      <c r="BW35" s="38"/>
      <c r="BX35" s="38"/>
      <c r="BY35" s="38"/>
    </row>
    <row r="36" spans="1:77" x14ac:dyDescent="0.25">
      <c r="A36" s="61"/>
      <c r="B36" s="61"/>
      <c r="C36" s="61"/>
      <c r="D36" s="61"/>
      <c r="E36" s="61"/>
      <c r="F36" s="61"/>
      <c r="X36" s="60" t="s">
        <v>24</v>
      </c>
      <c r="Y36">
        <v>480</v>
      </c>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38"/>
      <c r="BA36" s="38"/>
      <c r="BB36" s="38"/>
      <c r="BC36" s="38"/>
      <c r="BD36" s="38"/>
      <c r="BE36" s="38"/>
      <c r="BF36" s="38"/>
      <c r="BG36" s="38"/>
      <c r="BH36" s="38"/>
      <c r="BI36" s="38"/>
      <c r="BJ36" s="38"/>
      <c r="BK36" s="38"/>
      <c r="BL36" s="38"/>
      <c r="BM36" s="38"/>
      <c r="BN36" s="38"/>
      <c r="BO36" s="38"/>
      <c r="BP36" s="38"/>
      <c r="BQ36" s="38"/>
      <c r="BR36" s="38"/>
      <c r="BS36" s="38"/>
      <c r="BT36" s="38"/>
      <c r="BU36" s="38"/>
      <c r="BV36" s="38"/>
      <c r="BW36" s="38"/>
      <c r="BX36" s="38"/>
      <c r="BY36" s="38"/>
    </row>
    <row r="37" spans="1:77" x14ac:dyDescent="0.25">
      <c r="A37" s="61"/>
      <c r="B37" s="61"/>
      <c r="C37" s="61"/>
      <c r="D37" s="61"/>
      <c r="E37" s="61"/>
      <c r="F37" s="61"/>
      <c r="X37" s="60" t="s">
        <v>25</v>
      </c>
      <c r="Y37">
        <v>116</v>
      </c>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row>
    <row r="38" spans="1:77" x14ac:dyDescent="0.25">
      <c r="A38" s="61"/>
      <c r="B38" s="61"/>
      <c r="C38" s="61"/>
      <c r="D38" s="61"/>
      <c r="E38" s="61"/>
      <c r="F38" s="61"/>
      <c r="X38" s="60" t="s">
        <v>23</v>
      </c>
      <c r="Y38">
        <v>315</v>
      </c>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row>
    <row r="39" spans="1:77" x14ac:dyDescent="0.25">
      <c r="A39" s="61"/>
      <c r="B39" s="61"/>
      <c r="C39" s="61"/>
      <c r="D39" s="61"/>
      <c r="E39" s="61"/>
      <c r="F39" s="61"/>
      <c r="X39" s="60" t="s">
        <v>14</v>
      </c>
      <c r="Y39">
        <v>90</v>
      </c>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77" x14ac:dyDescent="0.25">
      <c r="A40" s="61"/>
      <c r="B40" s="61"/>
      <c r="C40" s="61"/>
      <c r="D40" s="61"/>
      <c r="E40" s="61"/>
      <c r="F40" s="61"/>
      <c r="X40" s="60" t="s">
        <v>61</v>
      </c>
      <c r="Y40">
        <v>1001</v>
      </c>
      <c r="AB40" s="38"/>
      <c r="AC40" s="38"/>
      <c r="AD40" s="38"/>
      <c r="AE40" s="38"/>
      <c r="AF40" s="38"/>
      <c r="AG40" s="38"/>
      <c r="AH40" s="38"/>
      <c r="AI40" s="38"/>
      <c r="AJ40" s="38"/>
      <c r="AK40" s="38"/>
      <c r="AL40" s="38"/>
      <c r="AM40" s="38"/>
      <c r="AN40" s="38"/>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row>
    <row r="41" spans="1:77" x14ac:dyDescent="0.25">
      <c r="A41" s="61"/>
      <c r="B41" s="61"/>
      <c r="C41" s="61"/>
      <c r="D41" s="61"/>
      <c r="E41" s="61"/>
      <c r="F41" s="61"/>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row>
    <row r="42" spans="1:77" x14ac:dyDescent="0.25">
      <c r="A42" s="61"/>
      <c r="B42" s="61"/>
      <c r="C42" s="61"/>
      <c r="D42" s="61"/>
      <c r="E42" s="61"/>
      <c r="F42" s="61"/>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77" x14ac:dyDescent="0.25">
      <c r="A43" s="61"/>
      <c r="B43" s="61"/>
      <c r="C43" s="61"/>
      <c r="D43" s="61"/>
      <c r="E43" s="61"/>
      <c r="F43" s="61"/>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77" x14ac:dyDescent="0.25">
      <c r="A44" s="61"/>
      <c r="B44" s="61"/>
      <c r="C44" s="61"/>
      <c r="D44" s="61"/>
      <c r="E44" s="61"/>
      <c r="F44" s="61"/>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77" x14ac:dyDescent="0.25">
      <c r="A45" s="61"/>
      <c r="B45" s="61"/>
      <c r="C45" s="61"/>
      <c r="D45" s="61"/>
      <c r="E45" s="61"/>
      <c r="F45" s="61"/>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77" x14ac:dyDescent="0.25">
      <c r="A46" s="61"/>
      <c r="B46" s="61"/>
      <c r="C46" s="61"/>
      <c r="D46" s="61"/>
      <c r="E46" s="61"/>
      <c r="F46" s="61"/>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77" x14ac:dyDescent="0.25">
      <c r="A47" s="61"/>
      <c r="B47" s="61"/>
      <c r="C47" s="61"/>
      <c r="D47" s="61"/>
      <c r="E47" s="61"/>
      <c r="F47" s="61"/>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77" x14ac:dyDescent="0.25">
      <c r="A48" s="61"/>
      <c r="B48" s="61"/>
      <c r="C48" s="61"/>
      <c r="D48" s="61"/>
      <c r="E48" s="61"/>
      <c r="F48" s="61"/>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1:77" x14ac:dyDescent="0.25">
      <c r="A49" s="61"/>
      <c r="B49" s="61"/>
      <c r="C49" s="61"/>
      <c r="D49" s="61"/>
      <c r="E49" s="61"/>
      <c r="F49" s="61"/>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1:77" x14ac:dyDescent="0.25">
      <c r="A50" s="61"/>
      <c r="B50" s="61"/>
      <c r="C50" s="61"/>
      <c r="D50" s="61"/>
      <c r="E50" s="61"/>
      <c r="F50" s="61"/>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1:77" x14ac:dyDescent="0.25">
      <c r="A51" s="61"/>
      <c r="B51" s="61"/>
      <c r="C51" s="61"/>
      <c r="D51" s="61"/>
      <c r="E51" s="61"/>
      <c r="F51" s="61"/>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1:77" x14ac:dyDescent="0.25">
      <c r="A52" s="61"/>
      <c r="B52" s="61"/>
      <c r="C52" s="61"/>
      <c r="D52" s="61"/>
      <c r="E52" s="61"/>
      <c r="F52" s="61"/>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1:77" x14ac:dyDescent="0.25">
      <c r="A53" s="61"/>
      <c r="B53" s="61"/>
      <c r="C53" s="61"/>
      <c r="D53" s="61"/>
      <c r="E53" s="61"/>
      <c r="F53" s="61"/>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1:77" x14ac:dyDescent="0.25">
      <c r="A54" s="61"/>
      <c r="B54" s="61"/>
      <c r="C54" s="61"/>
      <c r="D54" s="61"/>
      <c r="E54" s="61"/>
      <c r="F54" s="61"/>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1:77" x14ac:dyDescent="0.25">
      <c r="A55" s="61"/>
      <c r="B55" s="61"/>
      <c r="C55" s="61"/>
      <c r="D55" s="61"/>
      <c r="E55" s="61"/>
      <c r="F55" s="61"/>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1:77" x14ac:dyDescent="0.25">
      <c r="A56" s="61"/>
      <c r="B56" s="61"/>
      <c r="C56" s="61"/>
      <c r="D56" s="61"/>
      <c r="E56" s="61"/>
      <c r="F56" s="61"/>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1:77" ht="36" x14ac:dyDescent="0.55000000000000004">
      <c r="A57" s="63" t="s">
        <v>136</v>
      </c>
      <c r="B57" s="63"/>
      <c r="C57" s="63" t="s">
        <v>135</v>
      </c>
      <c r="D57" s="63"/>
      <c r="E57" s="63"/>
      <c r="F57" s="61"/>
      <c r="G57" s="61"/>
      <c r="H57" s="61"/>
      <c r="I57" s="61"/>
      <c r="J57" s="61"/>
      <c r="K57" s="61"/>
      <c r="L57" s="61"/>
      <c r="M57" s="61"/>
      <c r="N57" s="61"/>
      <c r="O57" s="61"/>
      <c r="P57" s="61"/>
      <c r="Q57" s="61"/>
      <c r="R57" s="61"/>
      <c r="S57" s="61"/>
      <c r="T57" s="61"/>
      <c r="U57" s="61"/>
      <c r="V57" s="61"/>
      <c r="W57" s="61"/>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1:77" x14ac:dyDescent="0.25">
      <c r="A58" s="62" t="str">
        <f>IF(GETPIVOTDATA("Máx. de index",'BTC-index sentimiento'!$F$3)&gt;90,"VENDER",
 IF(GETPIVOTDATA("Máx. de index",'BTC-index sentimiento'!$F$3)&lt;25,"COMPRAR",
 "MANTENER"))</f>
        <v>VENDER</v>
      </c>
      <c r="B58" s="62"/>
      <c r="C58" s="64">
        <f>IF(GETPIVOTDATA("Máx. de index",'BTC-index sentimiento'!$F$3)&gt;0,
 GETPIVOTDATA("Promedio de cierre BTC",'BTC-index sentimiento'!$F$3),
 "")</f>
        <v>46512.294425574415</v>
      </c>
      <c r="D58" s="64"/>
      <c r="E58" s="64"/>
      <c r="F58" s="61"/>
      <c r="G58" s="61"/>
      <c r="H58" s="61"/>
      <c r="I58" s="61"/>
      <c r="J58" s="61"/>
      <c r="K58" s="61"/>
      <c r="L58" s="61"/>
      <c r="M58" s="61"/>
      <c r="N58" s="61"/>
      <c r="O58" s="61"/>
      <c r="P58" s="61"/>
      <c r="Q58" s="61"/>
      <c r="R58" s="61"/>
      <c r="S58" s="61"/>
      <c r="T58" s="61"/>
      <c r="U58" s="61"/>
      <c r="V58" s="61"/>
      <c r="W58" s="61"/>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1:77" x14ac:dyDescent="0.25">
      <c r="A59" s="62"/>
      <c r="B59" s="62"/>
      <c r="C59" s="64"/>
      <c r="D59" s="64"/>
      <c r="E59" s="64"/>
      <c r="F59" s="61"/>
      <c r="G59" s="61"/>
      <c r="H59" s="61"/>
      <c r="I59" s="61"/>
      <c r="J59" s="61"/>
      <c r="K59" s="61"/>
      <c r="L59" s="61"/>
      <c r="M59" s="61"/>
      <c r="N59" s="61"/>
      <c r="O59" s="61"/>
      <c r="P59" s="61"/>
      <c r="Q59" s="61"/>
      <c r="R59" s="61"/>
      <c r="S59" s="61"/>
      <c r="T59" s="61"/>
      <c r="U59" s="61"/>
      <c r="V59" s="61"/>
      <c r="W59" s="61"/>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1:77" x14ac:dyDescent="0.25">
      <c r="A60" s="62"/>
      <c r="B60" s="62"/>
      <c r="C60" s="64"/>
      <c r="D60" s="64"/>
      <c r="E60" s="64"/>
      <c r="F60" s="61"/>
      <c r="G60" s="61"/>
      <c r="H60" s="61"/>
      <c r="I60" s="61"/>
      <c r="J60" s="61"/>
      <c r="K60" s="61"/>
      <c r="L60" s="61"/>
      <c r="M60" s="61"/>
      <c r="N60" s="61"/>
      <c r="O60" s="61"/>
      <c r="P60" s="61"/>
      <c r="Q60" s="61"/>
      <c r="R60" s="61"/>
      <c r="S60" s="61"/>
      <c r="T60" s="61"/>
      <c r="U60" s="61"/>
      <c r="V60" s="61"/>
      <c r="W60" s="61"/>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1:77" x14ac:dyDescent="0.25">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1:77" x14ac:dyDescent="0.25">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1:77" x14ac:dyDescent="0.25">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1:77" x14ac:dyDescent="0.25">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1:77" x14ac:dyDescent="0.25">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1:77" x14ac:dyDescent="0.25">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1:77" x14ac:dyDescent="0.25">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1:77" x14ac:dyDescent="0.25">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1:77" x14ac:dyDescent="0.25">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1:77" x14ac:dyDescent="0.25">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1:77" x14ac:dyDescent="0.25">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1:77" x14ac:dyDescent="0.25">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1:77" x14ac:dyDescent="0.25">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1:77" x14ac:dyDescent="0.25">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1:77" x14ac:dyDescent="0.25">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1:77" x14ac:dyDescent="0.25">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1:77" x14ac:dyDescent="0.25">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1:77" x14ac:dyDescent="0.25">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1:77" x14ac:dyDescent="0.25">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1:77" x14ac:dyDescent="0.25">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1:77" x14ac:dyDescent="0.25">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1:77" x14ac:dyDescent="0.25">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1:77" x14ac:dyDescent="0.25">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1:77" x14ac:dyDescent="0.25">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1:77" x14ac:dyDescent="0.25">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1:77" x14ac:dyDescent="0.25">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1:77" x14ac:dyDescent="0.25">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1:77" x14ac:dyDescent="0.25">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1:77" x14ac:dyDescent="0.25">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1:77" x14ac:dyDescent="0.25">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1:77" x14ac:dyDescent="0.25">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1:77" x14ac:dyDescent="0.25">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1:77" x14ac:dyDescent="0.25">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1:77" x14ac:dyDescent="0.25">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1:77" x14ac:dyDescent="0.25">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1:77" x14ac:dyDescent="0.25">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1:77" x14ac:dyDescent="0.25">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1:77" x14ac:dyDescent="0.25">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1:77" x14ac:dyDescent="0.25">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1:77" x14ac:dyDescent="0.25">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1:77" x14ac:dyDescent="0.25">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1:77" x14ac:dyDescent="0.25">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1:77" x14ac:dyDescent="0.25">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1:77" x14ac:dyDescent="0.25">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1:77" x14ac:dyDescent="0.25">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1:77" x14ac:dyDescent="0.25">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1:77" x14ac:dyDescent="0.25">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1:77" x14ac:dyDescent="0.25">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1:77" x14ac:dyDescent="0.25">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1:77" x14ac:dyDescent="0.25">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1:77" x14ac:dyDescent="0.25">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1:77" x14ac:dyDescent="0.25">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1:77" x14ac:dyDescent="0.25">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1:77" x14ac:dyDescent="0.25">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1:77" x14ac:dyDescent="0.25">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1:77" x14ac:dyDescent="0.25">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1:77" x14ac:dyDescent="0.25">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1:77" x14ac:dyDescent="0.25">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1:77" x14ac:dyDescent="0.25">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1:77" x14ac:dyDescent="0.25">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1:77" x14ac:dyDescent="0.25">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1:77" x14ac:dyDescent="0.25">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1:77" x14ac:dyDescent="0.25">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1:77" x14ac:dyDescent="0.25">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1:77" x14ac:dyDescent="0.25">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1:77" x14ac:dyDescent="0.25">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1:77" x14ac:dyDescent="0.25">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1:77" x14ac:dyDescent="0.25">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1:77" x14ac:dyDescent="0.25">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1:77" x14ac:dyDescent="0.25">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1:77" x14ac:dyDescent="0.25">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1:77" x14ac:dyDescent="0.25">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1:77" x14ac:dyDescent="0.25">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1:77" x14ac:dyDescent="0.25">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1:77" x14ac:dyDescent="0.25">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1:77" x14ac:dyDescent="0.25">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1:77" x14ac:dyDescent="0.25">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1:77" x14ac:dyDescent="0.25">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1:77" x14ac:dyDescent="0.25">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1:77" x14ac:dyDescent="0.25">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1:77" x14ac:dyDescent="0.25">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1:77" x14ac:dyDescent="0.25">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1:77" x14ac:dyDescent="0.25">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1:77" x14ac:dyDescent="0.25">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1:77" x14ac:dyDescent="0.25">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1:77" x14ac:dyDescent="0.25">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1:77" x14ac:dyDescent="0.25">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1:77" x14ac:dyDescent="0.25">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1:77" x14ac:dyDescent="0.25">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1:77" x14ac:dyDescent="0.25">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1:77" x14ac:dyDescent="0.25">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1:77" x14ac:dyDescent="0.25">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1:77" x14ac:dyDescent="0.25">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1:77" x14ac:dyDescent="0.25">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1:77" x14ac:dyDescent="0.25">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1:77" x14ac:dyDescent="0.25">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1:77" x14ac:dyDescent="0.25">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1:77" x14ac:dyDescent="0.25">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1:77" x14ac:dyDescent="0.25">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1:77" x14ac:dyDescent="0.25">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1:77" x14ac:dyDescent="0.25">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1:77" x14ac:dyDescent="0.25">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1:77" x14ac:dyDescent="0.25">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1:77" x14ac:dyDescent="0.25">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1:77" x14ac:dyDescent="0.25">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1:77" x14ac:dyDescent="0.25">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1:77" x14ac:dyDescent="0.25">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1:77" x14ac:dyDescent="0.25">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1:77" x14ac:dyDescent="0.25">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1:77" x14ac:dyDescent="0.25">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1:77" x14ac:dyDescent="0.25">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1:77" x14ac:dyDescent="0.25">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1:77" x14ac:dyDescent="0.25">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1:77" x14ac:dyDescent="0.25">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1:77" x14ac:dyDescent="0.25">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1:77" x14ac:dyDescent="0.25">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34:77" x14ac:dyDescent="0.25">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34:77" x14ac:dyDescent="0.25">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34:77" x14ac:dyDescent="0.25">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34:77" x14ac:dyDescent="0.25">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34:77" x14ac:dyDescent="0.25">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34:77" x14ac:dyDescent="0.25">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sheetData>
  <mergeCells count="5">
    <mergeCell ref="A58:B60"/>
    <mergeCell ref="A57:B57"/>
    <mergeCell ref="C58:E60"/>
    <mergeCell ref="C57:E57"/>
    <mergeCell ref="M1:P1"/>
  </mergeCells>
  <pageMargins left="0.7" right="0.7" top="0.75" bottom="0.75" header="0.3" footer="0.3"/>
  <drawing r:id="rId2"/>
  <legacy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4F219-BFE2-46A8-BAFE-211853FD69C3}">
  <sheetPr>
    <tabColor rgb="FFFF0000"/>
  </sheetPr>
  <dimension ref="A1:S439"/>
  <sheetViews>
    <sheetView topLeftCell="A11" workbookViewId="0">
      <selection activeCell="F20" sqref="F20:L20"/>
    </sheetView>
  </sheetViews>
  <sheetFormatPr baseColWidth="10" defaultRowHeight="15" x14ac:dyDescent="0.25"/>
  <cols>
    <col min="12" max="12" width="42.42578125" customWidth="1"/>
  </cols>
  <sheetData>
    <row r="1" spans="1:19" x14ac:dyDescent="0.25">
      <c r="A1" s="39"/>
      <c r="B1" s="39"/>
      <c r="C1" s="39"/>
      <c r="D1" s="1"/>
      <c r="E1" s="1"/>
      <c r="F1" s="1"/>
      <c r="G1" s="1"/>
      <c r="H1" s="1"/>
      <c r="I1" s="1"/>
      <c r="J1" s="1"/>
      <c r="K1" s="1"/>
      <c r="L1" s="1"/>
      <c r="M1" s="74"/>
      <c r="N1" s="74"/>
      <c r="O1" s="74"/>
      <c r="P1" s="74"/>
      <c r="Q1" s="42"/>
      <c r="R1" s="39"/>
      <c r="S1" s="39"/>
    </row>
    <row r="2" spans="1:19" x14ac:dyDescent="0.25">
      <c r="A2" s="39"/>
      <c r="B2" s="39"/>
      <c r="C2" s="39"/>
      <c r="D2" s="1"/>
      <c r="E2" s="1"/>
      <c r="F2" s="1"/>
      <c r="G2" s="1"/>
      <c r="H2" s="1"/>
      <c r="I2" s="1"/>
      <c r="J2" s="1"/>
      <c r="K2" s="1"/>
      <c r="L2" s="1"/>
      <c r="M2" s="42"/>
      <c r="N2" s="42"/>
      <c r="O2" s="42"/>
      <c r="P2" s="42"/>
      <c r="Q2" s="42"/>
      <c r="R2" s="39"/>
      <c r="S2" s="39"/>
    </row>
    <row r="3" spans="1:19" x14ac:dyDescent="0.25">
      <c r="A3" s="39"/>
      <c r="B3" s="39"/>
      <c r="C3" s="39"/>
      <c r="D3" s="1"/>
      <c r="E3" s="1"/>
      <c r="F3" s="1"/>
      <c r="G3" s="1"/>
      <c r="H3" s="1"/>
      <c r="I3" s="1"/>
      <c r="J3" s="1"/>
      <c r="K3" s="1"/>
      <c r="L3" s="1"/>
      <c r="M3" s="42"/>
      <c r="N3" s="42"/>
      <c r="O3" s="42"/>
      <c r="P3" s="42"/>
      <c r="Q3" s="42"/>
      <c r="R3" s="39"/>
      <c r="S3" s="39"/>
    </row>
    <row r="4" spans="1:19" x14ac:dyDescent="0.25">
      <c r="A4" s="39"/>
      <c r="B4" s="39"/>
      <c r="C4" s="39"/>
      <c r="D4" s="1"/>
      <c r="E4" s="1"/>
      <c r="F4" s="1"/>
      <c r="G4" s="1"/>
      <c r="H4" s="1"/>
      <c r="I4" s="1"/>
      <c r="J4" s="1"/>
      <c r="K4" s="1"/>
      <c r="L4" s="1"/>
      <c r="M4" s="42"/>
      <c r="N4" s="42"/>
      <c r="O4" s="42"/>
      <c r="P4" s="42"/>
      <c r="Q4" s="42"/>
      <c r="R4" s="39"/>
      <c r="S4" s="39"/>
    </row>
    <row r="5" spans="1:19" ht="30.75" customHeight="1" x14ac:dyDescent="0.25">
      <c r="A5" s="39"/>
      <c r="B5" s="39"/>
      <c r="C5" s="39"/>
      <c r="D5" s="65" t="s">
        <v>114</v>
      </c>
      <c r="E5" s="65"/>
      <c r="F5" s="65"/>
      <c r="G5" s="65"/>
      <c r="H5" s="65"/>
      <c r="I5" s="65"/>
      <c r="J5" s="65"/>
      <c r="K5" s="65"/>
      <c r="L5" s="65"/>
      <c r="M5" s="42"/>
      <c r="N5" s="42"/>
      <c r="O5" s="42"/>
      <c r="P5" s="42"/>
      <c r="Q5" s="42"/>
      <c r="R5" s="39"/>
      <c r="S5" s="39"/>
    </row>
    <row r="6" spans="1:19" ht="15.75" thickBot="1" x14ac:dyDescent="0.3">
      <c r="A6" s="39"/>
      <c r="B6" s="39"/>
      <c r="C6" s="39"/>
      <c r="D6" s="68" t="s">
        <v>138</v>
      </c>
      <c r="E6" s="68"/>
      <c r="F6" s="68"/>
      <c r="G6" s="68"/>
      <c r="H6" s="68"/>
      <c r="I6" s="68"/>
      <c r="J6" s="68"/>
      <c r="K6" s="68"/>
      <c r="L6" s="68"/>
      <c r="M6" s="42"/>
      <c r="N6" s="42"/>
      <c r="O6" s="42"/>
      <c r="P6" s="42"/>
      <c r="Q6" s="42"/>
      <c r="R6" s="39"/>
      <c r="S6" s="39"/>
    </row>
    <row r="7" spans="1:19" ht="15.75" thickBot="1" x14ac:dyDescent="0.3">
      <c r="A7" s="39"/>
      <c r="B7" s="39"/>
      <c r="C7" s="39"/>
      <c r="D7" s="85" t="s">
        <v>109</v>
      </c>
      <c r="E7" s="86"/>
      <c r="F7" s="86"/>
      <c r="G7" s="86"/>
      <c r="H7" s="86"/>
      <c r="I7" s="86"/>
      <c r="J7" s="86"/>
      <c r="K7" s="86"/>
      <c r="L7" s="87"/>
      <c r="M7" s="39"/>
      <c r="N7" s="39"/>
      <c r="O7" s="39"/>
      <c r="P7" s="39"/>
      <c r="Q7" s="39"/>
      <c r="R7" s="39"/>
      <c r="S7" s="39"/>
    </row>
    <row r="8" spans="1:19" x14ac:dyDescent="0.25">
      <c r="A8" s="39"/>
      <c r="B8" s="39"/>
      <c r="C8" s="39"/>
      <c r="D8" s="91" t="s">
        <v>134</v>
      </c>
      <c r="E8" s="92"/>
      <c r="F8" s="92"/>
      <c r="G8" s="44"/>
      <c r="H8" s="93" t="s">
        <v>131</v>
      </c>
      <c r="I8" s="93"/>
      <c r="J8" s="93"/>
      <c r="K8" s="93"/>
      <c r="L8" s="94"/>
      <c r="M8" s="39"/>
      <c r="N8" s="39"/>
      <c r="O8" s="39"/>
      <c r="P8" s="39"/>
      <c r="Q8" s="39"/>
      <c r="R8" s="39"/>
      <c r="S8" s="39"/>
    </row>
    <row r="9" spans="1:19" x14ac:dyDescent="0.25">
      <c r="A9" s="39"/>
      <c r="B9" s="39"/>
      <c r="C9" s="39"/>
      <c r="D9" s="95" t="s">
        <v>91</v>
      </c>
      <c r="E9" s="65"/>
      <c r="F9" s="65"/>
      <c r="G9" s="45"/>
      <c r="H9" s="68" t="s">
        <v>116</v>
      </c>
      <c r="I9" s="68"/>
      <c r="J9" s="68"/>
      <c r="K9" s="68"/>
      <c r="L9" s="83"/>
      <c r="M9" s="39"/>
      <c r="N9" s="39"/>
      <c r="O9" s="39"/>
      <c r="P9" s="39"/>
      <c r="Q9" s="39"/>
      <c r="R9" s="39"/>
      <c r="S9" s="39"/>
    </row>
    <row r="10" spans="1:19" x14ac:dyDescent="0.25">
      <c r="A10" s="39"/>
      <c r="B10" s="39"/>
      <c r="C10" s="39"/>
      <c r="D10" s="95" t="s">
        <v>92</v>
      </c>
      <c r="E10" s="65"/>
      <c r="F10" s="65"/>
      <c r="G10" s="45"/>
      <c r="H10" s="68" t="s">
        <v>137</v>
      </c>
      <c r="I10" s="68"/>
      <c r="J10" s="68"/>
      <c r="K10" s="68"/>
      <c r="L10" s="83"/>
      <c r="M10" s="39"/>
      <c r="N10" s="39"/>
      <c r="O10" s="39"/>
      <c r="P10" s="39"/>
      <c r="Q10" s="39"/>
      <c r="R10" s="39"/>
      <c r="S10" s="39"/>
    </row>
    <row r="11" spans="1:19" ht="15.75" thickBot="1" x14ac:dyDescent="0.3">
      <c r="A11" s="39"/>
      <c r="B11" s="39"/>
      <c r="C11" s="39"/>
      <c r="D11" s="95" t="s">
        <v>93</v>
      </c>
      <c r="E11" s="65"/>
      <c r="F11" s="65"/>
      <c r="G11" s="45"/>
      <c r="H11" s="68" t="s">
        <v>115</v>
      </c>
      <c r="I11" s="68"/>
      <c r="J11" s="68"/>
      <c r="K11" s="68"/>
      <c r="L11" s="83"/>
      <c r="M11" s="39"/>
      <c r="N11" s="39"/>
      <c r="O11" s="39"/>
      <c r="P11" s="39"/>
      <c r="Q11" s="39"/>
      <c r="R11" s="39"/>
      <c r="S11" s="39"/>
    </row>
    <row r="12" spans="1:19" x14ac:dyDescent="0.25">
      <c r="A12" s="39"/>
      <c r="B12" s="39"/>
      <c r="C12" s="39"/>
      <c r="D12" s="96" t="s">
        <v>111</v>
      </c>
      <c r="E12" s="93"/>
      <c r="F12" s="93"/>
      <c r="G12" s="44" t="s">
        <v>94</v>
      </c>
      <c r="H12" s="68" t="s">
        <v>117</v>
      </c>
      <c r="I12" s="68"/>
      <c r="J12" s="68"/>
      <c r="K12" s="68"/>
      <c r="L12" s="83"/>
      <c r="M12" s="39"/>
      <c r="N12" s="39"/>
      <c r="O12" s="39"/>
      <c r="P12" s="39"/>
      <c r="Q12" s="39"/>
      <c r="R12" s="39"/>
      <c r="S12" s="39"/>
    </row>
    <row r="13" spans="1:19" x14ac:dyDescent="0.25">
      <c r="A13" s="39"/>
      <c r="B13" s="39"/>
      <c r="C13" s="39"/>
      <c r="D13" s="97" t="s">
        <v>112</v>
      </c>
      <c r="E13" s="68"/>
      <c r="F13" s="68"/>
      <c r="G13" s="45" t="s">
        <v>95</v>
      </c>
      <c r="H13" s="68" t="s">
        <v>98</v>
      </c>
      <c r="I13" s="68"/>
      <c r="J13" s="68"/>
      <c r="K13" s="68"/>
      <c r="L13" s="83"/>
      <c r="M13" s="39"/>
      <c r="N13" s="39"/>
      <c r="O13" s="39"/>
      <c r="P13" s="39"/>
      <c r="Q13" s="39"/>
      <c r="R13" s="39"/>
      <c r="S13" s="39"/>
    </row>
    <row r="14" spans="1:19" ht="15.75" thickBot="1" x14ac:dyDescent="0.3">
      <c r="A14" s="39"/>
      <c r="B14" s="39"/>
      <c r="C14" s="39"/>
      <c r="D14" s="84" t="s">
        <v>113</v>
      </c>
      <c r="E14" s="78"/>
      <c r="F14" s="78"/>
      <c r="G14" s="46" t="s">
        <v>96</v>
      </c>
      <c r="H14" s="68" t="s">
        <v>99</v>
      </c>
      <c r="I14" s="68"/>
      <c r="J14" s="68"/>
      <c r="K14" s="68"/>
      <c r="L14" s="83"/>
      <c r="M14" s="39"/>
      <c r="N14" s="39"/>
      <c r="O14" s="39"/>
      <c r="P14" s="39"/>
      <c r="Q14" s="39"/>
      <c r="R14" s="39"/>
      <c r="S14" s="39"/>
    </row>
    <row r="15" spans="1:19" ht="15.75" thickBot="1" x14ac:dyDescent="0.3">
      <c r="A15" s="39"/>
      <c r="B15" s="39"/>
      <c r="C15" s="39"/>
      <c r="D15" s="76" t="s">
        <v>97</v>
      </c>
      <c r="E15" s="77"/>
      <c r="F15" s="77"/>
      <c r="G15" s="47"/>
      <c r="H15" s="78" t="s">
        <v>118</v>
      </c>
      <c r="I15" s="78"/>
      <c r="J15" s="78"/>
      <c r="K15" s="78"/>
      <c r="L15" s="79"/>
      <c r="M15" s="39"/>
      <c r="N15" s="39"/>
      <c r="O15" s="39"/>
      <c r="P15" s="39"/>
      <c r="Q15" s="39"/>
      <c r="R15" s="39"/>
      <c r="S15" s="39"/>
    </row>
    <row r="16" spans="1:19" ht="15.75" thickBot="1" x14ac:dyDescent="0.3">
      <c r="A16" s="39"/>
      <c r="B16" s="39"/>
      <c r="C16" s="39"/>
      <c r="D16" s="34"/>
      <c r="E16" s="34"/>
      <c r="F16" s="34"/>
      <c r="G16" s="34"/>
      <c r="H16" s="34"/>
      <c r="I16" s="34"/>
      <c r="J16" s="34"/>
      <c r="K16" s="34"/>
      <c r="L16" s="34"/>
      <c r="M16" s="39"/>
      <c r="N16" s="39"/>
      <c r="O16" s="39"/>
      <c r="P16" s="39"/>
      <c r="Q16" s="39"/>
      <c r="R16" s="39"/>
      <c r="S16" s="39"/>
    </row>
    <row r="17" spans="1:19" ht="15.75" thickBot="1" x14ac:dyDescent="0.3">
      <c r="A17" s="39"/>
      <c r="B17" s="39"/>
      <c r="C17" s="39"/>
      <c r="D17" s="80" t="s">
        <v>100</v>
      </c>
      <c r="E17" s="81"/>
      <c r="F17" s="81"/>
      <c r="G17" s="81"/>
      <c r="H17" s="81"/>
      <c r="I17" s="81"/>
      <c r="J17" s="81"/>
      <c r="K17" s="81"/>
      <c r="L17" s="82"/>
      <c r="M17" s="39"/>
      <c r="N17" s="39"/>
      <c r="O17" s="39"/>
      <c r="P17" s="39"/>
      <c r="Q17" s="39"/>
      <c r="R17" s="39"/>
      <c r="S17" s="39"/>
    </row>
    <row r="18" spans="1:19" x14ac:dyDescent="0.25">
      <c r="A18" s="39"/>
      <c r="B18" s="39"/>
      <c r="C18" s="39"/>
      <c r="D18" s="88" t="s">
        <v>101</v>
      </c>
      <c r="E18" s="89"/>
      <c r="F18" s="96" t="s">
        <v>107</v>
      </c>
      <c r="G18" s="93"/>
      <c r="H18" s="93"/>
      <c r="I18" s="93"/>
      <c r="J18" s="93"/>
      <c r="K18" s="93"/>
      <c r="L18" s="94"/>
      <c r="M18" s="39"/>
      <c r="N18" s="39"/>
      <c r="O18" s="39"/>
      <c r="P18" s="39"/>
      <c r="Q18" s="39"/>
      <c r="R18" s="39"/>
      <c r="S18" s="39"/>
    </row>
    <row r="19" spans="1:19" x14ac:dyDescent="0.25">
      <c r="A19" s="39"/>
      <c r="B19" s="39"/>
      <c r="C19" s="39"/>
      <c r="D19" s="66" t="s">
        <v>102</v>
      </c>
      <c r="E19" s="67"/>
      <c r="F19" s="97" t="s">
        <v>108</v>
      </c>
      <c r="G19" s="68"/>
      <c r="H19" s="68"/>
      <c r="I19" s="68"/>
      <c r="J19" s="68"/>
      <c r="K19" s="68"/>
      <c r="L19" s="83"/>
      <c r="M19" s="39"/>
      <c r="N19" s="39"/>
      <c r="O19" s="39"/>
      <c r="P19" s="39"/>
      <c r="Q19" s="39"/>
      <c r="R19" s="39"/>
      <c r="S19" s="39"/>
    </row>
    <row r="20" spans="1:19" x14ac:dyDescent="0.25">
      <c r="A20" s="39"/>
      <c r="B20" s="39"/>
      <c r="C20" s="39"/>
      <c r="D20" s="66" t="s">
        <v>103</v>
      </c>
      <c r="E20" s="67"/>
      <c r="F20" s="97" t="s">
        <v>105</v>
      </c>
      <c r="G20" s="68"/>
      <c r="H20" s="68"/>
      <c r="I20" s="68"/>
      <c r="J20" s="68"/>
      <c r="K20" s="68"/>
      <c r="L20" s="83"/>
      <c r="M20" s="39"/>
      <c r="N20" s="39"/>
      <c r="O20" s="39"/>
      <c r="P20" s="39"/>
      <c r="Q20" s="39"/>
      <c r="R20" s="39"/>
      <c r="S20" s="39"/>
    </row>
    <row r="21" spans="1:19" ht="15.75" thickBot="1" x14ac:dyDescent="0.3">
      <c r="A21" s="39"/>
      <c r="B21" s="39"/>
      <c r="C21" s="39"/>
      <c r="D21" s="98" t="s">
        <v>104</v>
      </c>
      <c r="E21" s="99"/>
      <c r="F21" s="71" t="s">
        <v>106</v>
      </c>
      <c r="G21" s="72"/>
      <c r="H21" s="72"/>
      <c r="I21" s="72"/>
      <c r="J21" s="72"/>
      <c r="K21" s="72"/>
      <c r="L21" s="73"/>
      <c r="M21" s="39"/>
      <c r="N21" s="39"/>
      <c r="O21" s="39"/>
      <c r="P21" s="39"/>
      <c r="Q21" s="39"/>
      <c r="R21" s="39"/>
      <c r="S21" s="39"/>
    </row>
    <row r="22" spans="1:19" x14ac:dyDescent="0.25">
      <c r="A22" s="39"/>
      <c r="B22" s="39"/>
      <c r="C22" s="39"/>
      <c r="D22" s="34"/>
      <c r="E22" s="34"/>
      <c r="F22" s="34"/>
      <c r="G22" s="34"/>
      <c r="H22" s="34"/>
      <c r="I22" s="34"/>
      <c r="J22" s="34"/>
      <c r="K22" s="34"/>
      <c r="L22" s="34"/>
      <c r="M22" s="39"/>
      <c r="N22" s="39"/>
      <c r="O22" s="39"/>
      <c r="P22" s="39"/>
      <c r="Q22" s="39"/>
      <c r="R22" s="39"/>
      <c r="S22" s="39"/>
    </row>
    <row r="23" spans="1:19" x14ac:dyDescent="0.25">
      <c r="A23" s="39"/>
      <c r="B23" s="39"/>
      <c r="C23" s="39"/>
      <c r="D23" s="69" t="s">
        <v>122</v>
      </c>
      <c r="E23" s="69"/>
      <c r="F23" s="69"/>
      <c r="G23" s="69"/>
      <c r="H23" s="69"/>
      <c r="I23" s="69"/>
      <c r="J23" s="69"/>
      <c r="K23" s="69"/>
      <c r="L23" s="69"/>
      <c r="M23" s="39"/>
      <c r="N23" s="39"/>
      <c r="O23" s="39"/>
      <c r="P23" s="39"/>
      <c r="Q23" s="39"/>
      <c r="R23" s="39"/>
      <c r="S23" s="39"/>
    </row>
    <row r="24" spans="1:19" x14ac:dyDescent="0.25">
      <c r="A24" s="39"/>
      <c r="B24" s="39"/>
      <c r="C24" s="39"/>
      <c r="D24" s="69" t="s">
        <v>110</v>
      </c>
      <c r="E24" s="69"/>
      <c r="F24" s="69"/>
      <c r="G24" s="69"/>
      <c r="H24" s="69"/>
      <c r="I24" s="69"/>
      <c r="J24" s="69"/>
      <c r="K24" s="69"/>
      <c r="L24" s="69"/>
      <c r="M24" s="39"/>
      <c r="N24" s="39"/>
      <c r="O24" s="39"/>
      <c r="P24" s="39"/>
      <c r="Q24" s="39"/>
      <c r="R24" s="39"/>
      <c r="S24" s="39"/>
    </row>
    <row r="25" spans="1:19" x14ac:dyDescent="0.25">
      <c r="A25" s="39"/>
      <c r="B25" s="39"/>
      <c r="C25" s="39"/>
      <c r="D25" s="69" t="s">
        <v>128</v>
      </c>
      <c r="E25" s="69"/>
      <c r="F25" s="69"/>
      <c r="G25" s="69"/>
      <c r="H25" s="69"/>
      <c r="I25" s="69"/>
      <c r="J25" s="69"/>
      <c r="K25" s="69"/>
      <c r="L25" s="69"/>
      <c r="M25" s="39"/>
      <c r="N25" s="39"/>
      <c r="O25" s="39"/>
      <c r="P25" s="39"/>
      <c r="Q25" s="39"/>
      <c r="R25" s="39"/>
      <c r="S25" s="39"/>
    </row>
    <row r="26" spans="1:19" x14ac:dyDescent="0.25">
      <c r="A26" s="39"/>
      <c r="B26" s="39"/>
      <c r="C26" s="39"/>
      <c r="D26" s="65"/>
      <c r="E26" s="65"/>
      <c r="F26" s="65"/>
      <c r="G26" s="43"/>
      <c r="H26" s="68"/>
      <c r="I26" s="68"/>
      <c r="J26" s="68"/>
      <c r="K26" s="68"/>
      <c r="L26" s="68"/>
      <c r="M26" s="39"/>
      <c r="N26" s="39"/>
      <c r="O26" s="39"/>
      <c r="P26" s="39"/>
      <c r="Q26" s="39"/>
      <c r="R26" s="39"/>
      <c r="S26" s="39"/>
    </row>
    <row r="27" spans="1:19" x14ac:dyDescent="0.25">
      <c r="A27" s="39"/>
      <c r="B27" s="39"/>
      <c r="C27" s="39"/>
      <c r="D27" s="75"/>
      <c r="E27" s="75"/>
      <c r="F27" s="75"/>
      <c r="G27" s="48"/>
      <c r="H27" s="70"/>
      <c r="I27" s="70"/>
      <c r="J27" s="70"/>
      <c r="K27" s="70"/>
      <c r="L27" s="70"/>
      <c r="M27" s="39"/>
      <c r="N27" s="39"/>
      <c r="O27" s="39"/>
      <c r="P27" s="39"/>
      <c r="Q27" s="39"/>
      <c r="R27" s="39"/>
      <c r="S27" s="39"/>
    </row>
    <row r="28" spans="1:19" x14ac:dyDescent="0.25">
      <c r="A28" s="39"/>
      <c r="B28" s="39"/>
      <c r="C28" s="39"/>
      <c r="D28" s="68" t="s">
        <v>126</v>
      </c>
      <c r="E28" s="68"/>
      <c r="F28" s="68"/>
      <c r="G28" s="68"/>
      <c r="H28" s="68"/>
      <c r="I28" s="68"/>
      <c r="J28" s="68"/>
      <c r="K28" s="68"/>
      <c r="L28" s="68"/>
      <c r="M28" s="39"/>
      <c r="N28" s="39"/>
      <c r="O28" s="39"/>
      <c r="P28" s="39"/>
      <c r="Q28" s="39"/>
      <c r="R28" s="39"/>
      <c r="S28" s="39"/>
    </row>
    <row r="29" spans="1:19" ht="15.75" customHeight="1" x14ac:dyDescent="0.25">
      <c r="A29" s="39"/>
      <c r="B29" s="39"/>
      <c r="C29" s="39"/>
      <c r="D29" s="68" t="s">
        <v>124</v>
      </c>
      <c r="E29" s="68"/>
      <c r="F29" s="68"/>
      <c r="G29" s="68"/>
      <c r="H29" s="68"/>
      <c r="I29" s="68"/>
      <c r="J29" s="68"/>
      <c r="K29" s="68"/>
      <c r="L29" s="68"/>
      <c r="M29" s="39"/>
      <c r="N29" s="39"/>
      <c r="O29" s="39"/>
      <c r="P29" s="39"/>
      <c r="Q29" s="39"/>
      <c r="R29" s="39"/>
      <c r="S29" s="39"/>
    </row>
    <row r="30" spans="1:19" x14ac:dyDescent="0.25">
      <c r="A30" s="39"/>
      <c r="B30" s="39"/>
      <c r="C30" s="39"/>
      <c r="D30" s="68" t="s">
        <v>125</v>
      </c>
      <c r="E30" s="68"/>
      <c r="F30" s="68"/>
      <c r="G30" s="68"/>
      <c r="H30" s="68"/>
      <c r="I30" s="68"/>
      <c r="J30" s="68"/>
      <c r="K30" s="68"/>
      <c r="L30" s="68"/>
      <c r="M30" s="39"/>
      <c r="N30" s="39"/>
      <c r="O30" s="39"/>
      <c r="P30" s="39"/>
      <c r="Q30" s="39"/>
      <c r="R30" s="39"/>
      <c r="S30" s="39"/>
    </row>
    <row r="31" spans="1:19" x14ac:dyDescent="0.25">
      <c r="A31" s="39"/>
      <c r="B31" s="39"/>
      <c r="C31" s="39"/>
      <c r="D31" s="68" t="s">
        <v>123</v>
      </c>
      <c r="E31" s="68"/>
      <c r="F31" s="68"/>
      <c r="G31" s="68"/>
      <c r="H31" s="68"/>
      <c r="I31" s="68"/>
      <c r="J31" s="68"/>
      <c r="K31" s="68"/>
      <c r="L31" s="68"/>
      <c r="M31" s="39"/>
      <c r="N31" s="39"/>
      <c r="O31" s="39"/>
      <c r="P31" s="39"/>
      <c r="Q31" s="39"/>
      <c r="R31" s="39"/>
      <c r="S31" s="39"/>
    </row>
    <row r="32" spans="1:19" x14ac:dyDescent="0.25">
      <c r="A32" s="39"/>
      <c r="B32" s="39"/>
      <c r="C32" s="39"/>
      <c r="D32" s="70"/>
      <c r="E32" s="70"/>
      <c r="F32" s="70"/>
      <c r="G32" s="48"/>
      <c r="H32" s="70"/>
      <c r="I32" s="70"/>
      <c r="J32" s="70"/>
      <c r="K32" s="70"/>
      <c r="L32" s="70"/>
      <c r="M32" s="39"/>
      <c r="N32" s="39"/>
      <c r="O32" s="39"/>
      <c r="P32" s="39"/>
      <c r="Q32" s="39"/>
      <c r="R32" s="39"/>
      <c r="S32" s="39"/>
    </row>
    <row r="33" spans="1:19" x14ac:dyDescent="0.25">
      <c r="A33" s="39"/>
      <c r="B33" s="39"/>
      <c r="C33" s="39"/>
      <c r="D33" s="70"/>
      <c r="E33" s="70"/>
      <c r="F33" s="70"/>
      <c r="G33" s="48"/>
      <c r="H33" s="48"/>
      <c r="I33" s="48"/>
      <c r="J33" s="48"/>
      <c r="K33" s="48"/>
      <c r="L33" s="48"/>
      <c r="M33" s="39"/>
      <c r="N33" s="39"/>
      <c r="O33" s="39"/>
      <c r="P33" s="39"/>
      <c r="Q33" s="39"/>
      <c r="R33" s="39"/>
      <c r="S33" s="39"/>
    </row>
    <row r="34" spans="1:19" x14ac:dyDescent="0.25">
      <c r="A34" s="39"/>
      <c r="B34" s="39"/>
      <c r="C34" s="39"/>
      <c r="D34" s="48"/>
      <c r="E34" s="48"/>
      <c r="F34" s="48"/>
      <c r="G34" s="48"/>
      <c r="H34" s="48"/>
      <c r="I34" s="48"/>
      <c r="J34" s="48"/>
      <c r="K34" s="48"/>
      <c r="L34" s="48"/>
      <c r="M34" s="39"/>
      <c r="N34" s="39"/>
      <c r="O34" s="39"/>
      <c r="P34" s="39"/>
      <c r="Q34" s="39"/>
      <c r="R34" s="39"/>
      <c r="S34" s="39"/>
    </row>
    <row r="35" spans="1:19" x14ac:dyDescent="0.25">
      <c r="A35" s="39"/>
      <c r="B35" s="39"/>
      <c r="C35" s="39"/>
      <c r="D35" s="90"/>
      <c r="E35" s="90"/>
      <c r="F35" s="90"/>
      <c r="G35" s="90"/>
      <c r="H35" s="90"/>
      <c r="I35" s="90"/>
      <c r="J35" s="90"/>
      <c r="K35" s="90"/>
      <c r="L35" s="90"/>
      <c r="M35" s="39"/>
      <c r="N35" s="39"/>
      <c r="O35" s="39"/>
      <c r="P35" s="39"/>
      <c r="Q35" s="39"/>
      <c r="R35" s="39"/>
      <c r="S35" s="39"/>
    </row>
    <row r="36" spans="1:19" x14ac:dyDescent="0.25">
      <c r="A36" s="39"/>
      <c r="B36" s="39"/>
      <c r="C36" s="39"/>
      <c r="D36" s="1"/>
      <c r="E36" s="1"/>
      <c r="F36" s="1"/>
      <c r="G36" s="1"/>
      <c r="H36" s="1"/>
      <c r="I36" s="1"/>
      <c r="J36" s="1"/>
      <c r="K36" s="1"/>
      <c r="L36" s="1"/>
      <c r="M36" s="39"/>
      <c r="N36" s="39"/>
      <c r="O36" s="39"/>
      <c r="P36" s="39"/>
      <c r="Q36" s="39"/>
      <c r="R36" s="39"/>
      <c r="S36" s="39"/>
    </row>
    <row r="37" spans="1:19" x14ac:dyDescent="0.25">
      <c r="A37" s="39"/>
      <c r="B37" s="39"/>
      <c r="C37" s="39"/>
      <c r="D37" s="1"/>
      <c r="E37" s="1"/>
      <c r="F37" s="1"/>
      <c r="G37" s="1"/>
      <c r="H37" s="1"/>
      <c r="I37" s="1"/>
      <c r="J37" s="1"/>
      <c r="K37" s="1"/>
      <c r="L37" s="1"/>
      <c r="M37" s="39"/>
      <c r="N37" s="39"/>
      <c r="O37" s="39"/>
      <c r="P37" s="39"/>
      <c r="Q37" s="39"/>
      <c r="R37" s="39"/>
      <c r="S37" s="39"/>
    </row>
    <row r="38" spans="1:19" x14ac:dyDescent="0.25">
      <c r="A38" s="39"/>
      <c r="B38" s="39"/>
      <c r="C38" s="39"/>
      <c r="D38" s="1"/>
      <c r="E38" s="1"/>
      <c r="F38" s="1"/>
      <c r="G38" s="1"/>
      <c r="H38" s="1"/>
      <c r="I38" s="1"/>
      <c r="J38" s="1"/>
      <c r="K38" s="1"/>
      <c r="L38" s="1"/>
      <c r="M38" s="39"/>
      <c r="N38" s="39"/>
      <c r="O38" s="39"/>
      <c r="P38" s="39"/>
      <c r="Q38" s="39"/>
      <c r="R38" s="39"/>
      <c r="S38" s="39"/>
    </row>
    <row r="39" spans="1:19" x14ac:dyDescent="0.25">
      <c r="A39" s="39"/>
      <c r="B39" s="39"/>
      <c r="C39" s="39"/>
      <c r="D39" s="1"/>
      <c r="E39" s="1"/>
      <c r="F39" s="1"/>
      <c r="G39" s="1"/>
      <c r="H39" s="1"/>
      <c r="I39" s="1"/>
      <c r="J39" s="1"/>
      <c r="K39" s="1"/>
      <c r="L39" s="1"/>
      <c r="M39" s="39"/>
      <c r="N39" s="39"/>
      <c r="O39" s="39"/>
      <c r="P39" s="39"/>
      <c r="Q39" s="39"/>
      <c r="R39" s="39"/>
      <c r="S39" s="39"/>
    </row>
    <row r="40" spans="1:19" x14ac:dyDescent="0.25">
      <c r="A40" s="39"/>
      <c r="B40" s="39"/>
      <c r="C40" s="39"/>
      <c r="D40" s="1"/>
      <c r="E40" s="1"/>
      <c r="F40" s="1"/>
      <c r="G40" s="1"/>
      <c r="H40" s="1"/>
      <c r="I40" s="1"/>
      <c r="J40" s="1"/>
      <c r="K40" s="1"/>
      <c r="L40" s="1"/>
      <c r="M40" s="39"/>
      <c r="N40" s="39"/>
      <c r="O40" s="39"/>
      <c r="P40" s="39"/>
      <c r="Q40" s="39"/>
      <c r="R40" s="39"/>
      <c r="S40" s="39"/>
    </row>
    <row r="41" spans="1:19" x14ac:dyDescent="0.25">
      <c r="A41" s="39"/>
      <c r="B41" s="39"/>
      <c r="C41" s="39"/>
      <c r="D41" s="1"/>
      <c r="E41" s="1"/>
      <c r="F41" s="1"/>
      <c r="G41" s="1"/>
      <c r="H41" s="1"/>
      <c r="I41" s="1"/>
      <c r="J41" s="1"/>
      <c r="K41" s="1"/>
      <c r="L41" s="1"/>
      <c r="M41" s="39"/>
      <c r="N41" s="39"/>
      <c r="O41" s="39"/>
      <c r="P41" s="39"/>
      <c r="Q41" s="39"/>
      <c r="R41" s="39"/>
      <c r="S41" s="39"/>
    </row>
    <row r="42" spans="1:19" x14ac:dyDescent="0.25">
      <c r="A42" s="39"/>
      <c r="B42" s="39"/>
      <c r="C42" s="39"/>
      <c r="D42" s="1"/>
      <c r="E42" s="1"/>
      <c r="F42" s="1"/>
      <c r="G42" s="1"/>
      <c r="H42" s="1"/>
      <c r="I42" s="1"/>
      <c r="J42" s="1"/>
      <c r="K42" s="1"/>
      <c r="L42" s="1"/>
      <c r="M42" s="39"/>
      <c r="N42" s="39"/>
      <c r="O42" s="39"/>
      <c r="P42" s="39"/>
      <c r="Q42" s="39"/>
      <c r="R42" s="39"/>
      <c r="S42" s="39"/>
    </row>
    <row r="43" spans="1:19" x14ac:dyDescent="0.25">
      <c r="A43" s="39"/>
      <c r="B43" s="39"/>
      <c r="C43" s="39"/>
      <c r="D43" s="1"/>
      <c r="E43" s="1"/>
      <c r="F43" s="1"/>
      <c r="G43" s="1"/>
      <c r="H43" s="1"/>
      <c r="I43" s="1"/>
      <c r="J43" s="1"/>
      <c r="K43" s="1"/>
      <c r="L43" s="1"/>
      <c r="M43" s="39"/>
      <c r="N43" s="39"/>
      <c r="O43" s="39"/>
      <c r="P43" s="39"/>
      <c r="Q43" s="39"/>
      <c r="R43" s="39"/>
      <c r="S43" s="39"/>
    </row>
    <row r="44" spans="1:19" x14ac:dyDescent="0.25">
      <c r="A44" s="39"/>
      <c r="B44" s="39"/>
      <c r="C44" s="39"/>
      <c r="D44" s="1"/>
      <c r="E44" s="1"/>
      <c r="F44" s="1"/>
      <c r="G44" s="1"/>
      <c r="H44" s="1"/>
      <c r="I44" s="1"/>
      <c r="J44" s="1"/>
      <c r="K44" s="1"/>
      <c r="L44" s="1"/>
      <c r="M44" s="39"/>
      <c r="N44" s="39"/>
      <c r="O44" s="39"/>
      <c r="P44" s="39"/>
      <c r="Q44" s="39"/>
      <c r="R44" s="39"/>
      <c r="S44" s="39"/>
    </row>
    <row r="45" spans="1:19" x14ac:dyDescent="0.25">
      <c r="A45" s="39"/>
      <c r="B45" s="39"/>
      <c r="C45" s="39"/>
      <c r="D45" s="1"/>
      <c r="E45" s="1"/>
      <c r="F45" s="1"/>
      <c r="G45" s="1"/>
      <c r="H45" s="1"/>
      <c r="I45" s="1"/>
      <c r="J45" s="1"/>
      <c r="K45" s="1"/>
      <c r="L45" s="1"/>
      <c r="M45" s="39"/>
      <c r="N45" s="39"/>
      <c r="O45" s="39"/>
      <c r="P45" s="39"/>
      <c r="Q45" s="39"/>
      <c r="R45" s="39"/>
      <c r="S45" s="39"/>
    </row>
    <row r="46" spans="1:19" x14ac:dyDescent="0.25">
      <c r="A46" s="39"/>
      <c r="B46" s="39"/>
      <c r="C46" s="39"/>
      <c r="D46" s="1"/>
      <c r="E46" s="1"/>
      <c r="F46" s="1"/>
      <c r="G46" s="1"/>
      <c r="H46" s="1"/>
      <c r="I46" s="1"/>
      <c r="J46" s="1"/>
      <c r="K46" s="1"/>
      <c r="L46" s="1"/>
      <c r="M46" s="39"/>
      <c r="N46" s="39"/>
      <c r="O46" s="39"/>
      <c r="P46" s="39"/>
      <c r="Q46" s="39"/>
      <c r="R46" s="39"/>
      <c r="S46" s="39"/>
    </row>
    <row r="47" spans="1:19" x14ac:dyDescent="0.25">
      <c r="A47" s="39"/>
      <c r="B47" s="39"/>
      <c r="C47" s="39"/>
      <c r="D47" s="1"/>
      <c r="E47" s="1"/>
      <c r="F47" s="1"/>
      <c r="G47" s="1"/>
      <c r="H47" s="1"/>
      <c r="I47" s="1"/>
      <c r="J47" s="1"/>
      <c r="K47" s="1"/>
      <c r="L47" s="1"/>
      <c r="M47" s="39"/>
      <c r="N47" s="39"/>
      <c r="O47" s="39"/>
      <c r="P47" s="39"/>
      <c r="Q47" s="39"/>
      <c r="R47" s="39"/>
      <c r="S47" s="39"/>
    </row>
    <row r="48" spans="1:19" x14ac:dyDescent="0.25">
      <c r="A48" s="39"/>
      <c r="B48" s="39"/>
      <c r="C48" s="39"/>
      <c r="D48" s="1"/>
      <c r="E48" s="1"/>
      <c r="F48" s="1"/>
      <c r="G48" s="1"/>
      <c r="H48" s="1"/>
      <c r="I48" s="1"/>
      <c r="J48" s="1"/>
      <c r="K48" s="1"/>
      <c r="L48" s="1"/>
      <c r="M48" s="39"/>
      <c r="N48" s="39"/>
      <c r="O48" s="39"/>
      <c r="P48" s="39"/>
      <c r="Q48" s="39"/>
      <c r="R48" s="39"/>
      <c r="S48" s="39"/>
    </row>
    <row r="49" spans="1:19" x14ac:dyDescent="0.25">
      <c r="A49" s="39"/>
      <c r="B49" s="39"/>
      <c r="C49" s="39"/>
      <c r="D49" s="1"/>
      <c r="E49" s="1"/>
      <c r="F49" s="1"/>
      <c r="G49" s="1"/>
      <c r="H49" s="1"/>
      <c r="I49" s="1"/>
      <c r="J49" s="1"/>
      <c r="K49" s="1"/>
      <c r="L49" s="1"/>
      <c r="M49" s="39"/>
      <c r="N49" s="39"/>
      <c r="O49" s="39"/>
      <c r="P49" s="39"/>
      <c r="Q49" s="39"/>
      <c r="R49" s="39"/>
      <c r="S49" s="39"/>
    </row>
    <row r="50" spans="1:19" x14ac:dyDescent="0.25">
      <c r="A50" s="39"/>
      <c r="B50" s="39"/>
      <c r="C50" s="39"/>
      <c r="D50" s="1"/>
      <c r="E50" s="1"/>
      <c r="F50" s="1"/>
      <c r="G50" s="1"/>
      <c r="H50" s="1"/>
      <c r="I50" s="1"/>
      <c r="J50" s="1"/>
      <c r="K50" s="1"/>
      <c r="L50" s="1"/>
      <c r="M50" s="39"/>
      <c r="N50" s="39"/>
      <c r="O50" s="39"/>
      <c r="P50" s="39"/>
      <c r="Q50" s="39"/>
      <c r="R50" s="39"/>
      <c r="S50" s="39"/>
    </row>
    <row r="51" spans="1:19" x14ac:dyDescent="0.25">
      <c r="A51" s="39"/>
      <c r="B51" s="39"/>
      <c r="C51" s="39"/>
      <c r="D51" s="1"/>
      <c r="E51" s="1"/>
      <c r="F51" s="1"/>
      <c r="G51" s="1"/>
      <c r="H51" s="1"/>
      <c r="I51" s="1"/>
      <c r="J51" s="1"/>
      <c r="K51" s="1"/>
      <c r="L51" s="1"/>
      <c r="M51" s="39"/>
      <c r="N51" s="39"/>
      <c r="O51" s="39"/>
      <c r="P51" s="39"/>
      <c r="Q51" s="39"/>
      <c r="R51" s="39"/>
      <c r="S51" s="39"/>
    </row>
    <row r="52" spans="1:19" x14ac:dyDescent="0.25">
      <c r="A52" s="39"/>
      <c r="B52" s="39"/>
      <c r="C52" s="39"/>
      <c r="D52" s="1"/>
      <c r="E52" s="1"/>
      <c r="F52" s="1"/>
      <c r="G52" s="1"/>
      <c r="H52" s="1"/>
      <c r="I52" s="1"/>
      <c r="J52" s="1"/>
      <c r="K52" s="1"/>
      <c r="L52" s="1"/>
      <c r="M52" s="39"/>
      <c r="N52" s="39"/>
      <c r="O52" s="39"/>
      <c r="P52" s="39"/>
      <c r="Q52" s="39"/>
      <c r="R52" s="39"/>
      <c r="S52" s="39"/>
    </row>
    <row r="53" spans="1:19" x14ac:dyDescent="0.25">
      <c r="A53" s="39"/>
      <c r="B53" s="39"/>
      <c r="C53" s="39"/>
      <c r="D53" s="1"/>
      <c r="E53" s="1"/>
      <c r="F53" s="1"/>
      <c r="G53" s="1"/>
      <c r="H53" s="1"/>
      <c r="I53" s="1"/>
      <c r="J53" s="1"/>
      <c r="K53" s="1"/>
      <c r="L53" s="1"/>
      <c r="M53" s="39"/>
      <c r="N53" s="39"/>
      <c r="O53" s="39"/>
      <c r="P53" s="39"/>
      <c r="Q53" s="39"/>
      <c r="R53" s="39"/>
      <c r="S53" s="39"/>
    </row>
    <row r="54" spans="1:19" x14ac:dyDescent="0.25">
      <c r="A54" s="39"/>
      <c r="B54" s="39"/>
      <c r="C54" s="39"/>
      <c r="D54" s="1"/>
      <c r="E54" s="1"/>
      <c r="F54" s="1"/>
      <c r="G54" s="1"/>
      <c r="H54" s="1"/>
      <c r="I54" s="1"/>
      <c r="J54" s="1"/>
      <c r="K54" s="1"/>
      <c r="L54" s="1"/>
      <c r="M54" s="39"/>
      <c r="N54" s="39"/>
      <c r="O54" s="39"/>
      <c r="P54" s="39"/>
      <c r="Q54" s="39"/>
      <c r="R54" s="39"/>
      <c r="S54" s="39"/>
    </row>
    <row r="55" spans="1:19" x14ac:dyDescent="0.25">
      <c r="A55" s="39"/>
      <c r="B55" s="39"/>
      <c r="C55" s="39"/>
      <c r="D55" s="1"/>
      <c r="E55" s="1"/>
      <c r="F55" s="1"/>
      <c r="G55" s="1"/>
      <c r="H55" s="1"/>
      <c r="I55" s="1"/>
      <c r="J55" s="1"/>
      <c r="K55" s="1"/>
      <c r="L55" s="1"/>
      <c r="M55" s="39"/>
      <c r="N55" s="39"/>
      <c r="O55" s="39"/>
      <c r="P55" s="39"/>
      <c r="Q55" s="39"/>
      <c r="R55" s="39"/>
      <c r="S55" s="39"/>
    </row>
    <row r="56" spans="1:19" x14ac:dyDescent="0.25">
      <c r="A56" s="39"/>
      <c r="B56" s="39"/>
      <c r="C56" s="39"/>
      <c r="D56" s="1"/>
      <c r="E56" s="1"/>
      <c r="F56" s="1"/>
      <c r="G56" s="1"/>
      <c r="H56" s="1"/>
      <c r="I56" s="1"/>
      <c r="J56" s="1"/>
      <c r="K56" s="1"/>
      <c r="L56" s="1"/>
      <c r="M56" s="39"/>
      <c r="N56" s="39"/>
      <c r="O56" s="39"/>
      <c r="P56" s="39"/>
      <c r="Q56" s="39"/>
      <c r="R56" s="39"/>
      <c r="S56" s="39"/>
    </row>
    <row r="57" spans="1:19" x14ac:dyDescent="0.25">
      <c r="A57" s="39"/>
      <c r="B57" s="39"/>
      <c r="C57" s="39"/>
      <c r="D57" s="1"/>
      <c r="E57" s="1"/>
      <c r="F57" s="1"/>
      <c r="G57" s="1"/>
      <c r="H57" s="1"/>
      <c r="I57" s="1"/>
      <c r="J57" s="1"/>
      <c r="K57" s="1"/>
      <c r="L57" s="1"/>
      <c r="M57" s="39"/>
      <c r="N57" s="39"/>
      <c r="O57" s="39"/>
      <c r="P57" s="39"/>
      <c r="Q57" s="39"/>
      <c r="R57" s="39"/>
      <c r="S57" s="39"/>
    </row>
    <row r="58" spans="1:19" x14ac:dyDescent="0.25">
      <c r="A58" s="39"/>
      <c r="B58" s="39"/>
      <c r="C58" s="39"/>
      <c r="D58" s="1"/>
      <c r="E58" s="1"/>
      <c r="F58" s="1"/>
      <c r="G58" s="1"/>
      <c r="H58" s="1"/>
      <c r="I58" s="1"/>
      <c r="J58" s="1"/>
      <c r="K58" s="1"/>
      <c r="L58" s="1"/>
      <c r="M58" s="39"/>
      <c r="N58" s="39"/>
      <c r="O58" s="39"/>
      <c r="P58" s="39"/>
      <c r="Q58" s="39"/>
      <c r="R58" s="39"/>
      <c r="S58" s="39"/>
    </row>
    <row r="59" spans="1:19" x14ac:dyDescent="0.25">
      <c r="A59" s="39"/>
      <c r="B59" s="39"/>
      <c r="C59" s="39"/>
      <c r="D59" s="1"/>
      <c r="E59" s="1"/>
      <c r="F59" s="1"/>
      <c r="G59" s="1"/>
      <c r="H59" s="1"/>
      <c r="I59" s="1"/>
      <c r="J59" s="1"/>
      <c r="K59" s="1"/>
      <c r="L59" s="1"/>
      <c r="M59" s="39"/>
      <c r="N59" s="39"/>
      <c r="O59" s="39"/>
      <c r="P59" s="39"/>
      <c r="Q59" s="39"/>
      <c r="R59" s="39"/>
      <c r="S59" s="39"/>
    </row>
    <row r="60" spans="1:19" x14ac:dyDescent="0.25">
      <c r="A60" s="39"/>
      <c r="B60" s="39"/>
      <c r="C60" s="39"/>
      <c r="D60" s="1"/>
      <c r="E60" s="1"/>
      <c r="F60" s="1"/>
      <c r="G60" s="1"/>
      <c r="H60" s="1"/>
      <c r="I60" s="1"/>
      <c r="J60" s="1"/>
      <c r="K60" s="1"/>
      <c r="L60" s="1"/>
      <c r="M60" s="39"/>
      <c r="N60" s="39"/>
      <c r="O60" s="39"/>
      <c r="P60" s="39"/>
      <c r="Q60" s="39"/>
      <c r="R60" s="39"/>
      <c r="S60" s="39"/>
    </row>
    <row r="61" spans="1:19" x14ac:dyDescent="0.25">
      <c r="A61" s="39"/>
      <c r="B61" s="39"/>
      <c r="C61" s="39"/>
      <c r="D61" s="1"/>
      <c r="E61" s="1"/>
      <c r="F61" s="1"/>
      <c r="G61" s="1"/>
      <c r="H61" s="1"/>
      <c r="I61" s="1"/>
      <c r="J61" s="1"/>
      <c r="K61" s="1"/>
      <c r="L61" s="1"/>
      <c r="M61" s="39"/>
      <c r="N61" s="39"/>
      <c r="O61" s="39"/>
      <c r="P61" s="39"/>
      <c r="Q61" s="39"/>
      <c r="R61" s="39"/>
      <c r="S61" s="39"/>
    </row>
    <row r="62" spans="1:19" x14ac:dyDescent="0.25">
      <c r="A62" s="39"/>
      <c r="B62" s="39"/>
      <c r="C62" s="39"/>
      <c r="D62" s="1"/>
      <c r="E62" s="1"/>
      <c r="F62" s="1"/>
      <c r="G62" s="1"/>
      <c r="H62" s="1"/>
      <c r="I62" s="1"/>
      <c r="J62" s="1"/>
      <c r="K62" s="1"/>
      <c r="L62" s="1"/>
      <c r="M62" s="39"/>
      <c r="N62" s="39"/>
      <c r="O62" s="39"/>
      <c r="P62" s="39"/>
      <c r="Q62" s="39"/>
      <c r="R62" s="39"/>
      <c r="S62" s="39"/>
    </row>
    <row r="63" spans="1:19" x14ac:dyDescent="0.25">
      <c r="A63" s="39"/>
      <c r="B63" s="39"/>
      <c r="C63" s="39"/>
      <c r="D63" s="1"/>
      <c r="E63" s="1"/>
      <c r="F63" s="1"/>
      <c r="G63" s="1"/>
      <c r="H63" s="1"/>
      <c r="I63" s="1"/>
      <c r="J63" s="1"/>
      <c r="K63" s="1"/>
      <c r="L63" s="1"/>
      <c r="M63" s="39"/>
      <c r="N63" s="39"/>
      <c r="O63" s="39"/>
      <c r="P63" s="39"/>
      <c r="Q63" s="39"/>
      <c r="R63" s="39"/>
      <c r="S63" s="39"/>
    </row>
    <row r="64" spans="1:19" x14ac:dyDescent="0.25">
      <c r="A64" s="39"/>
      <c r="B64" s="39"/>
      <c r="C64" s="39"/>
      <c r="D64" s="1"/>
      <c r="E64" s="1"/>
      <c r="F64" s="1"/>
      <c r="G64" s="1"/>
      <c r="H64" s="1"/>
      <c r="I64" s="1"/>
      <c r="J64" s="1"/>
      <c r="K64" s="1"/>
      <c r="L64" s="1"/>
      <c r="M64" s="39"/>
      <c r="N64" s="39"/>
      <c r="O64" s="39"/>
      <c r="P64" s="39"/>
      <c r="Q64" s="39"/>
      <c r="R64" s="39"/>
      <c r="S64" s="39"/>
    </row>
    <row r="65" spans="1:19" x14ac:dyDescent="0.25">
      <c r="A65" s="39"/>
      <c r="B65" s="39"/>
      <c r="C65" s="39"/>
      <c r="D65" s="1"/>
      <c r="E65" s="1"/>
      <c r="F65" s="1"/>
      <c r="G65" s="1"/>
      <c r="H65" s="1"/>
      <c r="I65" s="1"/>
      <c r="J65" s="1"/>
      <c r="K65" s="1"/>
      <c r="L65" s="1"/>
      <c r="M65" s="39"/>
      <c r="N65" s="39"/>
      <c r="O65" s="39"/>
      <c r="P65" s="39"/>
      <c r="Q65" s="39"/>
      <c r="R65" s="39"/>
      <c r="S65" s="39"/>
    </row>
    <row r="66" spans="1:19" x14ac:dyDescent="0.25">
      <c r="A66" s="39"/>
      <c r="B66" s="39"/>
      <c r="C66" s="39"/>
      <c r="D66" s="1"/>
      <c r="E66" s="1"/>
      <c r="F66" s="1"/>
      <c r="G66" s="1"/>
      <c r="H66" s="1"/>
      <c r="I66" s="1"/>
      <c r="J66" s="1"/>
      <c r="K66" s="1"/>
      <c r="L66" s="1"/>
      <c r="M66" s="39"/>
      <c r="N66" s="39"/>
      <c r="O66" s="39"/>
      <c r="P66" s="39"/>
      <c r="Q66" s="39"/>
      <c r="R66" s="39"/>
      <c r="S66" s="39"/>
    </row>
    <row r="67" spans="1:19" x14ac:dyDescent="0.25">
      <c r="A67" s="39"/>
      <c r="B67" s="39"/>
      <c r="C67" s="39"/>
      <c r="D67" s="1"/>
      <c r="E67" s="1"/>
      <c r="F67" s="1"/>
      <c r="G67" s="1"/>
      <c r="H67" s="1"/>
      <c r="I67" s="1"/>
      <c r="J67" s="1"/>
      <c r="K67" s="1"/>
      <c r="L67" s="1"/>
      <c r="M67" s="39"/>
      <c r="N67" s="39"/>
      <c r="O67" s="39"/>
      <c r="P67" s="39"/>
      <c r="Q67" s="39"/>
      <c r="R67" s="39"/>
      <c r="S67" s="39"/>
    </row>
    <row r="68" spans="1:19" x14ac:dyDescent="0.25">
      <c r="A68" s="39"/>
      <c r="B68" s="39"/>
      <c r="C68" s="39"/>
      <c r="D68" s="1"/>
      <c r="E68" s="1"/>
      <c r="F68" s="1"/>
      <c r="G68" s="1"/>
      <c r="H68" s="1"/>
      <c r="I68" s="1"/>
      <c r="J68" s="1"/>
      <c r="K68" s="1"/>
      <c r="L68" s="1"/>
      <c r="M68" s="39"/>
      <c r="N68" s="39"/>
      <c r="O68" s="39"/>
      <c r="P68" s="39"/>
      <c r="Q68" s="39"/>
      <c r="R68" s="39"/>
      <c r="S68" s="39"/>
    </row>
    <row r="69" spans="1:19" x14ac:dyDescent="0.25">
      <c r="A69" s="39"/>
      <c r="B69" s="39"/>
      <c r="C69" s="39"/>
      <c r="D69" s="1"/>
      <c r="E69" s="1"/>
      <c r="F69" s="1"/>
      <c r="G69" s="1"/>
      <c r="H69" s="1"/>
      <c r="I69" s="1"/>
      <c r="J69" s="1"/>
      <c r="K69" s="1"/>
      <c r="L69" s="1"/>
      <c r="M69" s="39"/>
      <c r="N69" s="39"/>
      <c r="O69" s="39"/>
      <c r="P69" s="39"/>
      <c r="Q69" s="39"/>
      <c r="R69" s="39"/>
      <c r="S69" s="39"/>
    </row>
    <row r="70" spans="1:19" x14ac:dyDescent="0.25">
      <c r="A70" s="39"/>
      <c r="B70" s="39"/>
      <c r="C70" s="39"/>
      <c r="D70" s="1"/>
      <c r="E70" s="1"/>
      <c r="F70" s="1"/>
      <c r="G70" s="1"/>
      <c r="H70" s="1"/>
      <c r="I70" s="1"/>
      <c r="J70" s="1"/>
      <c r="K70" s="1"/>
      <c r="L70" s="1"/>
      <c r="M70" s="39"/>
      <c r="N70" s="39"/>
      <c r="O70" s="39"/>
      <c r="P70" s="39"/>
      <c r="Q70" s="39"/>
      <c r="R70" s="39"/>
      <c r="S70" s="39"/>
    </row>
    <row r="71" spans="1:19" x14ac:dyDescent="0.25">
      <c r="A71" s="39"/>
      <c r="B71" s="39"/>
      <c r="C71" s="39"/>
      <c r="D71" s="1"/>
      <c r="E71" s="1"/>
      <c r="F71" s="1"/>
      <c r="G71" s="1"/>
      <c r="H71" s="1"/>
      <c r="I71" s="1"/>
      <c r="J71" s="1"/>
      <c r="K71" s="1"/>
      <c r="L71" s="1"/>
      <c r="M71" s="39"/>
      <c r="N71" s="39"/>
      <c r="O71" s="39"/>
      <c r="P71" s="39"/>
      <c r="Q71" s="39"/>
      <c r="R71" s="39"/>
      <c r="S71" s="39"/>
    </row>
    <row r="72" spans="1:19" x14ac:dyDescent="0.25">
      <c r="A72" s="39"/>
      <c r="B72" s="39"/>
      <c r="C72" s="39"/>
      <c r="D72" s="1"/>
      <c r="E72" s="1"/>
      <c r="F72" s="1"/>
      <c r="G72" s="1"/>
      <c r="H72" s="1"/>
      <c r="I72" s="1"/>
      <c r="J72" s="1"/>
      <c r="K72" s="1"/>
      <c r="L72" s="1"/>
      <c r="M72" s="39"/>
      <c r="N72" s="39"/>
      <c r="O72" s="39"/>
      <c r="P72" s="39"/>
      <c r="Q72" s="39"/>
      <c r="R72" s="39"/>
      <c r="S72" s="39"/>
    </row>
    <row r="73" spans="1:19" x14ac:dyDescent="0.25">
      <c r="A73" s="39"/>
      <c r="B73" s="39"/>
      <c r="C73" s="39"/>
      <c r="D73" s="1"/>
      <c r="E73" s="1"/>
      <c r="F73" s="1"/>
      <c r="G73" s="1"/>
      <c r="H73" s="1"/>
      <c r="I73" s="1"/>
      <c r="J73" s="1"/>
      <c r="K73" s="1"/>
      <c r="L73" s="1"/>
      <c r="M73" s="39"/>
      <c r="N73" s="39"/>
      <c r="O73" s="39"/>
      <c r="P73" s="39"/>
      <c r="Q73" s="39"/>
      <c r="R73" s="39"/>
      <c r="S73" s="39"/>
    </row>
    <row r="74" spans="1:19" x14ac:dyDescent="0.25">
      <c r="A74" s="39"/>
      <c r="B74" s="39"/>
      <c r="C74" s="39"/>
      <c r="D74" s="1"/>
      <c r="E74" s="1"/>
      <c r="F74" s="1"/>
      <c r="G74" s="1"/>
      <c r="H74" s="1"/>
      <c r="I74" s="1"/>
      <c r="J74" s="1"/>
      <c r="K74" s="1"/>
      <c r="L74" s="1"/>
      <c r="M74" s="39"/>
      <c r="N74" s="39"/>
      <c r="O74" s="39"/>
      <c r="P74" s="39"/>
      <c r="Q74" s="39"/>
      <c r="R74" s="39"/>
      <c r="S74" s="39"/>
    </row>
    <row r="75" spans="1:19" x14ac:dyDescent="0.25">
      <c r="A75" s="39"/>
      <c r="B75" s="39"/>
      <c r="C75" s="39"/>
      <c r="D75" s="1"/>
      <c r="E75" s="1"/>
      <c r="F75" s="1"/>
      <c r="G75" s="1"/>
      <c r="H75" s="1"/>
      <c r="I75" s="1"/>
      <c r="J75" s="1"/>
      <c r="K75" s="1"/>
      <c r="L75" s="1"/>
      <c r="M75" s="39"/>
      <c r="N75" s="39"/>
      <c r="O75" s="39"/>
      <c r="P75" s="39"/>
      <c r="Q75" s="39"/>
      <c r="R75" s="39"/>
      <c r="S75" s="39"/>
    </row>
    <row r="76" spans="1:19" x14ac:dyDescent="0.25">
      <c r="A76" s="39"/>
      <c r="B76" s="39"/>
      <c r="C76" s="39"/>
      <c r="D76" s="1"/>
      <c r="E76" s="1"/>
      <c r="F76" s="1"/>
      <c r="G76" s="1"/>
      <c r="H76" s="1"/>
      <c r="I76" s="1"/>
      <c r="J76" s="1"/>
      <c r="K76" s="1"/>
      <c r="L76" s="1"/>
      <c r="M76" s="39"/>
      <c r="N76" s="39"/>
      <c r="O76" s="39"/>
      <c r="P76" s="39"/>
      <c r="Q76" s="39"/>
      <c r="R76" s="39"/>
      <c r="S76" s="39"/>
    </row>
    <row r="77" spans="1:19" x14ac:dyDescent="0.25">
      <c r="A77" s="39"/>
      <c r="B77" s="39"/>
      <c r="C77" s="39"/>
      <c r="D77" s="1"/>
      <c r="E77" s="1"/>
      <c r="F77" s="1"/>
      <c r="G77" s="1"/>
      <c r="H77" s="1"/>
      <c r="I77" s="1"/>
      <c r="J77" s="1"/>
      <c r="K77" s="1"/>
      <c r="L77" s="1"/>
      <c r="M77" s="39"/>
      <c r="N77" s="39"/>
      <c r="O77" s="39"/>
      <c r="P77" s="39"/>
      <c r="Q77" s="39"/>
      <c r="R77" s="39"/>
      <c r="S77" s="39"/>
    </row>
    <row r="78" spans="1:19" x14ac:dyDescent="0.25">
      <c r="A78" s="39"/>
      <c r="B78" s="39"/>
      <c r="C78" s="39"/>
      <c r="D78" s="1"/>
      <c r="E78" s="1"/>
      <c r="F78" s="1"/>
      <c r="G78" s="1"/>
      <c r="H78" s="1"/>
      <c r="I78" s="1"/>
      <c r="J78" s="1"/>
      <c r="K78" s="1"/>
      <c r="L78" s="1"/>
      <c r="M78" s="39"/>
      <c r="N78" s="39"/>
      <c r="O78" s="39"/>
      <c r="P78" s="39"/>
      <c r="Q78" s="39"/>
      <c r="R78" s="39"/>
      <c r="S78" s="39"/>
    </row>
    <row r="79" spans="1:19" x14ac:dyDescent="0.25">
      <c r="A79" s="39"/>
      <c r="B79" s="39"/>
      <c r="C79" s="39"/>
      <c r="D79" s="1"/>
      <c r="E79" s="1"/>
      <c r="F79" s="1"/>
      <c r="G79" s="1"/>
      <c r="H79" s="1"/>
      <c r="I79" s="1"/>
      <c r="J79" s="1"/>
      <c r="K79" s="1"/>
      <c r="L79" s="1"/>
      <c r="M79" s="39"/>
      <c r="N79" s="39"/>
      <c r="O79" s="39"/>
      <c r="P79" s="39"/>
      <c r="Q79" s="39"/>
      <c r="R79" s="39"/>
      <c r="S79" s="39"/>
    </row>
    <row r="80" spans="1:19" x14ac:dyDescent="0.25">
      <c r="A80" s="39"/>
      <c r="B80" s="39"/>
      <c r="C80" s="39"/>
      <c r="D80" s="1"/>
      <c r="E80" s="1"/>
      <c r="F80" s="1"/>
      <c r="G80" s="1"/>
      <c r="H80" s="1"/>
      <c r="I80" s="1"/>
      <c r="J80" s="1"/>
      <c r="K80" s="1"/>
      <c r="L80" s="1"/>
      <c r="M80" s="39"/>
      <c r="N80" s="39"/>
      <c r="O80" s="39"/>
      <c r="P80" s="39"/>
      <c r="Q80" s="39"/>
      <c r="R80" s="39"/>
      <c r="S80" s="39"/>
    </row>
    <row r="81" spans="1:19" x14ac:dyDescent="0.25">
      <c r="A81" s="39"/>
      <c r="B81" s="39"/>
      <c r="C81" s="39"/>
      <c r="D81" s="1"/>
      <c r="E81" s="1"/>
      <c r="F81" s="1"/>
      <c r="G81" s="1"/>
      <c r="H81" s="1"/>
      <c r="I81" s="1"/>
      <c r="J81" s="1"/>
      <c r="K81" s="1"/>
      <c r="L81" s="1"/>
      <c r="M81" s="39"/>
      <c r="N81" s="39"/>
      <c r="O81" s="39"/>
      <c r="P81" s="39"/>
      <c r="Q81" s="39"/>
      <c r="R81" s="39"/>
      <c r="S81" s="39"/>
    </row>
    <row r="82" spans="1:19" x14ac:dyDescent="0.25">
      <c r="A82" s="39"/>
      <c r="B82" s="39"/>
      <c r="C82" s="39"/>
      <c r="D82" s="1"/>
      <c r="E82" s="1"/>
      <c r="F82" s="1"/>
      <c r="G82" s="1"/>
      <c r="H82" s="1"/>
      <c r="I82" s="1"/>
      <c r="J82" s="1"/>
      <c r="K82" s="1"/>
      <c r="L82" s="1"/>
      <c r="M82" s="39"/>
      <c r="N82" s="39"/>
      <c r="O82" s="39"/>
      <c r="P82" s="39"/>
      <c r="Q82" s="39"/>
      <c r="R82" s="39"/>
      <c r="S82" s="39"/>
    </row>
    <row r="83" spans="1:19" x14ac:dyDescent="0.25">
      <c r="A83" s="39"/>
      <c r="B83" s="39"/>
      <c r="C83" s="39"/>
      <c r="D83" s="1"/>
      <c r="E83" s="1"/>
      <c r="F83" s="1"/>
      <c r="G83" s="1"/>
      <c r="H83" s="1"/>
      <c r="I83" s="1"/>
      <c r="J83" s="1"/>
      <c r="K83" s="1"/>
      <c r="L83" s="1"/>
      <c r="M83" s="39"/>
      <c r="N83" s="39"/>
      <c r="O83" s="39"/>
      <c r="P83" s="39"/>
      <c r="Q83" s="39"/>
      <c r="R83" s="39"/>
      <c r="S83" s="39"/>
    </row>
    <row r="84" spans="1:19" x14ac:dyDescent="0.25">
      <c r="A84" s="39"/>
      <c r="B84" s="39"/>
      <c r="C84" s="39"/>
      <c r="D84" s="1"/>
      <c r="E84" s="1"/>
      <c r="F84" s="1"/>
      <c r="G84" s="1"/>
      <c r="H84" s="1"/>
      <c r="I84" s="1"/>
      <c r="J84" s="1"/>
      <c r="K84" s="1"/>
      <c r="L84" s="1"/>
      <c r="M84" s="39"/>
      <c r="N84" s="39"/>
      <c r="O84" s="39"/>
      <c r="P84" s="39"/>
      <c r="Q84" s="39"/>
      <c r="R84" s="39"/>
      <c r="S84" s="39"/>
    </row>
    <row r="85" spans="1:19" x14ac:dyDescent="0.25">
      <c r="A85" s="39"/>
      <c r="B85" s="39"/>
      <c r="C85" s="39"/>
      <c r="D85" s="1"/>
      <c r="E85" s="1"/>
      <c r="F85" s="1"/>
      <c r="G85" s="1"/>
      <c r="H85" s="1"/>
      <c r="I85" s="1"/>
      <c r="J85" s="1"/>
      <c r="K85" s="1"/>
      <c r="L85" s="1"/>
      <c r="M85" s="39"/>
      <c r="N85" s="39"/>
      <c r="O85" s="39"/>
      <c r="P85" s="39"/>
      <c r="Q85" s="39"/>
      <c r="R85" s="39"/>
      <c r="S85" s="39"/>
    </row>
    <row r="86" spans="1:19" x14ac:dyDescent="0.25">
      <c r="A86" s="39"/>
      <c r="B86" s="39"/>
      <c r="C86" s="39"/>
      <c r="D86" s="1"/>
      <c r="E86" s="1"/>
      <c r="F86" s="1"/>
      <c r="G86" s="1"/>
      <c r="H86" s="1"/>
      <c r="I86" s="1"/>
      <c r="J86" s="1"/>
      <c r="K86" s="1"/>
      <c r="L86" s="1"/>
      <c r="M86" s="39"/>
      <c r="N86" s="39"/>
      <c r="O86" s="39"/>
      <c r="P86" s="39"/>
      <c r="Q86" s="39"/>
      <c r="R86" s="39"/>
      <c r="S86" s="39"/>
    </row>
    <row r="87" spans="1:19" x14ac:dyDescent="0.25">
      <c r="A87" s="39"/>
      <c r="B87" s="39"/>
      <c r="C87" s="39"/>
      <c r="D87" s="1"/>
      <c r="E87" s="1"/>
      <c r="F87" s="1"/>
      <c r="G87" s="1"/>
      <c r="H87" s="1"/>
      <c r="I87" s="1"/>
      <c r="J87" s="1"/>
      <c r="K87" s="1"/>
      <c r="L87" s="1"/>
      <c r="M87" s="39"/>
      <c r="N87" s="39"/>
      <c r="O87" s="39"/>
      <c r="P87" s="39"/>
      <c r="Q87" s="39"/>
      <c r="R87" s="39"/>
      <c r="S87" s="39"/>
    </row>
    <row r="88" spans="1:19" x14ac:dyDescent="0.25">
      <c r="A88" s="39"/>
      <c r="B88" s="39"/>
      <c r="C88" s="39"/>
      <c r="D88" s="1"/>
      <c r="E88" s="1"/>
      <c r="F88" s="1"/>
      <c r="G88" s="1"/>
      <c r="H88" s="1"/>
      <c r="I88" s="1"/>
      <c r="J88" s="1"/>
      <c r="K88" s="1"/>
      <c r="L88" s="1"/>
      <c r="M88" s="39"/>
      <c r="N88" s="39"/>
      <c r="O88" s="39"/>
      <c r="P88" s="39"/>
      <c r="Q88" s="39"/>
      <c r="R88" s="39"/>
      <c r="S88" s="39"/>
    </row>
    <row r="89" spans="1:19" x14ac:dyDescent="0.25">
      <c r="A89" s="39"/>
      <c r="B89" s="39"/>
      <c r="C89" s="39"/>
      <c r="D89" s="1"/>
      <c r="E89" s="1"/>
      <c r="F89" s="1"/>
      <c r="G89" s="1"/>
      <c r="H89" s="1"/>
      <c r="I89" s="1"/>
      <c r="J89" s="1"/>
      <c r="K89" s="1"/>
      <c r="L89" s="1"/>
      <c r="M89" s="39"/>
      <c r="N89" s="39"/>
      <c r="O89" s="39"/>
      <c r="P89" s="39"/>
      <c r="Q89" s="39"/>
      <c r="R89" s="39"/>
      <c r="S89" s="39"/>
    </row>
    <row r="90" spans="1:19" x14ac:dyDescent="0.25">
      <c r="A90" s="39"/>
      <c r="B90" s="39"/>
      <c r="C90" s="39"/>
      <c r="D90" s="1"/>
      <c r="E90" s="1"/>
      <c r="F90" s="1"/>
      <c r="G90" s="1"/>
      <c r="H90" s="1"/>
      <c r="I90" s="1"/>
      <c r="J90" s="1"/>
      <c r="K90" s="1"/>
      <c r="L90" s="1"/>
      <c r="M90" s="39"/>
      <c r="N90" s="39"/>
      <c r="O90" s="39"/>
      <c r="P90" s="39"/>
      <c r="Q90" s="39"/>
      <c r="R90" s="39"/>
      <c r="S90" s="39"/>
    </row>
    <row r="91" spans="1:19" x14ac:dyDescent="0.25">
      <c r="A91" s="39"/>
      <c r="B91" s="39"/>
      <c r="C91" s="39"/>
      <c r="D91" s="1"/>
      <c r="E91" s="1"/>
      <c r="F91" s="1"/>
      <c r="G91" s="1"/>
      <c r="H91" s="1"/>
      <c r="I91" s="1"/>
      <c r="J91" s="1"/>
      <c r="K91" s="1"/>
      <c r="L91" s="1"/>
      <c r="M91" s="39"/>
      <c r="N91" s="39"/>
      <c r="O91" s="39"/>
      <c r="P91" s="39"/>
      <c r="Q91" s="39"/>
      <c r="R91" s="39"/>
      <c r="S91" s="39"/>
    </row>
    <row r="92" spans="1:19" x14ac:dyDescent="0.25">
      <c r="A92" s="39"/>
      <c r="B92" s="39"/>
      <c r="C92" s="39"/>
      <c r="D92" s="1"/>
      <c r="E92" s="1"/>
      <c r="F92" s="1"/>
      <c r="G92" s="1"/>
      <c r="H92" s="1"/>
      <c r="I92" s="1"/>
      <c r="J92" s="1"/>
      <c r="K92" s="1"/>
      <c r="L92" s="1"/>
      <c r="M92" s="39"/>
      <c r="N92" s="39"/>
      <c r="O92" s="39"/>
      <c r="P92" s="39"/>
      <c r="Q92" s="39"/>
      <c r="R92" s="39"/>
      <c r="S92" s="39"/>
    </row>
    <row r="93" spans="1:19" x14ac:dyDescent="0.25">
      <c r="A93" s="39"/>
      <c r="B93" s="39"/>
      <c r="C93" s="39"/>
      <c r="D93" s="1"/>
      <c r="E93" s="1"/>
      <c r="F93" s="1"/>
      <c r="G93" s="1"/>
      <c r="H93" s="1"/>
      <c r="I93" s="1"/>
      <c r="J93" s="1"/>
      <c r="K93" s="1"/>
      <c r="L93" s="1"/>
      <c r="M93" s="39"/>
      <c r="N93" s="39"/>
      <c r="O93" s="39"/>
      <c r="P93" s="39"/>
      <c r="Q93" s="39"/>
      <c r="R93" s="39"/>
      <c r="S93" s="39"/>
    </row>
    <row r="94" spans="1:19" x14ac:dyDescent="0.25">
      <c r="A94" s="39"/>
      <c r="B94" s="39"/>
      <c r="C94" s="39"/>
      <c r="D94" s="1"/>
      <c r="E94" s="1"/>
      <c r="F94" s="1"/>
      <c r="G94" s="1"/>
      <c r="H94" s="1"/>
      <c r="I94" s="1"/>
      <c r="J94" s="1"/>
      <c r="K94" s="1"/>
      <c r="L94" s="1"/>
      <c r="M94" s="39"/>
      <c r="N94" s="39"/>
      <c r="O94" s="39"/>
      <c r="P94" s="39"/>
      <c r="Q94" s="39"/>
      <c r="R94" s="39"/>
      <c r="S94" s="39"/>
    </row>
    <row r="95" spans="1:19" x14ac:dyDescent="0.25">
      <c r="A95" s="39"/>
      <c r="B95" s="39"/>
      <c r="C95" s="39"/>
      <c r="D95" s="1"/>
      <c r="E95" s="1"/>
      <c r="F95" s="1"/>
      <c r="G95" s="1"/>
      <c r="H95" s="1"/>
      <c r="I95" s="1"/>
      <c r="J95" s="1"/>
      <c r="K95" s="1"/>
      <c r="L95" s="1"/>
      <c r="M95" s="39"/>
      <c r="N95" s="39"/>
      <c r="O95" s="39"/>
      <c r="P95" s="39"/>
      <c r="Q95" s="39"/>
      <c r="R95" s="39"/>
      <c r="S95" s="39"/>
    </row>
    <row r="96" spans="1:19" x14ac:dyDescent="0.25">
      <c r="A96" s="39"/>
      <c r="B96" s="39"/>
      <c r="C96" s="39"/>
      <c r="D96" s="1"/>
      <c r="E96" s="1"/>
      <c r="F96" s="1"/>
      <c r="G96" s="1"/>
      <c r="H96" s="1"/>
      <c r="I96" s="1"/>
      <c r="J96" s="1"/>
      <c r="K96" s="1"/>
      <c r="L96" s="1"/>
      <c r="M96" s="39"/>
      <c r="N96" s="39"/>
      <c r="O96" s="39"/>
      <c r="P96" s="39"/>
      <c r="Q96" s="39"/>
      <c r="R96" s="39"/>
      <c r="S96" s="39"/>
    </row>
    <row r="97" spans="1:19" x14ac:dyDescent="0.25">
      <c r="A97" s="39"/>
      <c r="B97" s="39"/>
      <c r="C97" s="39"/>
      <c r="D97" s="1"/>
      <c r="E97" s="1"/>
      <c r="F97" s="1"/>
      <c r="G97" s="1"/>
      <c r="H97" s="1"/>
      <c r="I97" s="1"/>
      <c r="J97" s="1"/>
      <c r="K97" s="1"/>
      <c r="L97" s="1"/>
      <c r="M97" s="39"/>
      <c r="N97" s="39"/>
      <c r="O97" s="39"/>
      <c r="P97" s="39"/>
      <c r="Q97" s="39"/>
      <c r="R97" s="39"/>
      <c r="S97" s="39"/>
    </row>
    <row r="98" spans="1:19" x14ac:dyDescent="0.25">
      <c r="A98" s="39"/>
      <c r="B98" s="39"/>
      <c r="C98" s="39"/>
      <c r="D98" s="1"/>
      <c r="E98" s="1"/>
      <c r="F98" s="1"/>
      <c r="G98" s="1"/>
      <c r="H98" s="1"/>
      <c r="I98" s="1"/>
      <c r="J98" s="1"/>
      <c r="K98" s="1"/>
      <c r="L98" s="1"/>
      <c r="M98" s="39"/>
      <c r="N98" s="39"/>
      <c r="O98" s="39"/>
      <c r="P98" s="39"/>
      <c r="Q98" s="39"/>
      <c r="R98" s="39"/>
      <c r="S98" s="39"/>
    </row>
    <row r="99" spans="1:19" x14ac:dyDescent="0.25">
      <c r="A99" s="39"/>
      <c r="B99" s="39"/>
      <c r="C99" s="39"/>
      <c r="D99" s="1"/>
      <c r="E99" s="1"/>
      <c r="F99" s="1"/>
      <c r="G99" s="1"/>
      <c r="H99" s="1"/>
      <c r="I99" s="1"/>
      <c r="J99" s="1"/>
      <c r="K99" s="1"/>
      <c r="L99" s="1"/>
      <c r="M99" s="39"/>
      <c r="N99" s="39"/>
      <c r="O99" s="39"/>
      <c r="P99" s="39"/>
      <c r="Q99" s="39"/>
      <c r="R99" s="39"/>
      <c r="S99" s="39"/>
    </row>
    <row r="100" spans="1:19" x14ac:dyDescent="0.25">
      <c r="A100" s="39"/>
      <c r="B100" s="39"/>
      <c r="C100" s="39"/>
      <c r="D100" s="1"/>
      <c r="E100" s="1"/>
      <c r="F100" s="1"/>
      <c r="G100" s="1"/>
      <c r="H100" s="1"/>
      <c r="I100" s="1"/>
      <c r="J100" s="1"/>
      <c r="K100" s="1"/>
      <c r="L100" s="1"/>
      <c r="M100" s="39"/>
      <c r="N100" s="39"/>
      <c r="O100" s="39"/>
      <c r="P100" s="39"/>
      <c r="Q100" s="39"/>
      <c r="R100" s="39"/>
      <c r="S100" s="39"/>
    </row>
    <row r="101" spans="1:19" x14ac:dyDescent="0.25">
      <c r="A101" s="39"/>
      <c r="B101" s="39"/>
      <c r="C101" s="39"/>
      <c r="D101" s="1"/>
      <c r="E101" s="1"/>
      <c r="F101" s="1"/>
      <c r="G101" s="1"/>
      <c r="H101" s="1"/>
      <c r="I101" s="1"/>
      <c r="J101" s="1"/>
      <c r="K101" s="1"/>
      <c r="L101" s="1"/>
      <c r="M101" s="39"/>
      <c r="N101" s="39"/>
      <c r="O101" s="39"/>
      <c r="P101" s="39"/>
      <c r="Q101" s="39"/>
      <c r="R101" s="39"/>
      <c r="S101" s="39"/>
    </row>
    <row r="102" spans="1:19" x14ac:dyDescent="0.25">
      <c r="A102" s="39"/>
      <c r="B102" s="39"/>
      <c r="C102" s="39"/>
      <c r="D102" s="1"/>
      <c r="E102" s="1"/>
      <c r="F102" s="1"/>
      <c r="G102" s="1"/>
      <c r="H102" s="1"/>
      <c r="I102" s="1"/>
      <c r="J102" s="1"/>
      <c r="K102" s="1"/>
      <c r="L102" s="1"/>
      <c r="M102" s="39"/>
      <c r="N102" s="39"/>
      <c r="O102" s="39"/>
      <c r="P102" s="39"/>
      <c r="Q102" s="39"/>
      <c r="R102" s="39"/>
      <c r="S102" s="39"/>
    </row>
    <row r="103" spans="1:19" x14ac:dyDescent="0.25">
      <c r="A103" s="39"/>
      <c r="B103" s="39"/>
      <c r="C103" s="39"/>
      <c r="D103" s="1"/>
      <c r="E103" s="1"/>
      <c r="F103" s="1"/>
      <c r="G103" s="1"/>
      <c r="H103" s="1"/>
      <c r="I103" s="1"/>
      <c r="J103" s="1"/>
      <c r="K103" s="1"/>
      <c r="L103" s="1"/>
      <c r="M103" s="39"/>
      <c r="N103" s="39"/>
      <c r="O103" s="39"/>
      <c r="P103" s="39"/>
      <c r="Q103" s="39"/>
      <c r="R103" s="39"/>
      <c r="S103" s="39"/>
    </row>
    <row r="104" spans="1:19" x14ac:dyDescent="0.25">
      <c r="A104" s="39"/>
      <c r="B104" s="39"/>
      <c r="C104" s="39"/>
      <c r="D104" s="1"/>
      <c r="E104" s="1"/>
      <c r="F104" s="1"/>
      <c r="G104" s="1"/>
      <c r="H104" s="1"/>
      <c r="I104" s="1"/>
      <c r="J104" s="1"/>
      <c r="K104" s="1"/>
      <c r="L104" s="1"/>
      <c r="M104" s="39"/>
      <c r="N104" s="39"/>
      <c r="O104" s="39"/>
      <c r="P104" s="39"/>
      <c r="Q104" s="39"/>
      <c r="R104" s="39"/>
      <c r="S104" s="39"/>
    </row>
    <row r="105" spans="1:19" x14ac:dyDescent="0.25">
      <c r="A105" s="39"/>
      <c r="B105" s="39"/>
      <c r="C105" s="39"/>
      <c r="D105" s="1"/>
      <c r="E105" s="1"/>
      <c r="F105" s="1"/>
      <c r="G105" s="1"/>
      <c r="H105" s="1"/>
      <c r="I105" s="1"/>
      <c r="J105" s="1"/>
      <c r="K105" s="1"/>
      <c r="L105" s="1"/>
      <c r="M105" s="39"/>
      <c r="N105" s="39"/>
      <c r="O105" s="39"/>
      <c r="P105" s="39"/>
      <c r="Q105" s="39"/>
      <c r="R105" s="39"/>
      <c r="S105" s="39"/>
    </row>
    <row r="106" spans="1:19" x14ac:dyDescent="0.25">
      <c r="A106" s="39"/>
      <c r="B106" s="39"/>
      <c r="C106" s="39"/>
      <c r="D106" s="1"/>
      <c r="E106" s="1"/>
      <c r="F106" s="1"/>
      <c r="G106" s="1"/>
      <c r="H106" s="1"/>
      <c r="I106" s="1"/>
      <c r="J106" s="1"/>
      <c r="K106" s="1"/>
      <c r="L106" s="1"/>
      <c r="M106" s="39"/>
      <c r="N106" s="39"/>
      <c r="O106" s="39"/>
      <c r="P106" s="39"/>
      <c r="Q106" s="39"/>
      <c r="R106" s="39"/>
      <c r="S106" s="39"/>
    </row>
    <row r="107" spans="1:19" x14ac:dyDescent="0.25">
      <c r="A107" s="39"/>
      <c r="B107" s="39"/>
      <c r="C107" s="39"/>
      <c r="D107" s="1"/>
      <c r="E107" s="1"/>
      <c r="F107" s="1"/>
      <c r="G107" s="1"/>
      <c r="H107" s="1"/>
      <c r="I107" s="1"/>
      <c r="J107" s="1"/>
      <c r="K107" s="1"/>
      <c r="L107" s="1"/>
      <c r="M107" s="39"/>
      <c r="N107" s="39"/>
      <c r="O107" s="39"/>
      <c r="P107" s="39"/>
      <c r="Q107" s="39"/>
      <c r="R107" s="39"/>
      <c r="S107" s="39"/>
    </row>
    <row r="108" spans="1:19" x14ac:dyDescent="0.25">
      <c r="A108" s="39"/>
      <c r="B108" s="39"/>
      <c r="C108" s="39"/>
      <c r="D108" s="1"/>
      <c r="E108" s="1"/>
      <c r="F108" s="1"/>
      <c r="G108" s="1"/>
      <c r="H108" s="1"/>
      <c r="I108" s="1"/>
      <c r="J108" s="1"/>
      <c r="K108" s="1"/>
      <c r="L108" s="1"/>
      <c r="M108" s="39"/>
      <c r="N108" s="39"/>
      <c r="O108" s="39"/>
      <c r="P108" s="39"/>
      <c r="Q108" s="39"/>
      <c r="R108" s="39"/>
      <c r="S108" s="39"/>
    </row>
    <row r="109" spans="1:19" x14ac:dyDescent="0.25">
      <c r="A109" s="39"/>
      <c r="B109" s="39"/>
      <c r="C109" s="39"/>
      <c r="D109" s="1"/>
      <c r="E109" s="1"/>
      <c r="F109" s="1"/>
      <c r="G109" s="1"/>
      <c r="H109" s="1"/>
      <c r="I109" s="1"/>
      <c r="J109" s="1"/>
      <c r="K109" s="1"/>
      <c r="L109" s="1"/>
      <c r="M109" s="39"/>
      <c r="N109" s="39"/>
      <c r="O109" s="39"/>
      <c r="P109" s="39"/>
      <c r="Q109" s="39"/>
      <c r="R109" s="39"/>
      <c r="S109" s="39"/>
    </row>
    <row r="110" spans="1:19" x14ac:dyDescent="0.25">
      <c r="A110" s="39"/>
      <c r="B110" s="39"/>
      <c r="C110" s="39"/>
      <c r="D110" s="1"/>
      <c r="E110" s="1"/>
      <c r="F110" s="1"/>
      <c r="G110" s="1"/>
      <c r="H110" s="1"/>
      <c r="I110" s="1"/>
      <c r="J110" s="1"/>
      <c r="K110" s="1"/>
      <c r="L110" s="1"/>
      <c r="M110" s="39"/>
      <c r="N110" s="39"/>
      <c r="O110" s="39"/>
      <c r="P110" s="39"/>
      <c r="Q110" s="39"/>
      <c r="R110" s="39"/>
      <c r="S110" s="39"/>
    </row>
    <row r="111" spans="1:19" x14ac:dyDescent="0.25">
      <c r="A111" s="39"/>
      <c r="B111" s="39"/>
      <c r="C111" s="39"/>
      <c r="D111" s="1"/>
      <c r="E111" s="1"/>
      <c r="F111" s="1"/>
      <c r="G111" s="1"/>
      <c r="H111" s="1"/>
      <c r="I111" s="1"/>
      <c r="J111" s="1"/>
      <c r="K111" s="1"/>
      <c r="L111" s="1"/>
      <c r="M111" s="39"/>
      <c r="N111" s="39"/>
      <c r="O111" s="39"/>
      <c r="P111" s="39"/>
      <c r="Q111" s="39"/>
      <c r="R111" s="39"/>
      <c r="S111" s="39"/>
    </row>
    <row r="112" spans="1:19" x14ac:dyDescent="0.25">
      <c r="A112" s="39"/>
      <c r="B112" s="39"/>
      <c r="C112" s="39"/>
      <c r="D112" s="1"/>
      <c r="E112" s="1"/>
      <c r="F112" s="1"/>
      <c r="G112" s="1"/>
      <c r="H112" s="1"/>
      <c r="I112" s="1"/>
      <c r="J112" s="1"/>
      <c r="K112" s="1"/>
      <c r="L112" s="1"/>
      <c r="M112" s="39"/>
      <c r="N112" s="39"/>
      <c r="O112" s="39"/>
      <c r="P112" s="39"/>
      <c r="Q112" s="39"/>
      <c r="R112" s="39"/>
      <c r="S112" s="39"/>
    </row>
    <row r="113" spans="1:19" x14ac:dyDescent="0.25">
      <c r="A113" s="39"/>
      <c r="B113" s="39"/>
      <c r="C113" s="39"/>
      <c r="D113" s="1"/>
      <c r="E113" s="1"/>
      <c r="F113" s="1"/>
      <c r="G113" s="1"/>
      <c r="H113" s="1"/>
      <c r="I113" s="1"/>
      <c r="J113" s="1"/>
      <c r="K113" s="1"/>
      <c r="L113" s="1"/>
      <c r="M113" s="39"/>
      <c r="N113" s="39"/>
      <c r="O113" s="39"/>
      <c r="P113" s="39"/>
      <c r="Q113" s="39"/>
      <c r="R113" s="39"/>
      <c r="S113" s="39"/>
    </row>
    <row r="114" spans="1:19" x14ac:dyDescent="0.25">
      <c r="A114" s="39"/>
      <c r="B114" s="39"/>
      <c r="C114" s="39"/>
      <c r="D114" s="1"/>
      <c r="E114" s="1"/>
      <c r="F114" s="1"/>
      <c r="G114" s="1"/>
      <c r="H114" s="1"/>
      <c r="I114" s="1"/>
      <c r="J114" s="1"/>
      <c r="K114" s="1"/>
      <c r="L114" s="1"/>
      <c r="M114" s="39"/>
      <c r="N114" s="39"/>
      <c r="O114" s="39"/>
      <c r="P114" s="39"/>
      <c r="Q114" s="39"/>
      <c r="R114" s="39"/>
      <c r="S114" s="39"/>
    </row>
    <row r="115" spans="1:19" x14ac:dyDescent="0.25">
      <c r="A115" s="39"/>
      <c r="B115" s="39"/>
      <c r="C115" s="39"/>
      <c r="D115" s="1"/>
      <c r="E115" s="1"/>
      <c r="F115" s="1"/>
      <c r="G115" s="1"/>
      <c r="H115" s="1"/>
      <c r="I115" s="1"/>
      <c r="J115" s="1"/>
      <c r="K115" s="1"/>
      <c r="L115" s="1"/>
      <c r="M115" s="39"/>
      <c r="N115" s="39"/>
      <c r="O115" s="39"/>
      <c r="P115" s="39"/>
      <c r="Q115" s="39"/>
      <c r="R115" s="39"/>
      <c r="S115" s="39"/>
    </row>
    <row r="116" spans="1:19" x14ac:dyDescent="0.25">
      <c r="A116" s="39"/>
      <c r="B116" s="39"/>
      <c r="C116" s="39"/>
      <c r="D116" s="1"/>
      <c r="E116" s="1"/>
      <c r="F116" s="1"/>
      <c r="G116" s="1"/>
      <c r="H116" s="1"/>
      <c r="I116" s="1"/>
      <c r="J116" s="1"/>
      <c r="K116" s="1"/>
      <c r="L116" s="1"/>
      <c r="M116" s="39"/>
      <c r="N116" s="39"/>
      <c r="O116" s="39"/>
      <c r="P116" s="39"/>
      <c r="Q116" s="39"/>
      <c r="R116" s="39"/>
      <c r="S116" s="39"/>
    </row>
    <row r="117" spans="1:19" x14ac:dyDescent="0.25">
      <c r="A117" s="39"/>
      <c r="B117" s="39"/>
      <c r="C117" s="39"/>
      <c r="D117" s="1"/>
      <c r="E117" s="1"/>
      <c r="F117" s="1"/>
      <c r="G117" s="1"/>
      <c r="H117" s="1"/>
      <c r="I117" s="1"/>
      <c r="J117" s="1"/>
      <c r="K117" s="1"/>
      <c r="L117" s="1"/>
      <c r="M117" s="39"/>
      <c r="N117" s="39"/>
      <c r="O117" s="39"/>
      <c r="P117" s="39"/>
      <c r="Q117" s="39"/>
      <c r="R117" s="39"/>
      <c r="S117" s="39"/>
    </row>
    <row r="118" spans="1:19" x14ac:dyDescent="0.25">
      <c r="A118" s="39"/>
      <c r="B118" s="39"/>
      <c r="C118" s="39"/>
      <c r="D118" s="1"/>
      <c r="E118" s="1"/>
      <c r="F118" s="1"/>
      <c r="G118" s="1"/>
      <c r="H118" s="1"/>
      <c r="I118" s="1"/>
      <c r="J118" s="1"/>
      <c r="K118" s="1"/>
      <c r="L118" s="1"/>
      <c r="M118" s="39"/>
      <c r="N118" s="39"/>
      <c r="O118" s="39"/>
      <c r="P118" s="39"/>
      <c r="Q118" s="39"/>
      <c r="R118" s="39"/>
      <c r="S118" s="39"/>
    </row>
    <row r="119" spans="1:19" x14ac:dyDescent="0.25">
      <c r="A119" s="39"/>
      <c r="B119" s="39"/>
      <c r="C119" s="39"/>
      <c r="D119" s="1"/>
      <c r="E119" s="1"/>
      <c r="F119" s="1"/>
      <c r="G119" s="1"/>
      <c r="H119" s="1"/>
      <c r="I119" s="1"/>
      <c r="J119" s="1"/>
      <c r="K119" s="1"/>
      <c r="L119" s="1"/>
      <c r="M119" s="39"/>
      <c r="N119" s="39"/>
      <c r="O119" s="39"/>
      <c r="P119" s="39"/>
      <c r="Q119" s="39"/>
      <c r="R119" s="39"/>
      <c r="S119" s="39"/>
    </row>
    <row r="120" spans="1:19" x14ac:dyDescent="0.25">
      <c r="A120" s="39"/>
      <c r="B120" s="39"/>
      <c r="C120" s="39"/>
      <c r="D120" s="1"/>
      <c r="E120" s="1"/>
      <c r="F120" s="1"/>
      <c r="G120" s="1"/>
      <c r="H120" s="1"/>
      <c r="I120" s="1"/>
      <c r="J120" s="1"/>
      <c r="K120" s="1"/>
      <c r="L120" s="1"/>
      <c r="M120" s="39"/>
      <c r="N120" s="39"/>
      <c r="O120" s="39"/>
      <c r="P120" s="39"/>
      <c r="Q120" s="39"/>
      <c r="R120" s="39"/>
      <c r="S120" s="39"/>
    </row>
    <row r="121" spans="1:19" x14ac:dyDescent="0.25">
      <c r="A121" s="39"/>
      <c r="B121" s="39"/>
      <c r="C121" s="39"/>
      <c r="D121" s="1"/>
      <c r="E121" s="1"/>
      <c r="F121" s="1"/>
      <c r="G121" s="1"/>
      <c r="H121" s="1"/>
      <c r="I121" s="1"/>
      <c r="J121" s="1"/>
      <c r="K121" s="1"/>
      <c r="L121" s="1"/>
      <c r="M121" s="39"/>
      <c r="N121" s="39"/>
      <c r="O121" s="39"/>
      <c r="P121" s="39"/>
      <c r="Q121" s="39"/>
      <c r="R121" s="39"/>
      <c r="S121" s="39"/>
    </row>
    <row r="122" spans="1:19" x14ac:dyDescent="0.25">
      <c r="A122" s="39"/>
      <c r="B122" s="39"/>
      <c r="C122" s="39"/>
      <c r="D122" s="1"/>
      <c r="E122" s="1"/>
      <c r="F122" s="1"/>
      <c r="G122" s="1"/>
      <c r="H122" s="1"/>
      <c r="I122" s="1"/>
      <c r="J122" s="1"/>
      <c r="K122" s="1"/>
      <c r="L122" s="1"/>
      <c r="M122" s="39"/>
      <c r="N122" s="39"/>
      <c r="O122" s="39"/>
      <c r="P122" s="39"/>
      <c r="Q122" s="39"/>
      <c r="R122" s="39"/>
      <c r="S122" s="39"/>
    </row>
    <row r="123" spans="1:19" x14ac:dyDescent="0.25">
      <c r="A123" s="39"/>
      <c r="B123" s="39"/>
      <c r="C123" s="39"/>
      <c r="D123" s="1"/>
      <c r="E123" s="1"/>
      <c r="F123" s="1"/>
      <c r="G123" s="1"/>
      <c r="H123" s="1"/>
      <c r="I123" s="1"/>
      <c r="J123" s="1"/>
      <c r="K123" s="1"/>
      <c r="L123" s="1"/>
      <c r="M123" s="39"/>
      <c r="N123" s="39"/>
      <c r="O123" s="39"/>
      <c r="P123" s="39"/>
      <c r="Q123" s="39"/>
      <c r="R123" s="39"/>
      <c r="S123" s="39"/>
    </row>
    <row r="124" spans="1:19" x14ac:dyDescent="0.25">
      <c r="A124" s="39"/>
      <c r="B124" s="39"/>
      <c r="C124" s="39"/>
      <c r="D124" s="1"/>
      <c r="E124" s="1"/>
      <c r="F124" s="1"/>
      <c r="G124" s="1"/>
      <c r="H124" s="1"/>
      <c r="I124" s="1"/>
      <c r="J124" s="1"/>
      <c r="K124" s="1"/>
      <c r="L124" s="1"/>
      <c r="M124" s="39"/>
      <c r="N124" s="39"/>
      <c r="O124" s="39"/>
      <c r="P124" s="39"/>
      <c r="Q124" s="39"/>
      <c r="R124" s="39"/>
      <c r="S124" s="39"/>
    </row>
    <row r="125" spans="1:19" x14ac:dyDescent="0.25">
      <c r="A125" s="39"/>
      <c r="B125" s="39"/>
      <c r="C125" s="39"/>
      <c r="D125" s="1"/>
      <c r="E125" s="1"/>
      <c r="F125" s="1"/>
      <c r="G125" s="1"/>
      <c r="H125" s="1"/>
      <c r="I125" s="1"/>
      <c r="J125" s="1"/>
      <c r="K125" s="1"/>
      <c r="L125" s="1"/>
      <c r="M125" s="39"/>
      <c r="N125" s="39"/>
      <c r="O125" s="39"/>
      <c r="P125" s="39"/>
      <c r="Q125" s="39"/>
      <c r="R125" s="39"/>
      <c r="S125" s="39"/>
    </row>
    <row r="126" spans="1:19" x14ac:dyDescent="0.25">
      <c r="A126" s="39"/>
      <c r="B126" s="39"/>
      <c r="C126" s="39"/>
      <c r="D126" s="1"/>
      <c r="E126" s="1"/>
      <c r="F126" s="1"/>
      <c r="G126" s="1"/>
      <c r="H126" s="1"/>
      <c r="I126" s="1"/>
      <c r="J126" s="1"/>
      <c r="K126" s="1"/>
      <c r="L126" s="1"/>
      <c r="M126" s="39"/>
      <c r="N126" s="39"/>
      <c r="O126" s="39"/>
      <c r="P126" s="39"/>
      <c r="Q126" s="39"/>
      <c r="R126" s="39"/>
      <c r="S126" s="39"/>
    </row>
    <row r="127" spans="1:19" x14ac:dyDescent="0.25">
      <c r="A127" s="39"/>
      <c r="B127" s="39"/>
      <c r="C127" s="39"/>
      <c r="D127" s="1"/>
      <c r="E127" s="1"/>
      <c r="F127" s="1"/>
      <c r="G127" s="1"/>
      <c r="H127" s="1"/>
      <c r="I127" s="1"/>
      <c r="J127" s="1"/>
      <c r="K127" s="1"/>
      <c r="L127" s="1"/>
      <c r="M127" s="39"/>
      <c r="N127" s="39"/>
      <c r="O127" s="39"/>
      <c r="P127" s="39"/>
      <c r="Q127" s="39"/>
      <c r="R127" s="39"/>
      <c r="S127" s="39"/>
    </row>
    <row r="128" spans="1:19" x14ac:dyDescent="0.25">
      <c r="A128" s="39"/>
      <c r="B128" s="39"/>
      <c r="C128" s="39"/>
      <c r="D128" s="1"/>
      <c r="E128" s="1"/>
      <c r="F128" s="1"/>
      <c r="G128" s="1"/>
      <c r="H128" s="1"/>
      <c r="I128" s="1"/>
      <c r="J128" s="1"/>
      <c r="K128" s="1"/>
      <c r="L128" s="1"/>
      <c r="M128" s="39"/>
      <c r="N128" s="39"/>
      <c r="O128" s="39"/>
      <c r="P128" s="39"/>
      <c r="Q128" s="39"/>
      <c r="R128" s="39"/>
      <c r="S128" s="39"/>
    </row>
    <row r="129" spans="1:19" x14ac:dyDescent="0.25">
      <c r="A129" s="39"/>
      <c r="B129" s="39"/>
      <c r="C129" s="39"/>
      <c r="D129" s="1"/>
      <c r="E129" s="1"/>
      <c r="F129" s="1"/>
      <c r="G129" s="1"/>
      <c r="H129" s="1"/>
      <c r="I129" s="1"/>
      <c r="J129" s="1"/>
      <c r="K129" s="1"/>
      <c r="L129" s="1"/>
      <c r="M129" s="39"/>
      <c r="N129" s="39"/>
      <c r="O129" s="39"/>
      <c r="P129" s="39"/>
      <c r="Q129" s="39"/>
      <c r="R129" s="39"/>
      <c r="S129" s="39"/>
    </row>
    <row r="130" spans="1:19" x14ac:dyDescent="0.25">
      <c r="A130" s="39"/>
      <c r="B130" s="39"/>
      <c r="C130" s="39"/>
      <c r="D130" s="1"/>
      <c r="E130" s="1"/>
      <c r="F130" s="1"/>
      <c r="G130" s="1"/>
      <c r="H130" s="1"/>
      <c r="I130" s="1"/>
      <c r="J130" s="1"/>
      <c r="K130" s="1"/>
      <c r="L130" s="1"/>
      <c r="M130" s="39"/>
      <c r="N130" s="39"/>
      <c r="O130" s="39"/>
      <c r="P130" s="39"/>
      <c r="Q130" s="39"/>
      <c r="R130" s="39"/>
      <c r="S130" s="39"/>
    </row>
    <row r="131" spans="1:19" x14ac:dyDescent="0.25">
      <c r="A131" s="39"/>
      <c r="B131" s="39"/>
      <c r="C131" s="39"/>
      <c r="D131" s="1"/>
      <c r="E131" s="1"/>
      <c r="F131" s="1"/>
      <c r="G131" s="1"/>
      <c r="H131" s="1"/>
      <c r="I131" s="1"/>
      <c r="J131" s="1"/>
      <c r="K131" s="1"/>
      <c r="L131" s="1"/>
      <c r="M131" s="39"/>
      <c r="N131" s="39"/>
      <c r="O131" s="39"/>
      <c r="P131" s="39"/>
      <c r="Q131" s="39"/>
      <c r="R131" s="39"/>
      <c r="S131" s="39"/>
    </row>
    <row r="132" spans="1:19" x14ac:dyDescent="0.25">
      <c r="A132" s="39"/>
      <c r="B132" s="39"/>
      <c r="C132" s="39"/>
      <c r="D132" s="1"/>
      <c r="E132" s="1"/>
      <c r="F132" s="1"/>
      <c r="G132" s="1"/>
      <c r="H132" s="1"/>
      <c r="I132" s="1"/>
      <c r="J132" s="1"/>
      <c r="K132" s="1"/>
      <c r="L132" s="1"/>
      <c r="M132" s="39"/>
      <c r="N132" s="39"/>
      <c r="O132" s="39"/>
      <c r="P132" s="39"/>
      <c r="Q132" s="39"/>
      <c r="R132" s="39"/>
      <c r="S132" s="39"/>
    </row>
    <row r="133" spans="1:19" x14ac:dyDescent="0.25">
      <c r="A133" s="39"/>
      <c r="B133" s="39"/>
      <c r="C133" s="39"/>
      <c r="D133" s="1"/>
      <c r="E133" s="1"/>
      <c r="F133" s="1"/>
      <c r="G133" s="1"/>
      <c r="H133" s="1"/>
      <c r="I133" s="1"/>
      <c r="J133" s="1"/>
      <c r="K133" s="1"/>
      <c r="L133" s="1"/>
      <c r="M133" s="39"/>
      <c r="N133" s="39"/>
      <c r="O133" s="39"/>
      <c r="P133" s="39"/>
      <c r="Q133" s="39"/>
      <c r="R133" s="39"/>
      <c r="S133" s="39"/>
    </row>
    <row r="134" spans="1:19" x14ac:dyDescent="0.25">
      <c r="A134" s="39"/>
      <c r="B134" s="39"/>
      <c r="C134" s="39"/>
      <c r="D134" s="1"/>
      <c r="E134" s="1"/>
      <c r="F134" s="1"/>
      <c r="G134" s="1"/>
      <c r="H134" s="1"/>
      <c r="I134" s="1"/>
      <c r="J134" s="1"/>
      <c r="K134" s="1"/>
      <c r="L134" s="1"/>
      <c r="M134" s="39"/>
      <c r="N134" s="39"/>
      <c r="O134" s="39"/>
      <c r="P134" s="39"/>
      <c r="Q134" s="39"/>
      <c r="R134" s="39"/>
      <c r="S134" s="39"/>
    </row>
    <row r="135" spans="1:19" x14ac:dyDescent="0.25">
      <c r="A135" s="39"/>
      <c r="B135" s="39"/>
      <c r="C135" s="39"/>
      <c r="D135" s="1"/>
      <c r="E135" s="1"/>
      <c r="F135" s="1"/>
      <c r="G135" s="1"/>
      <c r="H135" s="1"/>
      <c r="I135" s="1"/>
      <c r="J135" s="1"/>
      <c r="K135" s="1"/>
      <c r="L135" s="1"/>
      <c r="M135" s="39"/>
      <c r="N135" s="39"/>
      <c r="O135" s="39"/>
      <c r="P135" s="39"/>
      <c r="Q135" s="39"/>
      <c r="R135" s="39"/>
      <c r="S135" s="39"/>
    </row>
    <row r="136" spans="1:19" x14ac:dyDescent="0.25">
      <c r="A136" s="39"/>
      <c r="B136" s="39"/>
      <c r="C136" s="39"/>
      <c r="D136" s="1"/>
      <c r="E136" s="1"/>
      <c r="F136" s="1"/>
      <c r="G136" s="1"/>
      <c r="H136" s="1"/>
      <c r="I136" s="1"/>
      <c r="J136" s="1"/>
      <c r="K136" s="1"/>
      <c r="L136" s="1"/>
      <c r="M136" s="39"/>
      <c r="N136" s="39"/>
      <c r="O136" s="39"/>
      <c r="P136" s="39"/>
      <c r="Q136" s="39"/>
      <c r="R136" s="39"/>
      <c r="S136" s="39"/>
    </row>
    <row r="137" spans="1:19" x14ac:dyDescent="0.25">
      <c r="A137" s="39"/>
      <c r="B137" s="39"/>
      <c r="C137" s="39"/>
      <c r="D137" s="1"/>
      <c r="E137" s="1"/>
      <c r="F137" s="1"/>
      <c r="G137" s="1"/>
      <c r="H137" s="1"/>
      <c r="I137" s="1"/>
      <c r="J137" s="1"/>
      <c r="K137" s="1"/>
      <c r="L137" s="1"/>
      <c r="M137" s="39"/>
      <c r="N137" s="39"/>
      <c r="O137" s="39"/>
      <c r="P137" s="39"/>
      <c r="Q137" s="39"/>
      <c r="R137" s="39"/>
      <c r="S137" s="39"/>
    </row>
    <row r="138" spans="1:19" x14ac:dyDescent="0.25">
      <c r="A138" s="39"/>
      <c r="B138" s="39"/>
      <c r="C138" s="39"/>
      <c r="D138" s="1"/>
      <c r="E138" s="1"/>
      <c r="F138" s="1"/>
      <c r="G138" s="1"/>
      <c r="H138" s="1"/>
      <c r="I138" s="1"/>
      <c r="J138" s="1"/>
      <c r="K138" s="1"/>
      <c r="L138" s="1"/>
      <c r="M138" s="39"/>
      <c r="N138" s="39"/>
      <c r="O138" s="39"/>
      <c r="P138" s="39"/>
      <c r="Q138" s="39"/>
      <c r="R138" s="39"/>
      <c r="S138" s="39"/>
    </row>
    <row r="139" spans="1:19" x14ac:dyDescent="0.25">
      <c r="A139" s="39"/>
      <c r="B139" s="39"/>
      <c r="C139" s="39"/>
      <c r="D139" s="1"/>
      <c r="E139" s="1"/>
      <c r="F139" s="1"/>
      <c r="G139" s="1"/>
      <c r="H139" s="1"/>
      <c r="I139" s="1"/>
      <c r="J139" s="1"/>
      <c r="K139" s="1"/>
      <c r="L139" s="1"/>
      <c r="M139" s="39"/>
      <c r="N139" s="39"/>
      <c r="O139" s="39"/>
      <c r="P139" s="39"/>
      <c r="Q139" s="39"/>
      <c r="R139" s="39"/>
      <c r="S139" s="39"/>
    </row>
    <row r="140" spans="1:19" x14ac:dyDescent="0.25">
      <c r="A140" s="39"/>
      <c r="B140" s="39"/>
      <c r="C140" s="39"/>
      <c r="D140" s="1"/>
      <c r="E140" s="1"/>
      <c r="F140" s="1"/>
      <c r="G140" s="1"/>
      <c r="H140" s="1"/>
      <c r="I140" s="1"/>
      <c r="J140" s="1"/>
      <c r="K140" s="1"/>
      <c r="L140" s="1"/>
      <c r="M140" s="39"/>
      <c r="N140" s="39"/>
      <c r="O140" s="39"/>
      <c r="P140" s="39"/>
      <c r="Q140" s="39"/>
      <c r="R140" s="39"/>
      <c r="S140" s="39"/>
    </row>
    <row r="141" spans="1:19" x14ac:dyDescent="0.25">
      <c r="A141" s="39"/>
      <c r="B141" s="39"/>
      <c r="C141" s="39"/>
      <c r="D141" s="1"/>
      <c r="E141" s="1"/>
      <c r="F141" s="1"/>
      <c r="G141" s="1"/>
      <c r="H141" s="1"/>
      <c r="I141" s="1"/>
      <c r="J141" s="1"/>
      <c r="K141" s="1"/>
      <c r="L141" s="1"/>
      <c r="M141" s="39"/>
      <c r="N141" s="39"/>
      <c r="O141" s="39"/>
      <c r="P141" s="39"/>
      <c r="Q141" s="39"/>
      <c r="R141" s="39"/>
      <c r="S141" s="39"/>
    </row>
    <row r="142" spans="1:19" x14ac:dyDescent="0.25">
      <c r="A142" s="39"/>
      <c r="B142" s="39"/>
      <c r="C142" s="39"/>
      <c r="D142" s="1"/>
      <c r="E142" s="1"/>
      <c r="F142" s="1"/>
      <c r="G142" s="1"/>
      <c r="H142" s="1"/>
      <c r="I142" s="1"/>
      <c r="J142" s="1"/>
      <c r="K142" s="1"/>
      <c r="L142" s="1"/>
      <c r="M142" s="39"/>
      <c r="N142" s="39"/>
      <c r="O142" s="39"/>
      <c r="P142" s="39"/>
      <c r="Q142" s="39"/>
      <c r="R142" s="39"/>
      <c r="S142" s="39"/>
    </row>
    <row r="143" spans="1:19" x14ac:dyDescent="0.25">
      <c r="A143" s="39"/>
      <c r="B143" s="39"/>
      <c r="C143" s="39"/>
      <c r="D143" s="1"/>
      <c r="E143" s="1"/>
      <c r="F143" s="1"/>
      <c r="G143" s="1"/>
      <c r="H143" s="1"/>
      <c r="I143" s="1"/>
      <c r="J143" s="1"/>
      <c r="K143" s="1"/>
      <c r="L143" s="1"/>
      <c r="M143" s="39"/>
      <c r="N143" s="39"/>
      <c r="O143" s="39"/>
      <c r="P143" s="39"/>
      <c r="Q143" s="39"/>
      <c r="R143" s="39"/>
      <c r="S143" s="39"/>
    </row>
    <row r="144" spans="1:19" x14ac:dyDescent="0.25">
      <c r="A144" s="39"/>
      <c r="B144" s="39"/>
      <c r="C144" s="39"/>
      <c r="D144" s="1"/>
      <c r="E144" s="1"/>
      <c r="F144" s="1"/>
      <c r="G144" s="1"/>
      <c r="H144" s="1"/>
      <c r="I144" s="1"/>
      <c r="J144" s="1"/>
      <c r="K144" s="1"/>
      <c r="L144" s="1"/>
      <c r="M144" s="39"/>
      <c r="N144" s="39"/>
      <c r="O144" s="39"/>
      <c r="P144" s="39"/>
      <c r="Q144" s="39"/>
      <c r="R144" s="39"/>
      <c r="S144" s="39"/>
    </row>
    <row r="145" spans="1:19" x14ac:dyDescent="0.25">
      <c r="A145" s="39"/>
      <c r="B145" s="39"/>
      <c r="C145" s="39"/>
      <c r="D145" s="1"/>
      <c r="E145" s="1"/>
      <c r="F145" s="1"/>
      <c r="G145" s="1"/>
      <c r="H145" s="1"/>
      <c r="I145" s="1"/>
      <c r="J145" s="1"/>
      <c r="K145" s="1"/>
      <c r="L145" s="1"/>
      <c r="M145" s="39"/>
      <c r="N145" s="39"/>
      <c r="O145" s="39"/>
      <c r="P145" s="39"/>
      <c r="Q145" s="39"/>
      <c r="R145" s="39"/>
      <c r="S145" s="39"/>
    </row>
    <row r="146" spans="1:19" x14ac:dyDescent="0.25">
      <c r="A146" s="39"/>
      <c r="B146" s="39"/>
      <c r="C146" s="39"/>
      <c r="D146" s="1"/>
      <c r="E146" s="1"/>
      <c r="F146" s="1"/>
      <c r="G146" s="1"/>
      <c r="H146" s="1"/>
      <c r="I146" s="1"/>
      <c r="J146" s="1"/>
      <c r="K146" s="1"/>
      <c r="L146" s="1"/>
      <c r="M146" s="39"/>
      <c r="N146" s="39"/>
      <c r="O146" s="39"/>
      <c r="P146" s="39"/>
      <c r="Q146" s="39"/>
      <c r="R146" s="39"/>
      <c r="S146" s="39"/>
    </row>
    <row r="147" spans="1:19" x14ac:dyDescent="0.25">
      <c r="A147" s="39"/>
      <c r="B147" s="39"/>
      <c r="C147" s="39"/>
      <c r="D147" s="1"/>
      <c r="E147" s="1"/>
      <c r="F147" s="1"/>
      <c r="G147" s="1"/>
      <c r="H147" s="1"/>
      <c r="I147" s="1"/>
      <c r="J147" s="1"/>
      <c r="K147" s="1"/>
      <c r="L147" s="1"/>
      <c r="M147" s="39"/>
      <c r="N147" s="39"/>
      <c r="O147" s="39"/>
      <c r="P147" s="39"/>
      <c r="Q147" s="39"/>
      <c r="R147" s="39"/>
      <c r="S147" s="39"/>
    </row>
    <row r="148" spans="1:19" x14ac:dyDescent="0.25">
      <c r="A148" s="39"/>
      <c r="B148" s="39"/>
      <c r="C148" s="39"/>
      <c r="D148" s="1"/>
      <c r="E148" s="1"/>
      <c r="F148" s="1"/>
      <c r="G148" s="1"/>
      <c r="H148" s="1"/>
      <c r="I148" s="1"/>
      <c r="J148" s="1"/>
      <c r="K148" s="1"/>
      <c r="L148" s="1"/>
      <c r="M148" s="39"/>
      <c r="N148" s="39"/>
      <c r="O148" s="39"/>
      <c r="P148" s="39"/>
      <c r="Q148" s="39"/>
      <c r="R148" s="39"/>
      <c r="S148" s="39"/>
    </row>
    <row r="149" spans="1:19" x14ac:dyDescent="0.25">
      <c r="A149" s="39"/>
      <c r="B149" s="39"/>
      <c r="C149" s="39"/>
      <c r="D149" s="1"/>
      <c r="E149" s="1"/>
      <c r="F149" s="1"/>
      <c r="G149" s="1"/>
      <c r="H149" s="1"/>
      <c r="I149" s="1"/>
      <c r="J149" s="1"/>
      <c r="K149" s="1"/>
      <c r="L149" s="1"/>
      <c r="M149" s="39"/>
      <c r="N149" s="39"/>
      <c r="O149" s="39"/>
      <c r="P149" s="39"/>
      <c r="Q149" s="39"/>
      <c r="R149" s="39"/>
      <c r="S149" s="39"/>
    </row>
    <row r="150" spans="1:19" x14ac:dyDescent="0.25">
      <c r="A150" s="39"/>
      <c r="B150" s="39"/>
      <c r="C150" s="39"/>
      <c r="D150" s="1"/>
      <c r="E150" s="1"/>
      <c r="F150" s="1"/>
      <c r="G150" s="1"/>
      <c r="H150" s="1"/>
      <c r="I150" s="1"/>
      <c r="J150" s="1"/>
      <c r="K150" s="1"/>
      <c r="L150" s="1"/>
      <c r="M150" s="39"/>
      <c r="N150" s="39"/>
      <c r="O150" s="39"/>
      <c r="P150" s="39"/>
      <c r="Q150" s="39"/>
      <c r="R150" s="39"/>
      <c r="S150" s="39"/>
    </row>
    <row r="151" spans="1:19" x14ac:dyDescent="0.25">
      <c r="A151" s="39"/>
      <c r="B151" s="39"/>
      <c r="C151" s="39"/>
      <c r="D151" s="1"/>
      <c r="E151" s="1"/>
      <c r="F151" s="1"/>
      <c r="G151" s="1"/>
      <c r="H151" s="1"/>
      <c r="I151" s="1"/>
      <c r="J151" s="1"/>
      <c r="K151" s="1"/>
      <c r="L151" s="1"/>
      <c r="M151" s="39"/>
      <c r="N151" s="39"/>
      <c r="O151" s="39"/>
      <c r="P151" s="39"/>
      <c r="Q151" s="39"/>
      <c r="R151" s="39"/>
      <c r="S151" s="39"/>
    </row>
    <row r="152" spans="1:19" x14ac:dyDescent="0.25">
      <c r="A152" s="39"/>
      <c r="B152" s="39"/>
      <c r="C152" s="39"/>
      <c r="D152" s="1"/>
      <c r="E152" s="1"/>
      <c r="F152" s="1"/>
      <c r="G152" s="1"/>
      <c r="H152" s="1"/>
      <c r="I152" s="1"/>
      <c r="J152" s="1"/>
      <c r="K152" s="1"/>
      <c r="L152" s="1"/>
      <c r="M152" s="39"/>
      <c r="N152" s="39"/>
      <c r="O152" s="39"/>
      <c r="P152" s="39"/>
      <c r="Q152" s="39"/>
      <c r="R152" s="39"/>
      <c r="S152" s="39"/>
    </row>
    <row r="153" spans="1:19" x14ac:dyDescent="0.25">
      <c r="A153" s="39"/>
      <c r="B153" s="39"/>
      <c r="C153" s="39"/>
      <c r="D153" s="1"/>
      <c r="E153" s="1"/>
      <c r="F153" s="1"/>
      <c r="G153" s="1"/>
      <c r="H153" s="1"/>
      <c r="I153" s="1"/>
      <c r="J153" s="1"/>
      <c r="K153" s="1"/>
      <c r="L153" s="1"/>
      <c r="M153" s="39"/>
      <c r="N153" s="39"/>
      <c r="O153" s="39"/>
      <c r="P153" s="39"/>
      <c r="Q153" s="39"/>
      <c r="R153" s="39"/>
      <c r="S153" s="39"/>
    </row>
    <row r="154" spans="1:19" x14ac:dyDescent="0.25">
      <c r="A154" s="39"/>
      <c r="B154" s="39"/>
      <c r="C154" s="39"/>
      <c r="D154" s="1"/>
      <c r="E154" s="1"/>
      <c r="F154" s="1"/>
      <c r="G154" s="1"/>
      <c r="H154" s="1"/>
      <c r="I154" s="1"/>
      <c r="J154" s="1"/>
      <c r="K154" s="1"/>
      <c r="L154" s="1"/>
      <c r="M154" s="39"/>
      <c r="N154" s="39"/>
      <c r="O154" s="39"/>
      <c r="P154" s="39"/>
      <c r="Q154" s="39"/>
      <c r="R154" s="39"/>
      <c r="S154" s="39"/>
    </row>
    <row r="155" spans="1:19" x14ac:dyDescent="0.25">
      <c r="A155" s="39"/>
      <c r="B155" s="39"/>
      <c r="C155" s="39"/>
      <c r="D155" s="1"/>
      <c r="E155" s="1"/>
      <c r="F155" s="1"/>
      <c r="G155" s="1"/>
      <c r="H155" s="1"/>
      <c r="I155" s="1"/>
      <c r="J155" s="1"/>
      <c r="K155" s="1"/>
      <c r="L155" s="1"/>
      <c r="M155" s="39"/>
      <c r="N155" s="39"/>
      <c r="O155" s="39"/>
      <c r="P155" s="39"/>
      <c r="Q155" s="39"/>
      <c r="R155" s="39"/>
      <c r="S155" s="39"/>
    </row>
    <row r="156" spans="1:19" x14ac:dyDescent="0.25">
      <c r="A156" s="39"/>
      <c r="B156" s="39"/>
      <c r="C156" s="39"/>
      <c r="D156" s="1"/>
      <c r="E156" s="1"/>
      <c r="F156" s="1"/>
      <c r="G156" s="1"/>
      <c r="H156" s="1"/>
      <c r="I156" s="1"/>
      <c r="J156" s="1"/>
      <c r="K156" s="1"/>
      <c r="L156" s="1"/>
      <c r="M156" s="39"/>
      <c r="N156" s="39"/>
      <c r="O156" s="39"/>
      <c r="P156" s="39"/>
      <c r="Q156" s="39"/>
      <c r="R156" s="39"/>
      <c r="S156" s="39"/>
    </row>
    <row r="157" spans="1:19" x14ac:dyDescent="0.25">
      <c r="A157" s="39"/>
      <c r="B157" s="39"/>
      <c r="C157" s="39"/>
      <c r="D157" s="1"/>
      <c r="E157" s="1"/>
      <c r="F157" s="1"/>
      <c r="G157" s="1"/>
      <c r="H157" s="1"/>
      <c r="I157" s="1"/>
      <c r="J157" s="1"/>
      <c r="K157" s="1"/>
      <c r="L157" s="1"/>
      <c r="M157" s="39"/>
      <c r="N157" s="39"/>
      <c r="O157" s="39"/>
      <c r="P157" s="39"/>
      <c r="Q157" s="39"/>
      <c r="R157" s="39"/>
      <c r="S157" s="39"/>
    </row>
    <row r="158" spans="1:19" x14ac:dyDescent="0.25">
      <c r="A158" s="39"/>
      <c r="B158" s="39"/>
      <c r="C158" s="39"/>
      <c r="D158" s="1"/>
      <c r="E158" s="1"/>
      <c r="F158" s="1"/>
      <c r="G158" s="1"/>
      <c r="H158" s="1"/>
      <c r="I158" s="1"/>
      <c r="J158" s="1"/>
      <c r="K158" s="1"/>
      <c r="L158" s="1"/>
      <c r="M158" s="39"/>
      <c r="N158" s="39"/>
      <c r="O158" s="39"/>
      <c r="P158" s="39"/>
      <c r="Q158" s="39"/>
      <c r="R158" s="39"/>
      <c r="S158" s="39"/>
    </row>
    <row r="159" spans="1:19" x14ac:dyDescent="0.25">
      <c r="A159" s="39"/>
      <c r="B159" s="39"/>
      <c r="C159" s="39"/>
      <c r="D159" s="1"/>
      <c r="E159" s="1"/>
      <c r="F159" s="1"/>
      <c r="G159" s="1"/>
      <c r="H159" s="1"/>
      <c r="I159" s="1"/>
      <c r="J159" s="1"/>
      <c r="K159" s="1"/>
      <c r="L159" s="1"/>
      <c r="M159" s="39"/>
      <c r="N159" s="39"/>
      <c r="O159" s="39"/>
      <c r="P159" s="39"/>
      <c r="Q159" s="39"/>
      <c r="R159" s="39"/>
      <c r="S159" s="39"/>
    </row>
    <row r="160" spans="1:19" x14ac:dyDescent="0.25">
      <c r="A160" s="39"/>
      <c r="B160" s="39"/>
      <c r="C160" s="39"/>
      <c r="D160" s="1"/>
      <c r="E160" s="1"/>
      <c r="F160" s="1"/>
      <c r="G160" s="1"/>
      <c r="H160" s="1"/>
      <c r="I160" s="1"/>
      <c r="J160" s="1"/>
      <c r="K160" s="1"/>
      <c r="L160" s="1"/>
      <c r="M160" s="39"/>
      <c r="N160" s="39"/>
      <c r="O160" s="39"/>
      <c r="P160" s="39"/>
      <c r="Q160" s="39"/>
      <c r="R160" s="39"/>
      <c r="S160" s="39"/>
    </row>
    <row r="161" spans="1:19" x14ac:dyDescent="0.25">
      <c r="A161" s="39"/>
      <c r="B161" s="39"/>
      <c r="C161" s="39"/>
      <c r="D161" s="1"/>
      <c r="E161" s="1"/>
      <c r="F161" s="1"/>
      <c r="G161" s="1"/>
      <c r="H161" s="1"/>
      <c r="I161" s="1"/>
      <c r="J161" s="1"/>
      <c r="K161" s="1"/>
      <c r="L161" s="1"/>
      <c r="M161" s="39"/>
      <c r="N161" s="39"/>
      <c r="O161" s="39"/>
      <c r="P161" s="39"/>
      <c r="Q161" s="39"/>
      <c r="R161" s="39"/>
      <c r="S161" s="39"/>
    </row>
    <row r="162" spans="1:19" x14ac:dyDescent="0.25">
      <c r="A162" s="39"/>
      <c r="B162" s="39"/>
      <c r="C162" s="39"/>
      <c r="D162" s="1"/>
      <c r="E162" s="1"/>
      <c r="F162" s="1"/>
      <c r="G162" s="1"/>
      <c r="H162" s="1"/>
      <c r="I162" s="1"/>
      <c r="J162" s="1"/>
      <c r="K162" s="1"/>
      <c r="L162" s="1"/>
      <c r="M162" s="39"/>
      <c r="N162" s="39"/>
      <c r="O162" s="39"/>
      <c r="P162" s="39"/>
      <c r="Q162" s="39"/>
      <c r="R162" s="39"/>
      <c r="S162" s="39"/>
    </row>
    <row r="163" spans="1:19" x14ac:dyDescent="0.25">
      <c r="A163" s="39"/>
      <c r="B163" s="39"/>
      <c r="C163" s="39"/>
      <c r="D163" s="1"/>
      <c r="E163" s="1"/>
      <c r="F163" s="1"/>
      <c r="G163" s="1"/>
      <c r="H163" s="1"/>
      <c r="I163" s="1"/>
      <c r="J163" s="1"/>
      <c r="K163" s="1"/>
      <c r="L163" s="1"/>
      <c r="M163" s="39"/>
      <c r="N163" s="39"/>
      <c r="O163" s="39"/>
      <c r="P163" s="39"/>
      <c r="Q163" s="39"/>
      <c r="R163" s="39"/>
      <c r="S163" s="39"/>
    </row>
    <row r="164" spans="1:19" x14ac:dyDescent="0.25">
      <c r="A164" s="39"/>
      <c r="B164" s="39"/>
      <c r="C164" s="39"/>
      <c r="D164" s="1"/>
      <c r="E164" s="1"/>
      <c r="F164" s="1"/>
      <c r="G164" s="1"/>
      <c r="H164" s="1"/>
      <c r="I164" s="1"/>
      <c r="J164" s="1"/>
      <c r="K164" s="1"/>
      <c r="L164" s="1"/>
      <c r="M164" s="39"/>
      <c r="N164" s="39"/>
      <c r="O164" s="39"/>
      <c r="P164" s="39"/>
      <c r="Q164" s="39"/>
      <c r="R164" s="39"/>
      <c r="S164" s="39"/>
    </row>
    <row r="165" spans="1:19" x14ac:dyDescent="0.25">
      <c r="A165" s="39"/>
      <c r="B165" s="39"/>
      <c r="C165" s="39"/>
      <c r="D165" s="1"/>
      <c r="E165" s="1"/>
      <c r="F165" s="1"/>
      <c r="G165" s="1"/>
      <c r="H165" s="1"/>
      <c r="I165" s="1"/>
      <c r="J165" s="1"/>
      <c r="K165" s="1"/>
      <c r="L165" s="1"/>
      <c r="M165" s="39"/>
      <c r="N165" s="39"/>
      <c r="O165" s="39"/>
      <c r="P165" s="39"/>
      <c r="Q165" s="39"/>
      <c r="R165" s="39"/>
      <c r="S165" s="39"/>
    </row>
    <row r="166" spans="1:19" x14ac:dyDescent="0.25">
      <c r="A166" s="39"/>
      <c r="B166" s="39"/>
      <c r="C166" s="39"/>
      <c r="D166" s="1"/>
      <c r="E166" s="1"/>
      <c r="F166" s="1"/>
      <c r="G166" s="1"/>
      <c r="H166" s="1"/>
      <c r="I166" s="1"/>
      <c r="J166" s="1"/>
      <c r="K166" s="1"/>
      <c r="L166" s="1"/>
      <c r="M166" s="39"/>
      <c r="N166" s="39"/>
      <c r="O166" s="39"/>
      <c r="P166" s="39"/>
      <c r="Q166" s="39"/>
      <c r="R166" s="39"/>
      <c r="S166" s="39"/>
    </row>
    <row r="167" spans="1:19" x14ac:dyDescent="0.25">
      <c r="A167" s="39"/>
      <c r="B167" s="39"/>
      <c r="C167" s="39"/>
      <c r="D167" s="1"/>
      <c r="E167" s="1"/>
      <c r="F167" s="1"/>
      <c r="G167" s="1"/>
      <c r="H167" s="1"/>
      <c r="I167" s="1"/>
      <c r="J167" s="1"/>
      <c r="K167" s="1"/>
      <c r="L167" s="1"/>
      <c r="M167" s="39"/>
      <c r="N167" s="39"/>
      <c r="O167" s="39"/>
      <c r="P167" s="39"/>
      <c r="Q167" s="39"/>
      <c r="R167" s="39"/>
      <c r="S167" s="39"/>
    </row>
    <row r="168" spans="1:19" x14ac:dyDescent="0.25">
      <c r="A168" s="39"/>
      <c r="B168" s="39"/>
      <c r="C168" s="39"/>
      <c r="D168" s="1"/>
      <c r="E168" s="1"/>
      <c r="F168" s="1"/>
      <c r="G168" s="1"/>
      <c r="H168" s="1"/>
      <c r="I168" s="1"/>
      <c r="J168" s="1"/>
      <c r="K168" s="1"/>
      <c r="L168" s="1"/>
      <c r="M168" s="39"/>
      <c r="N168" s="39"/>
      <c r="O168" s="39"/>
      <c r="P168" s="39"/>
      <c r="Q168" s="39"/>
      <c r="R168" s="39"/>
      <c r="S168" s="39"/>
    </row>
    <row r="169" spans="1:19" x14ac:dyDescent="0.25">
      <c r="A169" s="39"/>
      <c r="B169" s="39"/>
      <c r="C169" s="39"/>
      <c r="D169" s="1"/>
      <c r="E169" s="1"/>
      <c r="F169" s="1"/>
      <c r="G169" s="1"/>
      <c r="H169" s="1"/>
      <c r="I169" s="1"/>
      <c r="J169" s="1"/>
      <c r="K169" s="1"/>
      <c r="L169" s="1"/>
      <c r="M169" s="39"/>
      <c r="N169" s="39"/>
      <c r="O169" s="39"/>
      <c r="P169" s="39"/>
      <c r="Q169" s="39"/>
      <c r="R169" s="39"/>
      <c r="S169" s="39"/>
    </row>
    <row r="170" spans="1:19" x14ac:dyDescent="0.25">
      <c r="A170" s="39"/>
      <c r="B170" s="39"/>
      <c r="C170" s="39"/>
      <c r="D170" s="1"/>
      <c r="E170" s="1"/>
      <c r="F170" s="1"/>
      <c r="G170" s="1"/>
      <c r="H170" s="1"/>
      <c r="I170" s="1"/>
      <c r="J170" s="1"/>
      <c r="K170" s="1"/>
      <c r="L170" s="1"/>
      <c r="M170" s="39"/>
      <c r="N170" s="39"/>
      <c r="O170" s="39"/>
      <c r="P170" s="39"/>
      <c r="Q170" s="39"/>
      <c r="R170" s="39"/>
      <c r="S170" s="39"/>
    </row>
    <row r="171" spans="1:19" x14ac:dyDescent="0.25">
      <c r="A171" s="39"/>
      <c r="B171" s="39"/>
      <c r="C171" s="39"/>
      <c r="D171" s="1"/>
      <c r="E171" s="1"/>
      <c r="F171" s="1"/>
      <c r="G171" s="1"/>
      <c r="H171" s="1"/>
      <c r="I171" s="1"/>
      <c r="J171" s="1"/>
      <c r="K171" s="1"/>
      <c r="L171" s="1"/>
      <c r="M171" s="39"/>
      <c r="N171" s="39"/>
      <c r="O171" s="39"/>
      <c r="P171" s="39"/>
      <c r="Q171" s="39"/>
      <c r="R171" s="39"/>
      <c r="S171" s="39"/>
    </row>
    <row r="172" spans="1:19" x14ac:dyDescent="0.25">
      <c r="A172" s="39"/>
      <c r="B172" s="39"/>
      <c r="C172" s="39"/>
      <c r="D172" s="1"/>
      <c r="E172" s="1"/>
      <c r="F172" s="1"/>
      <c r="G172" s="1"/>
      <c r="H172" s="1"/>
      <c r="I172" s="1"/>
      <c r="J172" s="1"/>
      <c r="K172" s="1"/>
      <c r="L172" s="1"/>
      <c r="M172" s="39"/>
      <c r="N172" s="39"/>
      <c r="O172" s="39"/>
      <c r="P172" s="39"/>
      <c r="Q172" s="39"/>
      <c r="R172" s="39"/>
      <c r="S172" s="39"/>
    </row>
    <row r="173" spans="1:19" x14ac:dyDescent="0.25">
      <c r="A173" s="39"/>
      <c r="B173" s="39"/>
      <c r="C173" s="39"/>
      <c r="D173" s="1"/>
      <c r="E173" s="1"/>
      <c r="F173" s="1"/>
      <c r="G173" s="1"/>
      <c r="H173" s="1"/>
      <c r="I173" s="1"/>
      <c r="J173" s="1"/>
      <c r="K173" s="1"/>
      <c r="L173" s="1"/>
      <c r="M173" s="39"/>
      <c r="N173" s="39"/>
      <c r="O173" s="39"/>
      <c r="P173" s="39"/>
      <c r="Q173" s="39"/>
      <c r="R173" s="39"/>
      <c r="S173" s="39"/>
    </row>
    <row r="174" spans="1:19" x14ac:dyDescent="0.25">
      <c r="A174" s="39"/>
      <c r="B174" s="39"/>
      <c r="C174" s="39"/>
      <c r="D174" s="1"/>
      <c r="E174" s="1"/>
      <c r="F174" s="1"/>
      <c r="G174" s="1"/>
      <c r="H174" s="1"/>
      <c r="I174" s="1"/>
      <c r="J174" s="1"/>
      <c r="K174" s="1"/>
      <c r="L174" s="1"/>
      <c r="M174" s="39"/>
      <c r="N174" s="39"/>
      <c r="O174" s="39"/>
      <c r="P174" s="39"/>
      <c r="Q174" s="39"/>
      <c r="R174" s="39"/>
      <c r="S174" s="39"/>
    </row>
    <row r="175" spans="1:19" x14ac:dyDescent="0.25">
      <c r="A175" s="39"/>
      <c r="B175" s="39"/>
      <c r="C175" s="39"/>
      <c r="D175" s="1"/>
      <c r="E175" s="1"/>
      <c r="F175" s="1"/>
      <c r="G175" s="1"/>
      <c r="H175" s="1"/>
      <c r="I175" s="1"/>
      <c r="J175" s="1"/>
      <c r="K175" s="1"/>
      <c r="L175" s="1"/>
      <c r="M175" s="39"/>
      <c r="N175" s="39"/>
      <c r="O175" s="39"/>
      <c r="P175" s="39"/>
      <c r="Q175" s="39"/>
      <c r="R175" s="39"/>
      <c r="S175" s="39"/>
    </row>
    <row r="176" spans="1:19" x14ac:dyDescent="0.25">
      <c r="A176" s="39"/>
      <c r="B176" s="39"/>
      <c r="C176" s="39"/>
      <c r="D176" s="1"/>
      <c r="E176" s="1"/>
      <c r="F176" s="1"/>
      <c r="G176" s="1"/>
      <c r="H176" s="1"/>
      <c r="I176" s="1"/>
      <c r="J176" s="1"/>
      <c r="K176" s="1"/>
      <c r="L176" s="1"/>
      <c r="M176" s="39"/>
      <c r="N176" s="39"/>
      <c r="O176" s="39"/>
      <c r="P176" s="39"/>
      <c r="Q176" s="39"/>
      <c r="R176" s="39"/>
      <c r="S176" s="39"/>
    </row>
    <row r="177" spans="1:19" x14ac:dyDescent="0.25">
      <c r="A177" s="39"/>
      <c r="B177" s="39"/>
      <c r="C177" s="39"/>
      <c r="D177" s="1"/>
      <c r="E177" s="1"/>
      <c r="F177" s="1"/>
      <c r="G177" s="1"/>
      <c r="H177" s="1"/>
      <c r="I177" s="1"/>
      <c r="J177" s="1"/>
      <c r="K177" s="1"/>
      <c r="L177" s="1"/>
      <c r="M177" s="39"/>
      <c r="N177" s="39"/>
      <c r="O177" s="39"/>
      <c r="P177" s="39"/>
      <c r="Q177" s="39"/>
      <c r="R177" s="39"/>
      <c r="S177" s="39"/>
    </row>
    <row r="178" spans="1:19" x14ac:dyDescent="0.25">
      <c r="A178" s="39"/>
      <c r="B178" s="39"/>
      <c r="C178" s="39"/>
      <c r="D178" s="1"/>
      <c r="E178" s="1"/>
      <c r="F178" s="1"/>
      <c r="G178" s="1"/>
      <c r="H178" s="1"/>
      <c r="I178" s="1"/>
      <c r="J178" s="1"/>
      <c r="K178" s="1"/>
      <c r="L178" s="1"/>
      <c r="M178" s="39"/>
      <c r="N178" s="39"/>
      <c r="O178" s="39"/>
      <c r="P178" s="39"/>
      <c r="Q178" s="39"/>
      <c r="R178" s="39"/>
      <c r="S178" s="39"/>
    </row>
    <row r="179" spans="1:19" x14ac:dyDescent="0.25">
      <c r="A179" s="39"/>
      <c r="B179" s="39"/>
      <c r="C179" s="39"/>
      <c r="D179" s="1"/>
      <c r="E179" s="1"/>
      <c r="F179" s="1"/>
      <c r="G179" s="1"/>
      <c r="H179" s="1"/>
      <c r="I179" s="1"/>
      <c r="J179" s="1"/>
      <c r="K179" s="1"/>
      <c r="L179" s="1"/>
      <c r="M179" s="39"/>
      <c r="N179" s="39"/>
      <c r="O179" s="39"/>
      <c r="P179" s="39"/>
      <c r="Q179" s="39"/>
      <c r="R179" s="39"/>
      <c r="S179" s="39"/>
    </row>
    <row r="180" spans="1:19" x14ac:dyDescent="0.25">
      <c r="A180" s="39"/>
      <c r="B180" s="39"/>
      <c r="C180" s="39"/>
      <c r="D180" s="1"/>
      <c r="E180" s="1"/>
      <c r="F180" s="1"/>
      <c r="G180" s="1"/>
      <c r="H180" s="1"/>
      <c r="I180" s="1"/>
      <c r="J180" s="1"/>
      <c r="K180" s="1"/>
      <c r="L180" s="1"/>
      <c r="M180" s="39"/>
      <c r="N180" s="39"/>
      <c r="O180" s="39"/>
      <c r="P180" s="39"/>
      <c r="Q180" s="39"/>
      <c r="R180" s="39"/>
      <c r="S180" s="39"/>
    </row>
    <row r="181" spans="1:19" x14ac:dyDescent="0.25">
      <c r="A181" s="39"/>
      <c r="B181" s="39"/>
      <c r="C181" s="39"/>
      <c r="D181" s="1"/>
      <c r="E181" s="1"/>
      <c r="F181" s="1"/>
      <c r="G181" s="1"/>
      <c r="H181" s="1"/>
      <c r="I181" s="1"/>
      <c r="J181" s="1"/>
      <c r="K181" s="1"/>
      <c r="L181" s="1"/>
      <c r="M181" s="39"/>
      <c r="N181" s="39"/>
      <c r="O181" s="39"/>
      <c r="P181" s="39"/>
      <c r="Q181" s="39"/>
      <c r="R181" s="39"/>
      <c r="S181" s="39"/>
    </row>
    <row r="182" spans="1:19" x14ac:dyDescent="0.25">
      <c r="A182" s="39"/>
      <c r="B182" s="39"/>
      <c r="C182" s="39"/>
      <c r="D182" s="1"/>
      <c r="E182" s="1"/>
      <c r="F182" s="1"/>
      <c r="G182" s="1"/>
      <c r="H182" s="1"/>
      <c r="I182" s="1"/>
      <c r="J182" s="1"/>
      <c r="K182" s="1"/>
      <c r="L182" s="1"/>
      <c r="M182" s="39"/>
      <c r="N182" s="39"/>
      <c r="O182" s="39"/>
      <c r="P182" s="39"/>
      <c r="Q182" s="39"/>
      <c r="R182" s="39"/>
      <c r="S182" s="39"/>
    </row>
    <row r="183" spans="1:19" x14ac:dyDescent="0.25">
      <c r="A183" s="39"/>
      <c r="B183" s="39"/>
      <c r="C183" s="39"/>
      <c r="D183" s="1"/>
      <c r="E183" s="1"/>
      <c r="F183" s="1"/>
      <c r="G183" s="1"/>
      <c r="H183" s="1"/>
      <c r="I183" s="1"/>
      <c r="J183" s="1"/>
      <c r="K183" s="1"/>
      <c r="L183" s="1"/>
      <c r="M183" s="39"/>
      <c r="N183" s="39"/>
      <c r="O183" s="39"/>
      <c r="P183" s="39"/>
      <c r="Q183" s="39"/>
      <c r="R183" s="39"/>
      <c r="S183" s="39"/>
    </row>
    <row r="184" spans="1:19" x14ac:dyDescent="0.25">
      <c r="A184" s="39"/>
      <c r="B184" s="39"/>
      <c r="C184" s="39"/>
      <c r="D184" s="1"/>
      <c r="E184" s="1"/>
      <c r="F184" s="1"/>
      <c r="G184" s="1"/>
      <c r="H184" s="1"/>
      <c r="I184" s="1"/>
      <c r="J184" s="1"/>
      <c r="K184" s="1"/>
      <c r="L184" s="1"/>
      <c r="M184" s="39"/>
      <c r="N184" s="39"/>
      <c r="O184" s="39"/>
      <c r="P184" s="39"/>
      <c r="Q184" s="39"/>
      <c r="R184" s="39"/>
      <c r="S184" s="39"/>
    </row>
    <row r="185" spans="1:19" x14ac:dyDescent="0.25">
      <c r="A185" s="39"/>
      <c r="B185" s="39"/>
      <c r="C185" s="39"/>
      <c r="D185" s="1"/>
      <c r="E185" s="1"/>
      <c r="F185" s="1"/>
      <c r="G185" s="1"/>
      <c r="H185" s="1"/>
      <c r="I185" s="1"/>
      <c r="J185" s="1"/>
      <c r="K185" s="1"/>
      <c r="L185" s="1"/>
      <c r="M185" s="39"/>
      <c r="N185" s="39"/>
      <c r="O185" s="39"/>
      <c r="P185" s="39"/>
      <c r="Q185" s="39"/>
      <c r="R185" s="39"/>
      <c r="S185" s="39"/>
    </row>
    <row r="186" spans="1:19" x14ac:dyDescent="0.25">
      <c r="A186" s="39"/>
      <c r="B186" s="39"/>
      <c r="C186" s="39"/>
      <c r="D186" s="1"/>
      <c r="E186" s="1"/>
      <c r="F186" s="1"/>
      <c r="G186" s="1"/>
      <c r="H186" s="1"/>
      <c r="I186" s="1"/>
      <c r="J186" s="1"/>
      <c r="K186" s="1"/>
      <c r="L186" s="1"/>
      <c r="M186" s="39"/>
      <c r="N186" s="39"/>
      <c r="O186" s="39"/>
      <c r="P186" s="39"/>
      <c r="Q186" s="39"/>
      <c r="R186" s="39"/>
      <c r="S186" s="39"/>
    </row>
    <row r="187" spans="1:19" x14ac:dyDescent="0.25">
      <c r="A187" s="39"/>
      <c r="B187" s="39"/>
      <c r="C187" s="39"/>
      <c r="D187" s="1"/>
      <c r="E187" s="1"/>
      <c r="F187" s="1"/>
      <c r="G187" s="1"/>
      <c r="H187" s="1"/>
      <c r="I187" s="1"/>
      <c r="J187" s="1"/>
      <c r="K187" s="1"/>
      <c r="L187" s="1"/>
      <c r="M187" s="39"/>
      <c r="N187" s="39"/>
      <c r="O187" s="39"/>
      <c r="P187" s="39"/>
      <c r="Q187" s="39"/>
      <c r="R187" s="39"/>
      <c r="S187" s="39"/>
    </row>
    <row r="188" spans="1:19" x14ac:dyDescent="0.25">
      <c r="A188" s="39"/>
      <c r="B188" s="39"/>
      <c r="C188" s="39"/>
      <c r="D188" s="1"/>
      <c r="E188" s="1"/>
      <c r="F188" s="1"/>
      <c r="G188" s="1"/>
      <c r="H188" s="1"/>
      <c r="I188" s="1"/>
      <c r="J188" s="1"/>
      <c r="K188" s="1"/>
      <c r="L188" s="1"/>
      <c r="M188" s="39"/>
      <c r="N188" s="39"/>
      <c r="O188" s="39"/>
      <c r="P188" s="39"/>
      <c r="Q188" s="39"/>
      <c r="R188" s="39"/>
      <c r="S188" s="39"/>
    </row>
    <row r="189" spans="1:19" x14ac:dyDescent="0.25">
      <c r="A189" s="39"/>
      <c r="B189" s="39"/>
      <c r="C189" s="39"/>
      <c r="D189" s="1"/>
      <c r="E189" s="1"/>
      <c r="F189" s="1"/>
      <c r="G189" s="1"/>
      <c r="H189" s="1"/>
      <c r="I189" s="1"/>
      <c r="J189" s="1"/>
      <c r="K189" s="1"/>
      <c r="L189" s="1"/>
      <c r="M189" s="39"/>
      <c r="N189" s="39"/>
      <c r="O189" s="39"/>
      <c r="P189" s="39"/>
      <c r="Q189" s="39"/>
      <c r="R189" s="39"/>
      <c r="S189" s="39"/>
    </row>
    <row r="190" spans="1:19" x14ac:dyDescent="0.25">
      <c r="A190" s="39"/>
      <c r="B190" s="39"/>
      <c r="C190" s="39"/>
      <c r="D190" s="1"/>
      <c r="E190" s="1"/>
      <c r="F190" s="1"/>
      <c r="G190" s="1"/>
      <c r="H190" s="1"/>
      <c r="I190" s="1"/>
      <c r="J190" s="1"/>
      <c r="K190" s="1"/>
      <c r="L190" s="1"/>
      <c r="M190" s="39"/>
      <c r="N190" s="39"/>
      <c r="O190" s="39"/>
      <c r="P190" s="39"/>
      <c r="Q190" s="39"/>
      <c r="R190" s="39"/>
      <c r="S190" s="39"/>
    </row>
    <row r="191" spans="1:19" x14ac:dyDescent="0.25">
      <c r="A191" s="39"/>
      <c r="B191" s="39"/>
      <c r="C191" s="39"/>
      <c r="D191" s="1"/>
      <c r="E191" s="1"/>
      <c r="F191" s="1"/>
      <c r="G191" s="1"/>
      <c r="H191" s="1"/>
      <c r="I191" s="1"/>
      <c r="J191" s="1"/>
      <c r="K191" s="1"/>
      <c r="L191" s="1"/>
      <c r="M191" s="39"/>
      <c r="N191" s="39"/>
      <c r="O191" s="39"/>
      <c r="P191" s="39"/>
      <c r="Q191" s="39"/>
      <c r="R191" s="39"/>
      <c r="S191" s="39"/>
    </row>
    <row r="192" spans="1:19" x14ac:dyDescent="0.25">
      <c r="A192" s="39"/>
      <c r="B192" s="39"/>
      <c r="C192" s="39"/>
      <c r="D192" s="1"/>
      <c r="E192" s="1"/>
      <c r="F192" s="1"/>
      <c r="G192" s="1"/>
      <c r="H192" s="1"/>
      <c r="I192" s="1"/>
      <c r="J192" s="1"/>
      <c r="K192" s="1"/>
      <c r="L192" s="1"/>
      <c r="M192" s="39"/>
      <c r="N192" s="39"/>
      <c r="O192" s="39"/>
      <c r="P192" s="39"/>
      <c r="Q192" s="39"/>
      <c r="R192" s="39"/>
      <c r="S192" s="39"/>
    </row>
    <row r="193" spans="1:19" x14ac:dyDescent="0.25">
      <c r="A193" s="39"/>
      <c r="B193" s="39"/>
      <c r="C193" s="39"/>
      <c r="D193" s="1"/>
      <c r="E193" s="1"/>
      <c r="F193" s="1"/>
      <c r="G193" s="1"/>
      <c r="H193" s="1"/>
      <c r="I193" s="1"/>
      <c r="J193" s="1"/>
      <c r="K193" s="1"/>
      <c r="L193" s="1"/>
      <c r="M193" s="39"/>
      <c r="N193" s="39"/>
      <c r="O193" s="39"/>
      <c r="P193" s="39"/>
      <c r="Q193" s="39"/>
      <c r="R193" s="39"/>
      <c r="S193" s="39"/>
    </row>
    <row r="194" spans="1:19" x14ac:dyDescent="0.25">
      <c r="A194" s="39"/>
      <c r="B194" s="39"/>
      <c r="C194" s="39"/>
      <c r="D194" s="1"/>
      <c r="E194" s="1"/>
      <c r="F194" s="1"/>
      <c r="G194" s="1"/>
      <c r="H194" s="1"/>
      <c r="I194" s="1"/>
      <c r="J194" s="1"/>
      <c r="K194" s="1"/>
      <c r="L194" s="1"/>
      <c r="M194" s="39"/>
      <c r="N194" s="39"/>
      <c r="O194" s="39"/>
      <c r="P194" s="39"/>
      <c r="Q194" s="39"/>
      <c r="R194" s="39"/>
      <c r="S194" s="39"/>
    </row>
    <row r="195" spans="1:19" x14ac:dyDescent="0.25">
      <c r="A195" s="39"/>
      <c r="B195" s="39"/>
      <c r="C195" s="39"/>
      <c r="D195" s="1"/>
      <c r="E195" s="1"/>
      <c r="F195" s="1"/>
      <c r="G195" s="1"/>
      <c r="H195" s="1"/>
      <c r="I195" s="1"/>
      <c r="J195" s="1"/>
      <c r="K195" s="1"/>
      <c r="L195" s="1"/>
      <c r="M195" s="39"/>
      <c r="N195" s="39"/>
      <c r="O195" s="39"/>
      <c r="P195" s="39"/>
      <c r="Q195" s="39"/>
      <c r="R195" s="39"/>
      <c r="S195" s="39"/>
    </row>
    <row r="196" spans="1:19" x14ac:dyDescent="0.25">
      <c r="A196" s="39"/>
      <c r="B196" s="39"/>
      <c r="C196" s="39"/>
      <c r="D196" s="1"/>
      <c r="E196" s="1"/>
      <c r="F196" s="1"/>
      <c r="G196" s="1"/>
      <c r="H196" s="1"/>
      <c r="I196" s="1"/>
      <c r="J196" s="1"/>
      <c r="K196" s="1"/>
      <c r="L196" s="1"/>
      <c r="M196" s="39"/>
      <c r="N196" s="39"/>
      <c r="O196" s="39"/>
      <c r="P196" s="39"/>
      <c r="Q196" s="39"/>
      <c r="R196" s="39"/>
      <c r="S196" s="39"/>
    </row>
    <row r="197" spans="1:19" x14ac:dyDescent="0.25">
      <c r="A197" s="39"/>
      <c r="B197" s="39"/>
      <c r="C197" s="39"/>
      <c r="D197" s="1"/>
      <c r="E197" s="1"/>
      <c r="F197" s="1"/>
      <c r="G197" s="1"/>
      <c r="H197" s="1"/>
      <c r="I197" s="1"/>
      <c r="J197" s="1"/>
      <c r="K197" s="1"/>
      <c r="L197" s="1"/>
      <c r="M197" s="39"/>
      <c r="N197" s="39"/>
      <c r="O197" s="39"/>
      <c r="P197" s="39"/>
      <c r="Q197" s="39"/>
      <c r="R197" s="39"/>
      <c r="S197" s="39"/>
    </row>
    <row r="198" spans="1:19" x14ac:dyDescent="0.25">
      <c r="A198" s="39"/>
      <c r="B198" s="39"/>
      <c r="C198" s="39"/>
      <c r="D198" s="1"/>
      <c r="E198" s="1"/>
      <c r="F198" s="1"/>
      <c r="G198" s="1"/>
      <c r="H198" s="1"/>
      <c r="I198" s="1"/>
      <c r="J198" s="1"/>
      <c r="K198" s="1"/>
      <c r="L198" s="1"/>
      <c r="M198" s="39"/>
      <c r="N198" s="39"/>
      <c r="O198" s="39"/>
      <c r="P198" s="39"/>
      <c r="Q198" s="39"/>
      <c r="R198" s="39"/>
      <c r="S198" s="39"/>
    </row>
    <row r="199" spans="1:19" x14ac:dyDescent="0.25">
      <c r="A199" s="39"/>
      <c r="B199" s="39"/>
      <c r="C199" s="39"/>
      <c r="D199" s="1"/>
      <c r="E199" s="1"/>
      <c r="F199" s="1"/>
      <c r="G199" s="1"/>
      <c r="H199" s="1"/>
      <c r="I199" s="1"/>
      <c r="J199" s="1"/>
      <c r="K199" s="1"/>
      <c r="L199" s="1"/>
      <c r="M199" s="39"/>
      <c r="N199" s="39"/>
      <c r="O199" s="39"/>
      <c r="P199" s="39"/>
      <c r="Q199" s="39"/>
      <c r="R199" s="39"/>
      <c r="S199" s="39"/>
    </row>
    <row r="200" spans="1:19" x14ac:dyDescent="0.25">
      <c r="A200" s="39"/>
      <c r="B200" s="39"/>
      <c r="C200" s="39"/>
      <c r="D200" s="1"/>
      <c r="E200" s="1"/>
      <c r="F200" s="1"/>
      <c r="G200" s="1"/>
      <c r="H200" s="1"/>
      <c r="I200" s="1"/>
      <c r="J200" s="1"/>
      <c r="K200" s="1"/>
      <c r="L200" s="1"/>
      <c r="M200" s="39"/>
      <c r="N200" s="39"/>
      <c r="O200" s="39"/>
      <c r="P200" s="39"/>
      <c r="Q200" s="39"/>
      <c r="R200" s="39"/>
      <c r="S200" s="39"/>
    </row>
    <row r="201" spans="1:19" x14ac:dyDescent="0.25">
      <c r="A201" s="39"/>
      <c r="B201" s="39"/>
      <c r="C201" s="39"/>
      <c r="D201" s="1"/>
      <c r="E201" s="1"/>
      <c r="F201" s="1"/>
      <c r="G201" s="1"/>
      <c r="H201" s="1"/>
      <c r="I201" s="1"/>
      <c r="J201" s="1"/>
      <c r="K201" s="1"/>
      <c r="L201" s="1"/>
      <c r="M201" s="39"/>
      <c r="N201" s="39"/>
      <c r="O201" s="39"/>
      <c r="P201" s="39"/>
      <c r="Q201" s="39"/>
      <c r="R201" s="39"/>
      <c r="S201" s="39"/>
    </row>
    <row r="202" spans="1:19" x14ac:dyDescent="0.25">
      <c r="A202" s="39"/>
      <c r="B202" s="39"/>
      <c r="C202" s="39"/>
      <c r="D202" s="1"/>
      <c r="E202" s="1"/>
      <c r="F202" s="1"/>
      <c r="G202" s="1"/>
      <c r="H202" s="1"/>
      <c r="I202" s="1"/>
      <c r="J202" s="1"/>
      <c r="K202" s="1"/>
      <c r="L202" s="1"/>
      <c r="M202" s="39"/>
      <c r="N202" s="39"/>
      <c r="O202" s="39"/>
      <c r="P202" s="39"/>
      <c r="Q202" s="39"/>
      <c r="R202" s="39"/>
      <c r="S202" s="39"/>
    </row>
    <row r="203" spans="1:19" x14ac:dyDescent="0.25">
      <c r="A203" s="39"/>
      <c r="B203" s="39"/>
      <c r="C203" s="39"/>
      <c r="D203" s="1"/>
      <c r="E203" s="1"/>
      <c r="F203" s="1"/>
      <c r="G203" s="1"/>
      <c r="H203" s="1"/>
      <c r="I203" s="1"/>
      <c r="J203" s="1"/>
      <c r="K203" s="1"/>
      <c r="L203" s="1"/>
      <c r="M203" s="39"/>
      <c r="N203" s="39"/>
      <c r="O203" s="39"/>
      <c r="P203" s="39"/>
      <c r="Q203" s="39"/>
      <c r="R203" s="39"/>
      <c r="S203" s="39"/>
    </row>
    <row r="204" spans="1:19" x14ac:dyDescent="0.25">
      <c r="A204" s="39"/>
      <c r="B204" s="39"/>
      <c r="C204" s="39"/>
      <c r="D204" s="1"/>
      <c r="E204" s="1"/>
      <c r="F204" s="1"/>
      <c r="G204" s="1"/>
      <c r="H204" s="1"/>
      <c r="I204" s="1"/>
      <c r="J204" s="1"/>
      <c r="K204" s="1"/>
      <c r="L204" s="1"/>
      <c r="M204" s="39"/>
      <c r="N204" s="39"/>
      <c r="O204" s="39"/>
      <c r="P204" s="39"/>
      <c r="Q204" s="39"/>
      <c r="R204" s="39"/>
      <c r="S204" s="39"/>
    </row>
    <row r="205" spans="1:19" x14ac:dyDescent="0.25">
      <c r="A205" s="39"/>
      <c r="B205" s="39"/>
      <c r="C205" s="39"/>
      <c r="D205" s="1"/>
      <c r="E205" s="1"/>
      <c r="F205" s="1"/>
      <c r="G205" s="1"/>
      <c r="H205" s="1"/>
      <c r="I205" s="1"/>
      <c r="J205" s="1"/>
      <c r="K205" s="1"/>
      <c r="L205" s="1"/>
      <c r="M205" s="39"/>
      <c r="N205" s="39"/>
      <c r="O205" s="39"/>
      <c r="P205" s="39"/>
      <c r="Q205" s="39"/>
      <c r="R205" s="39"/>
      <c r="S205" s="39"/>
    </row>
    <row r="206" spans="1:19" x14ac:dyDescent="0.25">
      <c r="A206" s="39"/>
      <c r="B206" s="39"/>
      <c r="C206" s="39"/>
      <c r="D206" s="1"/>
      <c r="E206" s="1"/>
      <c r="F206" s="1"/>
      <c r="G206" s="1"/>
      <c r="H206" s="1"/>
      <c r="I206" s="1"/>
      <c r="J206" s="1"/>
      <c r="K206" s="1"/>
      <c r="L206" s="1"/>
      <c r="M206" s="39"/>
      <c r="N206" s="39"/>
      <c r="O206" s="39"/>
      <c r="P206" s="39"/>
      <c r="Q206" s="39"/>
      <c r="R206" s="39"/>
      <c r="S206" s="39"/>
    </row>
    <row r="207" spans="1:19" x14ac:dyDescent="0.25">
      <c r="A207" s="39"/>
      <c r="B207" s="39"/>
      <c r="C207" s="39"/>
      <c r="D207" s="1"/>
      <c r="E207" s="1"/>
      <c r="F207" s="1"/>
      <c r="G207" s="1"/>
      <c r="H207" s="1"/>
      <c r="I207" s="1"/>
      <c r="J207" s="1"/>
      <c r="K207" s="1"/>
      <c r="L207" s="1"/>
      <c r="M207" s="39"/>
      <c r="N207" s="39"/>
      <c r="O207" s="39"/>
      <c r="P207" s="39"/>
      <c r="Q207" s="39"/>
      <c r="R207" s="39"/>
      <c r="S207" s="39"/>
    </row>
    <row r="208" spans="1:19" x14ac:dyDescent="0.25">
      <c r="A208" s="39"/>
      <c r="B208" s="39"/>
      <c r="C208" s="39"/>
      <c r="D208" s="1"/>
      <c r="E208" s="1"/>
      <c r="F208" s="1"/>
      <c r="G208" s="1"/>
      <c r="H208" s="1"/>
      <c r="I208" s="1"/>
      <c r="J208" s="1"/>
      <c r="K208" s="1"/>
      <c r="L208" s="1"/>
      <c r="M208" s="39"/>
      <c r="N208" s="39"/>
      <c r="O208" s="39"/>
      <c r="P208" s="39"/>
      <c r="Q208" s="39"/>
      <c r="R208" s="39"/>
      <c r="S208" s="39"/>
    </row>
    <row r="209" spans="1:19" x14ac:dyDescent="0.25">
      <c r="A209" s="39"/>
      <c r="B209" s="39"/>
      <c r="C209" s="39"/>
      <c r="D209" s="1"/>
      <c r="E209" s="1"/>
      <c r="F209" s="1"/>
      <c r="G209" s="1"/>
      <c r="H209" s="1"/>
      <c r="I209" s="1"/>
      <c r="J209" s="1"/>
      <c r="K209" s="1"/>
      <c r="L209" s="1"/>
      <c r="M209" s="39"/>
      <c r="N209" s="39"/>
      <c r="O209" s="39"/>
      <c r="P209" s="39"/>
      <c r="Q209" s="39"/>
      <c r="R209" s="39"/>
      <c r="S209" s="39"/>
    </row>
    <row r="210" spans="1:19" x14ac:dyDescent="0.25">
      <c r="A210" s="39"/>
      <c r="B210" s="39"/>
      <c r="C210" s="39"/>
      <c r="D210" s="1"/>
      <c r="E210" s="1"/>
      <c r="F210" s="1"/>
      <c r="G210" s="1"/>
      <c r="H210" s="1"/>
      <c r="I210" s="1"/>
      <c r="J210" s="1"/>
      <c r="K210" s="1"/>
      <c r="L210" s="1"/>
      <c r="M210" s="39"/>
      <c r="N210" s="39"/>
      <c r="O210" s="39"/>
      <c r="P210" s="39"/>
      <c r="Q210" s="39"/>
      <c r="R210" s="39"/>
      <c r="S210" s="39"/>
    </row>
    <row r="211" spans="1:19" x14ac:dyDescent="0.25">
      <c r="A211" s="39"/>
      <c r="B211" s="39"/>
      <c r="C211" s="39"/>
      <c r="D211" s="1"/>
      <c r="E211" s="1"/>
      <c r="F211" s="1"/>
      <c r="G211" s="1"/>
      <c r="H211" s="1"/>
      <c r="I211" s="1"/>
      <c r="J211" s="1"/>
      <c r="K211" s="1"/>
      <c r="L211" s="1"/>
      <c r="M211" s="39"/>
      <c r="N211" s="39"/>
      <c r="O211" s="39"/>
      <c r="P211" s="39"/>
      <c r="Q211" s="39"/>
      <c r="R211" s="39"/>
      <c r="S211" s="39"/>
    </row>
    <row r="212" spans="1:19" x14ac:dyDescent="0.25">
      <c r="A212" s="39"/>
      <c r="B212" s="39"/>
      <c r="C212" s="39"/>
      <c r="D212" s="1"/>
      <c r="E212" s="1"/>
      <c r="F212" s="1"/>
      <c r="G212" s="1"/>
      <c r="H212" s="1"/>
      <c r="I212" s="1"/>
      <c r="J212" s="1"/>
      <c r="K212" s="1"/>
      <c r="L212" s="1"/>
      <c r="M212" s="39"/>
      <c r="N212" s="39"/>
      <c r="O212" s="39"/>
      <c r="P212" s="39"/>
      <c r="Q212" s="39"/>
      <c r="R212" s="39"/>
      <c r="S212" s="39"/>
    </row>
    <row r="213" spans="1:19" x14ac:dyDescent="0.25">
      <c r="A213" s="39"/>
      <c r="B213" s="39"/>
      <c r="C213" s="39"/>
      <c r="D213" s="1"/>
      <c r="E213" s="1"/>
      <c r="F213" s="1"/>
      <c r="G213" s="1"/>
      <c r="H213" s="1"/>
      <c r="I213" s="1"/>
      <c r="J213" s="1"/>
      <c r="K213" s="1"/>
      <c r="L213" s="1"/>
      <c r="M213" s="39"/>
      <c r="N213" s="39"/>
      <c r="O213" s="39"/>
      <c r="P213" s="39"/>
      <c r="Q213" s="39"/>
      <c r="R213" s="39"/>
      <c r="S213" s="39"/>
    </row>
    <row r="214" spans="1:19" x14ac:dyDescent="0.25">
      <c r="A214" s="39"/>
      <c r="B214" s="39"/>
      <c r="C214" s="39"/>
      <c r="D214" s="1"/>
      <c r="E214" s="1"/>
      <c r="F214" s="1"/>
      <c r="G214" s="1"/>
      <c r="H214" s="1"/>
      <c r="I214" s="1"/>
      <c r="J214" s="1"/>
      <c r="K214" s="1"/>
      <c r="L214" s="1"/>
      <c r="M214" s="39"/>
      <c r="N214" s="39"/>
      <c r="O214" s="39"/>
      <c r="P214" s="39"/>
      <c r="Q214" s="39"/>
      <c r="R214" s="39"/>
      <c r="S214" s="39"/>
    </row>
    <row r="215" spans="1:19" x14ac:dyDescent="0.25">
      <c r="A215" s="39"/>
      <c r="B215" s="39"/>
      <c r="C215" s="39"/>
      <c r="D215" s="1"/>
      <c r="E215" s="1"/>
      <c r="F215" s="1"/>
      <c r="G215" s="1"/>
      <c r="H215" s="1"/>
      <c r="I215" s="1"/>
      <c r="J215" s="1"/>
      <c r="K215" s="1"/>
      <c r="L215" s="1"/>
      <c r="M215" s="39"/>
      <c r="N215" s="39"/>
      <c r="O215" s="39"/>
      <c r="P215" s="39"/>
      <c r="Q215" s="39"/>
      <c r="R215" s="39"/>
      <c r="S215" s="39"/>
    </row>
    <row r="216" spans="1:19" x14ac:dyDescent="0.25">
      <c r="A216" s="39"/>
      <c r="B216" s="39"/>
      <c r="C216" s="39"/>
      <c r="D216" s="1"/>
      <c r="E216" s="1"/>
      <c r="F216" s="1"/>
      <c r="G216" s="1"/>
      <c r="H216" s="1"/>
      <c r="I216" s="1"/>
      <c r="J216" s="1"/>
      <c r="K216" s="1"/>
      <c r="L216" s="1"/>
      <c r="M216" s="39"/>
      <c r="N216" s="39"/>
      <c r="O216" s="39"/>
      <c r="P216" s="39"/>
      <c r="Q216" s="39"/>
      <c r="R216" s="39"/>
      <c r="S216" s="39"/>
    </row>
    <row r="217" spans="1:19" x14ac:dyDescent="0.25">
      <c r="A217" s="39"/>
      <c r="B217" s="39"/>
      <c r="C217" s="39"/>
      <c r="D217" s="1"/>
      <c r="E217" s="1"/>
      <c r="F217" s="1"/>
      <c r="G217" s="1"/>
      <c r="H217" s="1"/>
      <c r="I217" s="1"/>
      <c r="J217" s="1"/>
      <c r="K217" s="1"/>
      <c r="L217" s="1"/>
      <c r="M217" s="39"/>
      <c r="N217" s="39"/>
      <c r="O217" s="39"/>
      <c r="P217" s="39"/>
      <c r="Q217" s="39"/>
      <c r="R217" s="39"/>
      <c r="S217" s="39"/>
    </row>
    <row r="218" spans="1:19" x14ac:dyDescent="0.25">
      <c r="A218" s="39"/>
      <c r="B218" s="39"/>
      <c r="C218" s="39"/>
      <c r="D218" s="1"/>
      <c r="E218" s="1"/>
      <c r="F218" s="1"/>
      <c r="G218" s="1"/>
      <c r="H218" s="1"/>
      <c r="I218" s="1"/>
      <c r="J218" s="1"/>
      <c r="K218" s="1"/>
      <c r="L218" s="1"/>
      <c r="M218" s="39"/>
      <c r="N218" s="39"/>
      <c r="O218" s="39"/>
      <c r="P218" s="39"/>
      <c r="Q218" s="39"/>
      <c r="R218" s="39"/>
      <c r="S218" s="39"/>
    </row>
    <row r="219" spans="1:19" x14ac:dyDescent="0.25">
      <c r="A219" s="39"/>
      <c r="B219" s="39"/>
      <c r="C219" s="39"/>
      <c r="D219" s="1"/>
      <c r="E219" s="1"/>
      <c r="F219" s="1"/>
      <c r="G219" s="1"/>
      <c r="H219" s="1"/>
      <c r="I219" s="1"/>
      <c r="J219" s="1"/>
      <c r="K219" s="1"/>
      <c r="L219" s="1"/>
      <c r="M219" s="39"/>
      <c r="N219" s="39"/>
      <c r="O219" s="39"/>
      <c r="P219" s="39"/>
      <c r="Q219" s="39"/>
      <c r="R219" s="39"/>
      <c r="S219" s="39"/>
    </row>
    <row r="220" spans="1:19" x14ac:dyDescent="0.25">
      <c r="A220" s="39"/>
      <c r="B220" s="39"/>
      <c r="C220" s="39"/>
      <c r="D220" s="1"/>
      <c r="E220" s="1"/>
      <c r="F220" s="1"/>
      <c r="G220" s="1"/>
      <c r="H220" s="1"/>
      <c r="I220" s="1"/>
      <c r="J220" s="1"/>
      <c r="K220" s="1"/>
      <c r="L220" s="1"/>
      <c r="M220" s="39"/>
      <c r="N220" s="39"/>
      <c r="O220" s="39"/>
      <c r="P220" s="39"/>
      <c r="Q220" s="39"/>
      <c r="R220" s="39"/>
      <c r="S220" s="39"/>
    </row>
    <row r="221" spans="1:19" x14ac:dyDescent="0.25">
      <c r="A221" s="39"/>
      <c r="B221" s="39"/>
      <c r="C221" s="39"/>
      <c r="D221" s="1"/>
      <c r="E221" s="1"/>
      <c r="F221" s="1"/>
      <c r="G221" s="1"/>
      <c r="H221" s="1"/>
      <c r="I221" s="1"/>
      <c r="J221" s="1"/>
      <c r="K221" s="1"/>
      <c r="L221" s="1"/>
      <c r="M221" s="39"/>
      <c r="N221" s="39"/>
      <c r="O221" s="39"/>
      <c r="P221" s="39"/>
      <c r="Q221" s="39"/>
      <c r="R221" s="39"/>
      <c r="S221" s="39"/>
    </row>
    <row r="222" spans="1:19" x14ac:dyDescent="0.25">
      <c r="A222" s="39"/>
      <c r="B222" s="39"/>
      <c r="C222" s="39"/>
      <c r="D222" s="1"/>
      <c r="E222" s="1"/>
      <c r="F222" s="1"/>
      <c r="G222" s="1"/>
      <c r="H222" s="1"/>
      <c r="I222" s="1"/>
      <c r="J222" s="1"/>
      <c r="K222" s="1"/>
      <c r="L222" s="1"/>
      <c r="M222" s="39"/>
      <c r="N222" s="39"/>
      <c r="O222" s="39"/>
      <c r="P222" s="39"/>
      <c r="Q222" s="39"/>
      <c r="R222" s="39"/>
      <c r="S222" s="39"/>
    </row>
    <row r="223" spans="1:19" x14ac:dyDescent="0.25">
      <c r="A223" s="39"/>
      <c r="B223" s="39"/>
      <c r="C223" s="39"/>
      <c r="D223" s="1"/>
      <c r="E223" s="1"/>
      <c r="F223" s="1"/>
      <c r="G223" s="1"/>
      <c r="H223" s="1"/>
      <c r="I223" s="1"/>
      <c r="J223" s="1"/>
      <c r="K223" s="1"/>
      <c r="L223" s="1"/>
      <c r="M223" s="39"/>
      <c r="N223" s="39"/>
      <c r="O223" s="39"/>
      <c r="P223" s="39"/>
      <c r="Q223" s="39"/>
      <c r="R223" s="39"/>
      <c r="S223" s="39"/>
    </row>
    <row r="224" spans="1:19" x14ac:dyDescent="0.25">
      <c r="A224" s="39"/>
      <c r="B224" s="39"/>
      <c r="C224" s="39"/>
      <c r="D224" s="1"/>
      <c r="E224" s="1"/>
      <c r="F224" s="1"/>
      <c r="G224" s="1"/>
      <c r="H224" s="1"/>
      <c r="I224" s="1"/>
      <c r="J224" s="1"/>
      <c r="K224" s="1"/>
      <c r="L224" s="1"/>
      <c r="M224" s="39"/>
      <c r="N224" s="39"/>
      <c r="O224" s="39"/>
      <c r="P224" s="39"/>
      <c r="Q224" s="39"/>
      <c r="R224" s="39"/>
      <c r="S224" s="39"/>
    </row>
    <row r="225" spans="1:19" x14ac:dyDescent="0.25">
      <c r="A225" s="39"/>
      <c r="B225" s="39"/>
      <c r="C225" s="39"/>
      <c r="D225" s="1"/>
      <c r="E225" s="1"/>
      <c r="F225" s="1"/>
      <c r="G225" s="1"/>
      <c r="H225" s="1"/>
      <c r="I225" s="1"/>
      <c r="J225" s="1"/>
      <c r="K225" s="1"/>
      <c r="L225" s="1"/>
      <c r="M225" s="39"/>
      <c r="N225" s="39"/>
      <c r="O225" s="39"/>
      <c r="P225" s="39"/>
      <c r="Q225" s="39"/>
      <c r="R225" s="39"/>
      <c r="S225" s="39"/>
    </row>
    <row r="226" spans="1:19" x14ac:dyDescent="0.25">
      <c r="A226" s="39"/>
      <c r="B226" s="39"/>
      <c r="C226" s="39"/>
      <c r="D226" s="1"/>
      <c r="E226" s="1"/>
      <c r="F226" s="1"/>
      <c r="G226" s="1"/>
      <c r="H226" s="1"/>
      <c r="I226" s="1"/>
      <c r="J226" s="1"/>
      <c r="K226" s="1"/>
      <c r="L226" s="1"/>
      <c r="M226" s="39"/>
      <c r="N226" s="39"/>
      <c r="O226" s="39"/>
      <c r="P226" s="39"/>
      <c r="Q226" s="39"/>
      <c r="R226" s="39"/>
      <c r="S226" s="39"/>
    </row>
    <row r="227" spans="1:19" x14ac:dyDescent="0.25">
      <c r="A227" s="39"/>
      <c r="B227" s="39"/>
      <c r="C227" s="39"/>
      <c r="D227" s="1"/>
      <c r="E227" s="1"/>
      <c r="F227" s="1"/>
      <c r="G227" s="1"/>
      <c r="H227" s="1"/>
      <c r="I227" s="1"/>
      <c r="J227" s="1"/>
      <c r="K227" s="1"/>
      <c r="L227" s="1"/>
      <c r="M227" s="39"/>
      <c r="N227" s="39"/>
      <c r="O227" s="39"/>
      <c r="P227" s="39"/>
      <c r="Q227" s="39"/>
      <c r="R227" s="39"/>
      <c r="S227" s="39"/>
    </row>
    <row r="228" spans="1:19" x14ac:dyDescent="0.25">
      <c r="A228" s="39"/>
      <c r="B228" s="39"/>
      <c r="C228" s="39"/>
      <c r="D228" s="1"/>
      <c r="E228" s="1"/>
      <c r="F228" s="1"/>
      <c r="G228" s="1"/>
      <c r="H228" s="1"/>
      <c r="I228" s="1"/>
      <c r="J228" s="1"/>
      <c r="K228" s="1"/>
      <c r="L228" s="1"/>
      <c r="M228" s="39"/>
      <c r="N228" s="39"/>
      <c r="O228" s="39"/>
      <c r="P228" s="39"/>
      <c r="Q228" s="39"/>
      <c r="R228" s="39"/>
      <c r="S228" s="39"/>
    </row>
    <row r="229" spans="1:19" x14ac:dyDescent="0.25">
      <c r="A229" s="39"/>
      <c r="B229" s="39"/>
      <c r="C229" s="39"/>
      <c r="D229" s="1"/>
      <c r="E229" s="1"/>
      <c r="F229" s="1"/>
      <c r="G229" s="1"/>
      <c r="H229" s="1"/>
      <c r="I229" s="1"/>
      <c r="J229" s="1"/>
      <c r="K229" s="1"/>
      <c r="L229" s="1"/>
      <c r="M229" s="39"/>
      <c r="N229" s="39"/>
      <c r="O229" s="39"/>
      <c r="P229" s="39"/>
      <c r="Q229" s="39"/>
      <c r="R229" s="39"/>
      <c r="S229" s="39"/>
    </row>
    <row r="230" spans="1:19" x14ac:dyDescent="0.25">
      <c r="A230" s="39"/>
      <c r="B230" s="39"/>
      <c r="C230" s="39"/>
      <c r="D230" s="1"/>
      <c r="E230" s="1"/>
      <c r="F230" s="1"/>
      <c r="G230" s="1"/>
      <c r="H230" s="1"/>
      <c r="I230" s="1"/>
      <c r="J230" s="1"/>
      <c r="K230" s="1"/>
      <c r="L230" s="1"/>
      <c r="M230" s="39"/>
      <c r="N230" s="39"/>
      <c r="O230" s="39"/>
      <c r="P230" s="39"/>
      <c r="Q230" s="39"/>
      <c r="R230" s="39"/>
      <c r="S230" s="39"/>
    </row>
    <row r="231" spans="1:19" x14ac:dyDescent="0.25">
      <c r="A231" s="39"/>
      <c r="B231" s="39"/>
      <c r="C231" s="39"/>
      <c r="D231" s="1"/>
      <c r="E231" s="1"/>
      <c r="F231" s="1"/>
      <c r="G231" s="1"/>
      <c r="H231" s="1"/>
      <c r="I231" s="1"/>
      <c r="J231" s="1"/>
      <c r="K231" s="1"/>
      <c r="L231" s="1"/>
      <c r="M231" s="39"/>
      <c r="N231" s="39"/>
      <c r="O231" s="39"/>
      <c r="P231" s="39"/>
      <c r="Q231" s="39"/>
      <c r="R231" s="39"/>
      <c r="S231" s="39"/>
    </row>
    <row r="232" spans="1:19" x14ac:dyDescent="0.25">
      <c r="A232" s="39"/>
      <c r="B232" s="39"/>
      <c r="C232" s="39"/>
      <c r="D232" s="1"/>
      <c r="E232" s="1"/>
      <c r="F232" s="1"/>
      <c r="G232" s="1"/>
      <c r="H232" s="1"/>
      <c r="I232" s="1"/>
      <c r="J232" s="1"/>
      <c r="K232" s="1"/>
      <c r="L232" s="1"/>
      <c r="M232" s="39"/>
      <c r="N232" s="39"/>
      <c r="O232" s="39"/>
      <c r="P232" s="39"/>
      <c r="Q232" s="39"/>
      <c r="R232" s="39"/>
      <c r="S232" s="39"/>
    </row>
    <row r="233" spans="1:19" x14ac:dyDescent="0.25">
      <c r="A233" s="39"/>
      <c r="B233" s="39"/>
      <c r="C233" s="39"/>
      <c r="D233" s="1"/>
      <c r="E233" s="1"/>
      <c r="F233" s="1"/>
      <c r="G233" s="1"/>
      <c r="H233" s="1"/>
      <c r="I233" s="1"/>
      <c r="J233" s="1"/>
      <c r="K233" s="1"/>
      <c r="L233" s="1"/>
      <c r="M233" s="39"/>
      <c r="N233" s="39"/>
      <c r="O233" s="39"/>
      <c r="P233" s="39"/>
      <c r="Q233" s="39"/>
      <c r="R233" s="39"/>
      <c r="S233" s="39"/>
    </row>
    <row r="234" spans="1:19" x14ac:dyDescent="0.25">
      <c r="A234" s="39"/>
      <c r="B234" s="39"/>
      <c r="C234" s="39"/>
      <c r="D234" s="1"/>
      <c r="E234" s="1"/>
      <c r="F234" s="1"/>
      <c r="G234" s="1"/>
      <c r="H234" s="1"/>
      <c r="I234" s="1"/>
      <c r="J234" s="1"/>
      <c r="K234" s="1"/>
      <c r="L234" s="1"/>
      <c r="M234" s="39"/>
      <c r="N234" s="39"/>
      <c r="O234" s="39"/>
      <c r="P234" s="39"/>
      <c r="Q234" s="39"/>
      <c r="R234" s="39"/>
      <c r="S234" s="39"/>
    </row>
    <row r="235" spans="1:19" x14ac:dyDescent="0.25">
      <c r="A235" s="39"/>
      <c r="B235" s="39"/>
      <c r="C235" s="39"/>
      <c r="D235" s="1"/>
      <c r="E235" s="1"/>
      <c r="F235" s="1"/>
      <c r="G235" s="1"/>
      <c r="H235" s="1"/>
      <c r="I235" s="1"/>
      <c r="J235" s="1"/>
      <c r="K235" s="1"/>
      <c r="L235" s="1"/>
      <c r="M235" s="39"/>
      <c r="N235" s="39"/>
      <c r="O235" s="39"/>
      <c r="P235" s="39"/>
      <c r="Q235" s="39"/>
      <c r="R235" s="39"/>
      <c r="S235" s="39"/>
    </row>
    <row r="236" spans="1:19" x14ac:dyDescent="0.25">
      <c r="A236" s="39"/>
      <c r="B236" s="39"/>
      <c r="C236" s="39"/>
      <c r="D236" s="1"/>
      <c r="E236" s="1"/>
      <c r="F236" s="1"/>
      <c r="G236" s="1"/>
      <c r="H236" s="1"/>
      <c r="I236" s="1"/>
      <c r="J236" s="1"/>
      <c r="K236" s="1"/>
      <c r="L236" s="1"/>
      <c r="M236" s="39"/>
      <c r="N236" s="39"/>
      <c r="O236" s="39"/>
      <c r="P236" s="39"/>
      <c r="Q236" s="39"/>
      <c r="R236" s="39"/>
      <c r="S236" s="39"/>
    </row>
    <row r="237" spans="1:19" x14ac:dyDescent="0.25">
      <c r="A237" s="39"/>
      <c r="B237" s="39"/>
      <c r="C237" s="39"/>
      <c r="D237" s="1"/>
      <c r="E237" s="1"/>
      <c r="F237" s="1"/>
      <c r="G237" s="1"/>
      <c r="H237" s="1"/>
      <c r="I237" s="1"/>
      <c r="J237" s="1"/>
      <c r="K237" s="1"/>
      <c r="L237" s="1"/>
      <c r="M237" s="39"/>
      <c r="N237" s="39"/>
      <c r="O237" s="39"/>
      <c r="P237" s="39"/>
      <c r="Q237" s="39"/>
      <c r="R237" s="39"/>
      <c r="S237" s="39"/>
    </row>
    <row r="238" spans="1:19" x14ac:dyDescent="0.25">
      <c r="A238" s="39"/>
      <c r="B238" s="39"/>
      <c r="C238" s="39"/>
      <c r="D238" s="1"/>
      <c r="E238" s="1"/>
      <c r="F238" s="1"/>
      <c r="G238" s="1"/>
      <c r="H238" s="1"/>
      <c r="I238" s="1"/>
      <c r="J238" s="1"/>
      <c r="K238" s="1"/>
      <c r="L238" s="1"/>
      <c r="M238" s="39"/>
      <c r="N238" s="39"/>
      <c r="O238" s="39"/>
      <c r="P238" s="39"/>
      <c r="Q238" s="39"/>
      <c r="R238" s="39"/>
      <c r="S238" s="39"/>
    </row>
    <row r="239" spans="1:19" x14ac:dyDescent="0.25">
      <c r="A239" s="39"/>
      <c r="B239" s="39"/>
      <c r="C239" s="39"/>
      <c r="D239" s="1"/>
      <c r="E239" s="1"/>
      <c r="F239" s="1"/>
      <c r="G239" s="1"/>
      <c r="H239" s="1"/>
      <c r="I239" s="1"/>
      <c r="J239" s="1"/>
      <c r="K239" s="1"/>
      <c r="L239" s="1"/>
      <c r="M239" s="39"/>
      <c r="N239" s="39"/>
      <c r="O239" s="39"/>
      <c r="P239" s="39"/>
      <c r="Q239" s="39"/>
      <c r="R239" s="39"/>
      <c r="S239" s="39"/>
    </row>
    <row r="240" spans="1:19" x14ac:dyDescent="0.25">
      <c r="A240" s="39"/>
      <c r="B240" s="39"/>
      <c r="C240" s="39"/>
      <c r="D240" s="1"/>
      <c r="E240" s="1"/>
      <c r="F240" s="1"/>
      <c r="G240" s="1"/>
      <c r="H240" s="1"/>
      <c r="I240" s="1"/>
      <c r="J240" s="1"/>
      <c r="K240" s="1"/>
      <c r="L240" s="1"/>
      <c r="M240" s="39"/>
      <c r="N240" s="39"/>
      <c r="O240" s="39"/>
      <c r="P240" s="39"/>
      <c r="Q240" s="39"/>
      <c r="R240" s="39"/>
      <c r="S240" s="39"/>
    </row>
    <row r="241" spans="1:19" x14ac:dyDescent="0.25">
      <c r="A241" s="39"/>
      <c r="B241" s="39"/>
      <c r="C241" s="39"/>
      <c r="D241" s="1"/>
      <c r="E241" s="1"/>
      <c r="F241" s="1"/>
      <c r="G241" s="1"/>
      <c r="H241" s="1"/>
      <c r="I241" s="1"/>
      <c r="J241" s="1"/>
      <c r="K241" s="1"/>
      <c r="L241" s="1"/>
      <c r="M241" s="39"/>
      <c r="N241" s="39"/>
      <c r="O241" s="39"/>
      <c r="P241" s="39"/>
      <c r="Q241" s="39"/>
      <c r="R241" s="39"/>
      <c r="S241" s="39"/>
    </row>
    <row r="242" spans="1:19" x14ac:dyDescent="0.25">
      <c r="A242" s="39"/>
      <c r="B242" s="39"/>
      <c r="C242" s="39"/>
      <c r="D242" s="1"/>
      <c r="E242" s="1"/>
      <c r="F242" s="1"/>
      <c r="G242" s="1"/>
      <c r="H242" s="1"/>
      <c r="I242" s="1"/>
      <c r="J242" s="1"/>
      <c r="K242" s="1"/>
      <c r="L242" s="1"/>
      <c r="M242" s="39"/>
      <c r="N242" s="39"/>
      <c r="O242" s="39"/>
      <c r="P242" s="39"/>
      <c r="Q242" s="39"/>
      <c r="R242" s="39"/>
      <c r="S242" s="39"/>
    </row>
    <row r="243" spans="1:19" x14ac:dyDescent="0.25">
      <c r="A243" s="39"/>
      <c r="B243" s="39"/>
      <c r="C243" s="39"/>
      <c r="D243" s="1"/>
      <c r="E243" s="1"/>
      <c r="F243" s="1"/>
      <c r="G243" s="1"/>
      <c r="H243" s="1"/>
      <c r="I243" s="1"/>
      <c r="J243" s="1"/>
      <c r="K243" s="1"/>
      <c r="L243" s="1"/>
      <c r="M243" s="39"/>
      <c r="N243" s="39"/>
      <c r="O243" s="39"/>
      <c r="P243" s="39"/>
      <c r="Q243" s="39"/>
      <c r="R243" s="39"/>
      <c r="S243" s="39"/>
    </row>
    <row r="244" spans="1:19" x14ac:dyDescent="0.25">
      <c r="A244" s="39"/>
      <c r="B244" s="39"/>
      <c r="C244" s="39"/>
      <c r="D244" s="1"/>
      <c r="E244" s="1"/>
      <c r="F244" s="1"/>
      <c r="G244" s="1"/>
      <c r="H244" s="1"/>
      <c r="I244" s="1"/>
      <c r="J244" s="1"/>
      <c r="K244" s="1"/>
      <c r="L244" s="1"/>
      <c r="M244" s="39"/>
      <c r="N244" s="39"/>
      <c r="O244" s="39"/>
      <c r="P244" s="39"/>
      <c r="Q244" s="39"/>
      <c r="R244" s="39"/>
      <c r="S244" s="39"/>
    </row>
    <row r="245" spans="1:19" x14ac:dyDescent="0.25">
      <c r="A245" s="39"/>
      <c r="B245" s="39"/>
      <c r="C245" s="39"/>
      <c r="D245" s="1"/>
      <c r="E245" s="1"/>
      <c r="F245" s="1"/>
      <c r="G245" s="1"/>
      <c r="H245" s="1"/>
      <c r="I245" s="1"/>
      <c r="J245" s="1"/>
      <c r="K245" s="1"/>
      <c r="L245" s="1"/>
      <c r="M245" s="39"/>
      <c r="N245" s="39"/>
      <c r="O245" s="39"/>
      <c r="P245" s="39"/>
      <c r="Q245" s="39"/>
      <c r="R245" s="39"/>
      <c r="S245" s="39"/>
    </row>
    <row r="246" spans="1:19" x14ac:dyDescent="0.25">
      <c r="A246" s="39"/>
      <c r="B246" s="39"/>
      <c r="C246" s="39"/>
      <c r="D246" s="1"/>
      <c r="E246" s="1"/>
      <c r="F246" s="1"/>
      <c r="G246" s="1"/>
      <c r="H246" s="1"/>
      <c r="I246" s="1"/>
      <c r="J246" s="1"/>
      <c r="K246" s="1"/>
      <c r="L246" s="1"/>
      <c r="M246" s="39"/>
      <c r="N246" s="39"/>
      <c r="O246" s="39"/>
      <c r="P246" s="39"/>
      <c r="Q246" s="39"/>
      <c r="R246" s="39"/>
      <c r="S246" s="39"/>
    </row>
    <row r="247" spans="1:19" x14ac:dyDescent="0.25">
      <c r="A247" s="39"/>
      <c r="B247" s="39"/>
      <c r="C247" s="39"/>
      <c r="D247" s="1"/>
      <c r="E247" s="1"/>
      <c r="F247" s="1"/>
      <c r="G247" s="1"/>
      <c r="H247" s="1"/>
      <c r="I247" s="1"/>
      <c r="J247" s="1"/>
      <c r="K247" s="1"/>
      <c r="L247" s="1"/>
      <c r="M247" s="39"/>
      <c r="N247" s="39"/>
      <c r="O247" s="39"/>
      <c r="P247" s="39"/>
      <c r="Q247" s="39"/>
      <c r="R247" s="39"/>
      <c r="S247" s="39"/>
    </row>
    <row r="248" spans="1:19" x14ac:dyDescent="0.25">
      <c r="A248" s="39"/>
      <c r="B248" s="39"/>
      <c r="C248" s="39"/>
      <c r="D248" s="1"/>
      <c r="E248" s="1"/>
      <c r="F248" s="1"/>
      <c r="G248" s="1"/>
      <c r="H248" s="1"/>
      <c r="I248" s="1"/>
      <c r="J248" s="1"/>
      <c r="K248" s="1"/>
      <c r="L248" s="1"/>
      <c r="M248" s="39"/>
      <c r="N248" s="39"/>
      <c r="O248" s="39"/>
      <c r="P248" s="39"/>
      <c r="Q248" s="39"/>
      <c r="R248" s="39"/>
      <c r="S248" s="39"/>
    </row>
    <row r="249" spans="1:19" x14ac:dyDescent="0.25">
      <c r="A249" s="39"/>
      <c r="B249" s="39"/>
      <c r="C249" s="39"/>
      <c r="D249" s="1"/>
      <c r="E249" s="1"/>
      <c r="F249" s="1"/>
      <c r="G249" s="1"/>
      <c r="H249" s="1"/>
      <c r="I249" s="1"/>
      <c r="J249" s="1"/>
      <c r="K249" s="1"/>
      <c r="L249" s="1"/>
      <c r="M249" s="39"/>
      <c r="N249" s="39"/>
      <c r="O249" s="39"/>
      <c r="P249" s="39"/>
      <c r="Q249" s="39"/>
      <c r="R249" s="39"/>
      <c r="S249" s="39"/>
    </row>
    <row r="250" spans="1:19" x14ac:dyDescent="0.25">
      <c r="A250" s="39"/>
      <c r="B250" s="39"/>
      <c r="C250" s="39"/>
      <c r="D250" s="1"/>
      <c r="E250" s="1"/>
      <c r="F250" s="1"/>
      <c r="G250" s="1"/>
      <c r="H250" s="1"/>
      <c r="I250" s="1"/>
      <c r="J250" s="1"/>
      <c r="K250" s="1"/>
      <c r="L250" s="1"/>
      <c r="M250" s="39"/>
      <c r="N250" s="39"/>
      <c r="O250" s="39"/>
      <c r="P250" s="39"/>
      <c r="Q250" s="39"/>
      <c r="R250" s="39"/>
      <c r="S250" s="39"/>
    </row>
    <row r="251" spans="1:19" x14ac:dyDescent="0.25">
      <c r="A251" s="39"/>
      <c r="B251" s="39"/>
      <c r="C251" s="39"/>
      <c r="D251" s="1"/>
      <c r="E251" s="1"/>
      <c r="F251" s="1"/>
      <c r="G251" s="1"/>
      <c r="H251" s="1"/>
      <c r="I251" s="1"/>
      <c r="J251" s="1"/>
      <c r="K251" s="1"/>
      <c r="L251" s="1"/>
      <c r="M251" s="39"/>
      <c r="N251" s="39"/>
      <c r="O251" s="39"/>
      <c r="P251" s="39"/>
      <c r="Q251" s="39"/>
      <c r="R251" s="39"/>
      <c r="S251" s="39"/>
    </row>
    <row r="252" spans="1:19" x14ac:dyDescent="0.25">
      <c r="A252" s="39"/>
      <c r="B252" s="39"/>
      <c r="C252" s="39"/>
      <c r="D252" s="1"/>
      <c r="E252" s="1"/>
      <c r="F252" s="1"/>
      <c r="G252" s="1"/>
      <c r="H252" s="1"/>
      <c r="I252" s="1"/>
      <c r="J252" s="1"/>
      <c r="K252" s="1"/>
      <c r="L252" s="1"/>
      <c r="M252" s="39"/>
      <c r="N252" s="39"/>
      <c r="O252" s="39"/>
      <c r="P252" s="39"/>
      <c r="Q252" s="39"/>
      <c r="R252" s="39"/>
      <c r="S252" s="39"/>
    </row>
    <row r="253" spans="1:19" x14ac:dyDescent="0.25">
      <c r="A253" s="39"/>
      <c r="B253" s="39"/>
      <c r="C253" s="39"/>
      <c r="D253" s="1"/>
      <c r="E253" s="1"/>
      <c r="F253" s="1"/>
      <c r="G253" s="1"/>
      <c r="H253" s="1"/>
      <c r="I253" s="1"/>
      <c r="J253" s="1"/>
      <c r="K253" s="1"/>
      <c r="L253" s="1"/>
      <c r="M253" s="39"/>
      <c r="N253" s="39"/>
      <c r="O253" s="39"/>
      <c r="P253" s="39"/>
      <c r="Q253" s="39"/>
      <c r="R253" s="39"/>
      <c r="S253" s="39"/>
    </row>
    <row r="254" spans="1:19" x14ac:dyDescent="0.25">
      <c r="A254" s="39"/>
      <c r="B254" s="39"/>
      <c r="C254" s="39"/>
      <c r="D254" s="1"/>
      <c r="E254" s="1"/>
      <c r="F254" s="1"/>
      <c r="G254" s="1"/>
      <c r="H254" s="1"/>
      <c r="I254" s="1"/>
      <c r="J254" s="1"/>
      <c r="K254" s="1"/>
      <c r="L254" s="1"/>
      <c r="M254" s="39"/>
      <c r="N254" s="39"/>
      <c r="O254" s="39"/>
      <c r="P254" s="39"/>
      <c r="Q254" s="39"/>
      <c r="R254" s="39"/>
      <c r="S254" s="39"/>
    </row>
    <row r="255" spans="1:19" x14ac:dyDescent="0.25">
      <c r="A255" s="39"/>
      <c r="B255" s="39"/>
      <c r="C255" s="39"/>
      <c r="D255" s="1"/>
      <c r="E255" s="1"/>
      <c r="F255" s="1"/>
      <c r="G255" s="1"/>
      <c r="H255" s="1"/>
      <c r="I255" s="1"/>
      <c r="J255" s="1"/>
      <c r="K255" s="1"/>
      <c r="L255" s="1"/>
      <c r="M255" s="39"/>
      <c r="N255" s="39"/>
      <c r="O255" s="39"/>
      <c r="P255" s="39"/>
      <c r="Q255" s="39"/>
      <c r="R255" s="39"/>
      <c r="S255" s="39"/>
    </row>
    <row r="256" spans="1:19" x14ac:dyDescent="0.25">
      <c r="A256" s="39"/>
      <c r="B256" s="39"/>
      <c r="C256" s="39"/>
      <c r="D256" s="1"/>
      <c r="E256" s="1"/>
      <c r="F256" s="1"/>
      <c r="G256" s="1"/>
      <c r="H256" s="1"/>
      <c r="I256" s="1"/>
      <c r="J256" s="1"/>
      <c r="K256" s="1"/>
      <c r="L256" s="1"/>
      <c r="M256" s="39"/>
      <c r="N256" s="39"/>
      <c r="O256" s="39"/>
      <c r="P256" s="39"/>
      <c r="Q256" s="39"/>
      <c r="R256" s="39"/>
      <c r="S256" s="39"/>
    </row>
    <row r="257" spans="1:19" x14ac:dyDescent="0.25">
      <c r="A257" s="39"/>
      <c r="B257" s="39"/>
      <c r="C257" s="39"/>
      <c r="D257" s="1"/>
      <c r="E257" s="1"/>
      <c r="F257" s="1"/>
      <c r="G257" s="1"/>
      <c r="H257" s="1"/>
      <c r="I257" s="1"/>
      <c r="J257" s="1"/>
      <c r="K257" s="1"/>
      <c r="L257" s="1"/>
      <c r="M257" s="39"/>
      <c r="N257" s="39"/>
      <c r="O257" s="39"/>
      <c r="P257" s="39"/>
      <c r="Q257" s="39"/>
      <c r="R257" s="39"/>
      <c r="S257" s="39"/>
    </row>
    <row r="258" spans="1:19" x14ac:dyDescent="0.25">
      <c r="A258" s="39"/>
      <c r="B258" s="39"/>
      <c r="C258" s="39"/>
      <c r="D258" s="1"/>
      <c r="E258" s="1"/>
      <c r="F258" s="1"/>
      <c r="G258" s="1"/>
      <c r="H258" s="1"/>
      <c r="I258" s="1"/>
      <c r="J258" s="1"/>
      <c r="K258" s="1"/>
      <c r="L258" s="1"/>
      <c r="M258" s="39"/>
      <c r="N258" s="39"/>
      <c r="O258" s="39"/>
      <c r="P258" s="39"/>
      <c r="Q258" s="39"/>
      <c r="R258" s="39"/>
      <c r="S258" s="39"/>
    </row>
    <row r="259" spans="1:19" x14ac:dyDescent="0.25">
      <c r="A259" s="39"/>
      <c r="B259" s="39"/>
      <c r="C259" s="39"/>
      <c r="D259" s="1"/>
      <c r="E259" s="1"/>
      <c r="F259" s="1"/>
      <c r="G259" s="1"/>
      <c r="H259" s="1"/>
      <c r="I259" s="1"/>
      <c r="J259" s="1"/>
      <c r="K259" s="1"/>
      <c r="L259" s="1"/>
      <c r="M259" s="39"/>
      <c r="N259" s="39"/>
      <c r="O259" s="39"/>
      <c r="P259" s="39"/>
      <c r="Q259" s="39"/>
      <c r="R259" s="39"/>
      <c r="S259" s="39"/>
    </row>
    <row r="260" spans="1:19" x14ac:dyDescent="0.25">
      <c r="A260" s="39"/>
      <c r="B260" s="39"/>
      <c r="C260" s="39"/>
      <c r="D260" s="1"/>
      <c r="E260" s="1"/>
      <c r="F260" s="1"/>
      <c r="G260" s="1"/>
      <c r="H260" s="1"/>
      <c r="I260" s="1"/>
      <c r="J260" s="1"/>
      <c r="K260" s="1"/>
      <c r="L260" s="1"/>
      <c r="M260" s="39"/>
      <c r="N260" s="39"/>
      <c r="O260" s="39"/>
      <c r="P260" s="39"/>
      <c r="Q260" s="39"/>
      <c r="R260" s="39"/>
      <c r="S260" s="39"/>
    </row>
    <row r="261" spans="1:19" x14ac:dyDescent="0.25">
      <c r="A261" s="39"/>
      <c r="B261" s="39"/>
      <c r="C261" s="39"/>
      <c r="D261" s="1"/>
      <c r="E261" s="1"/>
      <c r="F261" s="1"/>
      <c r="G261" s="1"/>
      <c r="H261" s="1"/>
      <c r="I261" s="1"/>
      <c r="J261" s="1"/>
      <c r="K261" s="1"/>
      <c r="L261" s="1"/>
      <c r="M261" s="39"/>
      <c r="N261" s="39"/>
      <c r="O261" s="39"/>
      <c r="P261" s="39"/>
      <c r="Q261" s="39"/>
      <c r="R261" s="39"/>
      <c r="S261" s="39"/>
    </row>
    <row r="262" spans="1:19" x14ac:dyDescent="0.25">
      <c r="A262" s="39"/>
      <c r="B262" s="39"/>
      <c r="C262" s="39"/>
      <c r="D262" s="1"/>
      <c r="E262" s="1"/>
      <c r="F262" s="1"/>
      <c r="G262" s="1"/>
      <c r="H262" s="1"/>
      <c r="I262" s="1"/>
      <c r="J262" s="1"/>
      <c r="K262" s="1"/>
      <c r="L262" s="1"/>
      <c r="M262" s="39"/>
      <c r="N262" s="39"/>
      <c r="O262" s="39"/>
      <c r="P262" s="39"/>
      <c r="Q262" s="39"/>
      <c r="R262" s="39"/>
      <c r="S262" s="39"/>
    </row>
    <row r="263" spans="1:19" x14ac:dyDescent="0.25">
      <c r="A263" s="39"/>
      <c r="B263" s="39"/>
      <c r="C263" s="39"/>
      <c r="D263" s="1"/>
      <c r="E263" s="1"/>
      <c r="F263" s="1"/>
      <c r="G263" s="1"/>
      <c r="H263" s="1"/>
      <c r="I263" s="1"/>
      <c r="J263" s="1"/>
      <c r="K263" s="1"/>
      <c r="L263" s="1"/>
      <c r="M263" s="39"/>
      <c r="N263" s="39"/>
      <c r="O263" s="39"/>
      <c r="P263" s="39"/>
      <c r="Q263" s="39"/>
      <c r="R263" s="39"/>
      <c r="S263" s="39"/>
    </row>
    <row r="264" spans="1:19" x14ac:dyDescent="0.25">
      <c r="A264" s="39"/>
      <c r="B264" s="39"/>
      <c r="C264" s="39"/>
      <c r="D264" s="1"/>
      <c r="E264" s="1"/>
      <c r="F264" s="1"/>
      <c r="G264" s="1"/>
      <c r="H264" s="1"/>
      <c r="I264" s="1"/>
      <c r="J264" s="1"/>
      <c r="K264" s="1"/>
      <c r="L264" s="1"/>
      <c r="M264" s="39"/>
      <c r="N264" s="39"/>
      <c r="O264" s="39"/>
      <c r="P264" s="39"/>
      <c r="Q264" s="39"/>
      <c r="R264" s="39"/>
      <c r="S264" s="39"/>
    </row>
    <row r="265" spans="1:19" x14ac:dyDescent="0.25">
      <c r="A265" s="39"/>
      <c r="B265" s="39"/>
      <c r="C265" s="39"/>
      <c r="D265" s="1"/>
      <c r="E265" s="1"/>
      <c r="F265" s="1"/>
      <c r="G265" s="1"/>
      <c r="H265" s="1"/>
      <c r="I265" s="1"/>
      <c r="J265" s="1"/>
      <c r="K265" s="1"/>
      <c r="L265" s="1"/>
      <c r="M265" s="39"/>
      <c r="N265" s="39"/>
      <c r="O265" s="39"/>
      <c r="P265" s="39"/>
      <c r="Q265" s="39"/>
      <c r="R265" s="39"/>
      <c r="S265" s="39"/>
    </row>
    <row r="266" spans="1:19" x14ac:dyDescent="0.25">
      <c r="A266" s="39"/>
      <c r="B266" s="39"/>
      <c r="C266" s="39"/>
      <c r="D266" s="1"/>
      <c r="E266" s="1"/>
      <c r="F266" s="1"/>
      <c r="G266" s="1"/>
      <c r="H266" s="1"/>
      <c r="I266" s="1"/>
      <c r="J266" s="1"/>
      <c r="K266" s="1"/>
      <c r="L266" s="1"/>
      <c r="M266" s="39"/>
      <c r="N266" s="39"/>
      <c r="O266" s="39"/>
      <c r="P266" s="39"/>
      <c r="Q266" s="39"/>
      <c r="R266" s="39"/>
      <c r="S266" s="39"/>
    </row>
    <row r="267" spans="1:19" x14ac:dyDescent="0.25">
      <c r="A267" s="39"/>
      <c r="B267" s="39"/>
      <c r="C267" s="39"/>
      <c r="D267" s="1"/>
      <c r="E267" s="1"/>
      <c r="F267" s="1"/>
      <c r="G267" s="1"/>
      <c r="H267" s="1"/>
      <c r="I267" s="1"/>
      <c r="J267" s="1"/>
      <c r="K267" s="1"/>
      <c r="L267" s="1"/>
      <c r="M267" s="39"/>
      <c r="N267" s="39"/>
      <c r="O267" s="39"/>
      <c r="P267" s="39"/>
      <c r="Q267" s="39"/>
      <c r="R267" s="39"/>
      <c r="S267" s="39"/>
    </row>
    <row r="268" spans="1:19" x14ac:dyDescent="0.25">
      <c r="A268" s="39"/>
      <c r="B268" s="39"/>
      <c r="C268" s="39"/>
      <c r="D268" s="1"/>
      <c r="E268" s="1"/>
      <c r="F268" s="1"/>
      <c r="G268" s="1"/>
      <c r="H268" s="1"/>
      <c r="I268" s="1"/>
      <c r="J268" s="1"/>
      <c r="K268" s="1"/>
      <c r="L268" s="1"/>
      <c r="M268" s="39"/>
      <c r="N268" s="39"/>
      <c r="O268" s="39"/>
      <c r="P268" s="39"/>
      <c r="Q268" s="39"/>
      <c r="R268" s="39"/>
      <c r="S268" s="39"/>
    </row>
    <row r="269" spans="1:19" x14ac:dyDescent="0.25">
      <c r="A269" s="39"/>
      <c r="B269" s="39"/>
      <c r="C269" s="39"/>
      <c r="D269" s="1"/>
      <c r="E269" s="1"/>
      <c r="F269" s="1"/>
      <c r="G269" s="1"/>
      <c r="H269" s="1"/>
      <c r="I269" s="1"/>
      <c r="J269" s="1"/>
      <c r="K269" s="1"/>
      <c r="L269" s="1"/>
      <c r="M269" s="39"/>
      <c r="N269" s="39"/>
      <c r="O269" s="39"/>
      <c r="P269" s="39"/>
      <c r="Q269" s="39"/>
      <c r="R269" s="39"/>
      <c r="S269" s="39"/>
    </row>
    <row r="270" spans="1:19" x14ac:dyDescent="0.25">
      <c r="A270" s="39"/>
      <c r="B270" s="39"/>
      <c r="C270" s="39"/>
      <c r="D270" s="1"/>
      <c r="E270" s="1"/>
      <c r="F270" s="1"/>
      <c r="G270" s="1"/>
      <c r="H270" s="1"/>
      <c r="I270" s="1"/>
      <c r="J270" s="1"/>
      <c r="K270" s="1"/>
      <c r="L270" s="1"/>
      <c r="M270" s="39"/>
      <c r="N270" s="39"/>
      <c r="O270" s="39"/>
      <c r="P270" s="39"/>
      <c r="Q270" s="39"/>
      <c r="R270" s="39"/>
      <c r="S270" s="39"/>
    </row>
    <row r="271" spans="1:19" x14ac:dyDescent="0.25">
      <c r="A271" s="39"/>
      <c r="B271" s="39"/>
      <c r="C271" s="39"/>
      <c r="D271" s="1"/>
      <c r="E271" s="1"/>
      <c r="F271" s="1"/>
      <c r="G271" s="1"/>
      <c r="H271" s="1"/>
      <c r="I271" s="1"/>
      <c r="J271" s="1"/>
      <c r="K271" s="1"/>
      <c r="L271" s="1"/>
      <c r="M271" s="39"/>
      <c r="N271" s="39"/>
      <c r="O271" s="39"/>
      <c r="P271" s="39"/>
      <c r="Q271" s="39"/>
      <c r="R271" s="39"/>
      <c r="S271" s="39"/>
    </row>
    <row r="272" spans="1:19" x14ac:dyDescent="0.25">
      <c r="A272" s="39"/>
      <c r="B272" s="39"/>
      <c r="C272" s="39"/>
      <c r="D272" s="1"/>
      <c r="E272" s="1"/>
      <c r="F272" s="1"/>
      <c r="G272" s="1"/>
      <c r="H272" s="1"/>
      <c r="I272" s="1"/>
      <c r="J272" s="1"/>
      <c r="K272" s="1"/>
      <c r="L272" s="1"/>
      <c r="M272" s="39"/>
      <c r="N272" s="39"/>
      <c r="O272" s="39"/>
      <c r="P272" s="39"/>
      <c r="Q272" s="39"/>
      <c r="R272" s="39"/>
      <c r="S272" s="39"/>
    </row>
    <row r="273" spans="1:19" x14ac:dyDescent="0.25">
      <c r="A273" s="39"/>
      <c r="B273" s="39"/>
      <c r="C273" s="39"/>
      <c r="D273" s="1"/>
      <c r="E273" s="1"/>
      <c r="F273" s="1"/>
      <c r="G273" s="1"/>
      <c r="H273" s="1"/>
      <c r="I273" s="1"/>
      <c r="J273" s="1"/>
      <c r="K273" s="1"/>
      <c r="L273" s="1"/>
      <c r="M273" s="39"/>
      <c r="N273" s="39"/>
      <c r="O273" s="39"/>
      <c r="P273" s="39"/>
      <c r="Q273" s="39"/>
      <c r="R273" s="39"/>
      <c r="S273" s="39"/>
    </row>
    <row r="274" spans="1:19" x14ac:dyDescent="0.25">
      <c r="A274" s="39"/>
      <c r="B274" s="39"/>
      <c r="C274" s="39"/>
      <c r="D274" s="1"/>
      <c r="E274" s="1"/>
      <c r="F274" s="1"/>
      <c r="G274" s="1"/>
      <c r="H274" s="1"/>
      <c r="I274" s="1"/>
      <c r="J274" s="1"/>
      <c r="K274" s="1"/>
      <c r="L274" s="1"/>
      <c r="M274" s="39"/>
      <c r="N274" s="39"/>
      <c r="O274" s="39"/>
      <c r="P274" s="39"/>
      <c r="Q274" s="39"/>
      <c r="R274" s="39"/>
      <c r="S274" s="39"/>
    </row>
    <row r="275" spans="1:19" x14ac:dyDescent="0.25">
      <c r="A275" s="39"/>
      <c r="B275" s="39"/>
      <c r="C275" s="39"/>
      <c r="D275" s="1"/>
      <c r="E275" s="1"/>
      <c r="F275" s="1"/>
      <c r="G275" s="1"/>
      <c r="H275" s="1"/>
      <c r="I275" s="1"/>
      <c r="J275" s="1"/>
      <c r="K275" s="1"/>
      <c r="L275" s="1"/>
      <c r="M275" s="39"/>
      <c r="N275" s="39"/>
      <c r="O275" s="39"/>
      <c r="P275" s="39"/>
      <c r="Q275" s="39"/>
      <c r="R275" s="39"/>
      <c r="S275" s="39"/>
    </row>
    <row r="276" spans="1:19" x14ac:dyDescent="0.25">
      <c r="A276" s="39"/>
      <c r="B276" s="39"/>
      <c r="C276" s="39"/>
      <c r="D276" s="1"/>
      <c r="E276" s="1"/>
      <c r="F276" s="1"/>
      <c r="G276" s="1"/>
      <c r="H276" s="1"/>
      <c r="I276" s="1"/>
      <c r="J276" s="1"/>
      <c r="K276" s="1"/>
      <c r="L276" s="1"/>
      <c r="M276" s="39"/>
      <c r="N276" s="39"/>
      <c r="O276" s="39"/>
      <c r="P276" s="39"/>
      <c r="Q276" s="39"/>
      <c r="R276" s="39"/>
      <c r="S276" s="39"/>
    </row>
    <row r="277" spans="1:19" x14ac:dyDescent="0.25">
      <c r="A277" s="39"/>
      <c r="B277" s="39"/>
      <c r="C277" s="39"/>
      <c r="D277" s="1"/>
      <c r="E277" s="1"/>
      <c r="F277" s="1"/>
      <c r="G277" s="1"/>
      <c r="H277" s="1"/>
      <c r="I277" s="1"/>
      <c r="J277" s="1"/>
      <c r="K277" s="1"/>
      <c r="L277" s="1"/>
      <c r="M277" s="39"/>
      <c r="N277" s="39"/>
      <c r="O277" s="39"/>
      <c r="P277" s="39"/>
      <c r="Q277" s="39"/>
      <c r="R277" s="39"/>
      <c r="S277" s="39"/>
    </row>
    <row r="278" spans="1:19" x14ac:dyDescent="0.25">
      <c r="A278" s="39"/>
      <c r="B278" s="39"/>
      <c r="C278" s="39"/>
      <c r="D278" s="1"/>
      <c r="E278" s="1"/>
      <c r="F278" s="1"/>
      <c r="G278" s="1"/>
      <c r="H278" s="1"/>
      <c r="I278" s="1"/>
      <c r="J278" s="1"/>
      <c r="K278" s="1"/>
      <c r="L278" s="1"/>
      <c r="M278" s="39"/>
      <c r="N278" s="39"/>
      <c r="O278" s="39"/>
      <c r="P278" s="39"/>
      <c r="Q278" s="39"/>
      <c r="R278" s="39"/>
      <c r="S278" s="39"/>
    </row>
    <row r="279" spans="1:19" x14ac:dyDescent="0.25">
      <c r="A279" s="39"/>
      <c r="B279" s="39"/>
      <c r="C279" s="39"/>
      <c r="D279" s="1"/>
      <c r="E279" s="1"/>
      <c r="F279" s="1"/>
      <c r="G279" s="1"/>
      <c r="H279" s="1"/>
      <c r="I279" s="1"/>
      <c r="J279" s="1"/>
      <c r="K279" s="1"/>
      <c r="L279" s="1"/>
      <c r="M279" s="39"/>
      <c r="N279" s="39"/>
      <c r="O279" s="39"/>
      <c r="P279" s="39"/>
      <c r="Q279" s="39"/>
      <c r="R279" s="39"/>
      <c r="S279" s="39"/>
    </row>
    <row r="280" spans="1:19" x14ac:dyDescent="0.25">
      <c r="A280" s="39"/>
      <c r="B280" s="39"/>
      <c r="C280" s="39"/>
      <c r="D280" s="1"/>
      <c r="E280" s="1"/>
      <c r="F280" s="1"/>
      <c r="G280" s="1"/>
      <c r="H280" s="1"/>
      <c r="I280" s="1"/>
      <c r="J280" s="1"/>
      <c r="K280" s="1"/>
      <c r="L280" s="1"/>
      <c r="M280" s="39"/>
      <c r="N280" s="39"/>
      <c r="O280" s="39"/>
      <c r="P280" s="39"/>
      <c r="Q280" s="39"/>
      <c r="R280" s="39"/>
      <c r="S280" s="39"/>
    </row>
    <row r="281" spans="1:19" x14ac:dyDescent="0.25">
      <c r="A281" s="39"/>
      <c r="B281" s="39"/>
      <c r="C281" s="39"/>
      <c r="D281" s="1"/>
      <c r="E281" s="1"/>
      <c r="F281" s="1"/>
      <c r="G281" s="1"/>
      <c r="H281" s="1"/>
      <c r="I281" s="1"/>
      <c r="J281" s="1"/>
      <c r="K281" s="1"/>
      <c r="L281" s="1"/>
      <c r="M281" s="39"/>
      <c r="N281" s="39"/>
      <c r="O281" s="39"/>
      <c r="P281" s="39"/>
      <c r="Q281" s="39"/>
      <c r="R281" s="39"/>
      <c r="S281" s="39"/>
    </row>
    <row r="282" spans="1:19" x14ac:dyDescent="0.25">
      <c r="A282" s="39"/>
      <c r="B282" s="39"/>
      <c r="C282" s="39"/>
      <c r="D282" s="1"/>
      <c r="E282" s="1"/>
      <c r="F282" s="1"/>
      <c r="G282" s="1"/>
      <c r="H282" s="1"/>
      <c r="I282" s="1"/>
      <c r="J282" s="1"/>
      <c r="K282" s="1"/>
      <c r="L282" s="1"/>
      <c r="M282" s="39"/>
      <c r="N282" s="39"/>
      <c r="O282" s="39"/>
      <c r="P282" s="39"/>
      <c r="Q282" s="39"/>
      <c r="R282" s="39"/>
      <c r="S282" s="39"/>
    </row>
    <row r="283" spans="1:19" x14ac:dyDescent="0.25">
      <c r="A283" s="39"/>
      <c r="B283" s="39"/>
      <c r="C283" s="39"/>
      <c r="D283" s="1"/>
      <c r="E283" s="1"/>
      <c r="F283" s="1"/>
      <c r="G283" s="1"/>
      <c r="H283" s="1"/>
      <c r="I283" s="1"/>
      <c r="J283" s="1"/>
      <c r="K283" s="1"/>
      <c r="L283" s="1"/>
      <c r="M283" s="39"/>
      <c r="N283" s="39"/>
      <c r="O283" s="39"/>
      <c r="P283" s="39"/>
      <c r="Q283" s="39"/>
      <c r="R283" s="39"/>
      <c r="S283" s="39"/>
    </row>
    <row r="284" spans="1:19" x14ac:dyDescent="0.25">
      <c r="A284" s="39"/>
      <c r="B284" s="39"/>
      <c r="C284" s="39"/>
      <c r="D284" s="1"/>
      <c r="E284" s="1"/>
      <c r="F284" s="1"/>
      <c r="G284" s="1"/>
      <c r="H284" s="1"/>
      <c r="I284" s="1"/>
      <c r="J284" s="1"/>
      <c r="K284" s="1"/>
      <c r="L284" s="1"/>
      <c r="M284" s="39"/>
      <c r="N284" s="39"/>
      <c r="O284" s="39"/>
      <c r="P284" s="39"/>
      <c r="Q284" s="39"/>
      <c r="R284" s="39"/>
      <c r="S284" s="39"/>
    </row>
    <row r="285" spans="1:19" x14ac:dyDescent="0.25">
      <c r="A285" s="39"/>
      <c r="B285" s="39"/>
      <c r="C285" s="39"/>
      <c r="D285" s="1"/>
      <c r="E285" s="1"/>
      <c r="F285" s="1"/>
      <c r="G285" s="1"/>
      <c r="H285" s="1"/>
      <c r="I285" s="1"/>
      <c r="J285" s="1"/>
      <c r="K285" s="1"/>
      <c r="L285" s="1"/>
      <c r="M285" s="39"/>
      <c r="N285" s="39"/>
      <c r="O285" s="39"/>
      <c r="P285" s="39"/>
      <c r="Q285" s="39"/>
      <c r="R285" s="39"/>
      <c r="S285" s="39"/>
    </row>
    <row r="286" spans="1:19" x14ac:dyDescent="0.25">
      <c r="A286" s="39"/>
      <c r="B286" s="39"/>
      <c r="C286" s="39"/>
      <c r="D286" s="1"/>
      <c r="E286" s="1"/>
      <c r="F286" s="1"/>
      <c r="G286" s="1"/>
      <c r="H286" s="1"/>
      <c r="I286" s="1"/>
      <c r="J286" s="1"/>
      <c r="K286" s="1"/>
      <c r="L286" s="1"/>
      <c r="M286" s="39"/>
      <c r="N286" s="39"/>
      <c r="O286" s="39"/>
      <c r="P286" s="39"/>
      <c r="Q286" s="39"/>
      <c r="R286" s="39"/>
      <c r="S286" s="39"/>
    </row>
    <row r="287" spans="1:19" x14ac:dyDescent="0.25">
      <c r="A287" s="39"/>
      <c r="B287" s="39"/>
      <c r="C287" s="39"/>
      <c r="D287" s="1"/>
      <c r="E287" s="1"/>
      <c r="F287" s="1"/>
      <c r="G287" s="1"/>
      <c r="H287" s="1"/>
      <c r="I287" s="1"/>
      <c r="J287" s="1"/>
      <c r="K287" s="1"/>
      <c r="L287" s="1"/>
      <c r="M287" s="39"/>
      <c r="N287" s="39"/>
      <c r="O287" s="39"/>
      <c r="P287" s="39"/>
      <c r="Q287" s="39"/>
      <c r="R287" s="39"/>
      <c r="S287" s="39"/>
    </row>
    <row r="288" spans="1:19" x14ac:dyDescent="0.25">
      <c r="A288" s="39"/>
      <c r="B288" s="39"/>
      <c r="C288" s="39"/>
      <c r="D288" s="1"/>
      <c r="E288" s="1"/>
      <c r="F288" s="1"/>
      <c r="G288" s="1"/>
      <c r="H288" s="1"/>
      <c r="I288" s="1"/>
      <c r="J288" s="1"/>
      <c r="K288" s="1"/>
      <c r="L288" s="1"/>
      <c r="M288" s="39"/>
      <c r="N288" s="39"/>
      <c r="O288" s="39"/>
      <c r="P288" s="39"/>
      <c r="Q288" s="39"/>
      <c r="R288" s="39"/>
      <c r="S288" s="39"/>
    </row>
    <row r="289" spans="1:19" x14ac:dyDescent="0.25">
      <c r="A289" s="39"/>
      <c r="B289" s="39"/>
      <c r="C289" s="39"/>
      <c r="D289" s="1"/>
      <c r="E289" s="1"/>
      <c r="F289" s="1"/>
      <c r="G289" s="1"/>
      <c r="H289" s="1"/>
      <c r="I289" s="1"/>
      <c r="J289" s="1"/>
      <c r="K289" s="1"/>
      <c r="L289" s="1"/>
      <c r="M289" s="39"/>
      <c r="N289" s="39"/>
      <c r="O289" s="39"/>
      <c r="P289" s="39"/>
      <c r="Q289" s="39"/>
      <c r="R289" s="39"/>
      <c r="S289" s="39"/>
    </row>
    <row r="290" spans="1:19" x14ac:dyDescent="0.25">
      <c r="A290" s="39"/>
      <c r="B290" s="39"/>
      <c r="C290" s="39"/>
      <c r="D290" s="1"/>
      <c r="E290" s="1"/>
      <c r="F290" s="1"/>
      <c r="G290" s="1"/>
      <c r="H290" s="1"/>
      <c r="I290" s="1"/>
      <c r="J290" s="1"/>
      <c r="K290" s="1"/>
      <c r="L290" s="1"/>
      <c r="M290" s="39"/>
      <c r="N290" s="39"/>
      <c r="O290" s="39"/>
      <c r="P290" s="39"/>
      <c r="Q290" s="39"/>
      <c r="R290" s="39"/>
      <c r="S290" s="39"/>
    </row>
    <row r="291" spans="1:19" x14ac:dyDescent="0.25">
      <c r="A291" s="39"/>
      <c r="B291" s="39"/>
      <c r="C291" s="39"/>
      <c r="D291" s="1"/>
      <c r="E291" s="1"/>
      <c r="F291" s="1"/>
      <c r="G291" s="1"/>
      <c r="H291" s="1"/>
      <c r="I291" s="1"/>
      <c r="J291" s="1"/>
      <c r="K291" s="1"/>
      <c r="L291" s="1"/>
      <c r="M291" s="39"/>
      <c r="N291" s="39"/>
      <c r="O291" s="39"/>
      <c r="P291" s="39"/>
      <c r="Q291" s="39"/>
      <c r="R291" s="39"/>
      <c r="S291" s="39"/>
    </row>
    <row r="292" spans="1:19" x14ac:dyDescent="0.25">
      <c r="A292" s="39"/>
      <c r="B292" s="39"/>
      <c r="C292" s="39"/>
      <c r="D292" s="1"/>
      <c r="E292" s="1"/>
      <c r="F292" s="1"/>
      <c r="G292" s="1"/>
      <c r="H292" s="1"/>
      <c r="I292" s="1"/>
      <c r="J292" s="1"/>
      <c r="K292" s="1"/>
      <c r="L292" s="1"/>
      <c r="M292" s="39"/>
      <c r="N292" s="39"/>
      <c r="O292" s="39"/>
      <c r="P292" s="39"/>
      <c r="Q292" s="39"/>
      <c r="R292" s="39"/>
      <c r="S292" s="39"/>
    </row>
    <row r="293" spans="1:19" x14ac:dyDescent="0.25">
      <c r="A293" s="39"/>
      <c r="B293" s="39"/>
      <c r="C293" s="39"/>
      <c r="D293" s="1"/>
      <c r="E293" s="1"/>
      <c r="F293" s="1"/>
      <c r="G293" s="1"/>
      <c r="H293" s="1"/>
      <c r="I293" s="1"/>
      <c r="J293" s="1"/>
      <c r="K293" s="1"/>
      <c r="L293" s="1"/>
      <c r="M293" s="39"/>
      <c r="N293" s="39"/>
      <c r="O293" s="39"/>
      <c r="P293" s="39"/>
      <c r="Q293" s="39"/>
      <c r="R293" s="39"/>
      <c r="S293" s="39"/>
    </row>
    <row r="294" spans="1:19" x14ac:dyDescent="0.25">
      <c r="A294" s="39"/>
      <c r="B294" s="39"/>
      <c r="C294" s="39"/>
      <c r="D294" s="1"/>
      <c r="E294" s="1"/>
      <c r="F294" s="1"/>
      <c r="G294" s="1"/>
      <c r="H294" s="1"/>
      <c r="I294" s="1"/>
      <c r="J294" s="1"/>
      <c r="K294" s="1"/>
      <c r="L294" s="1"/>
      <c r="M294" s="39"/>
      <c r="N294" s="39"/>
      <c r="O294" s="39"/>
      <c r="P294" s="39"/>
      <c r="Q294" s="39"/>
      <c r="R294" s="39"/>
      <c r="S294" s="39"/>
    </row>
    <row r="295" spans="1:19" x14ac:dyDescent="0.25">
      <c r="A295" s="39"/>
      <c r="B295" s="39"/>
      <c r="C295" s="39"/>
      <c r="D295" s="1"/>
      <c r="E295" s="1"/>
      <c r="F295" s="1"/>
      <c r="G295" s="1"/>
      <c r="H295" s="1"/>
      <c r="I295" s="1"/>
      <c r="J295" s="1"/>
      <c r="K295" s="1"/>
      <c r="L295" s="1"/>
      <c r="M295" s="39"/>
      <c r="N295" s="39"/>
      <c r="O295" s="39"/>
      <c r="P295" s="39"/>
      <c r="Q295" s="39"/>
      <c r="R295" s="39"/>
      <c r="S295" s="39"/>
    </row>
    <row r="296" spans="1:19" x14ac:dyDescent="0.25">
      <c r="A296" s="39"/>
      <c r="B296" s="39"/>
      <c r="C296" s="39"/>
      <c r="D296" s="1"/>
      <c r="E296" s="1"/>
      <c r="F296" s="1"/>
      <c r="G296" s="1"/>
      <c r="H296" s="1"/>
      <c r="I296" s="1"/>
      <c r="J296" s="1"/>
      <c r="K296" s="1"/>
      <c r="L296" s="1"/>
      <c r="M296" s="39"/>
      <c r="N296" s="39"/>
      <c r="O296" s="39"/>
      <c r="P296" s="39"/>
      <c r="Q296" s="39"/>
      <c r="R296" s="39"/>
      <c r="S296" s="39"/>
    </row>
    <row r="297" spans="1:19" x14ac:dyDescent="0.25">
      <c r="A297" s="39"/>
      <c r="B297" s="39"/>
      <c r="C297" s="39"/>
      <c r="D297" s="1"/>
      <c r="E297" s="1"/>
      <c r="F297" s="1"/>
      <c r="G297" s="1"/>
      <c r="H297" s="1"/>
      <c r="I297" s="1"/>
      <c r="J297" s="1"/>
      <c r="K297" s="1"/>
      <c r="L297" s="1"/>
      <c r="M297" s="39"/>
      <c r="N297" s="39"/>
      <c r="O297" s="39"/>
      <c r="P297" s="39"/>
      <c r="Q297" s="39"/>
      <c r="R297" s="39"/>
      <c r="S297" s="39"/>
    </row>
    <row r="298" spans="1:19" x14ac:dyDescent="0.25">
      <c r="A298" s="39"/>
      <c r="B298" s="39"/>
      <c r="C298" s="39"/>
      <c r="D298" s="1"/>
      <c r="E298" s="1"/>
      <c r="F298" s="1"/>
      <c r="G298" s="1"/>
      <c r="H298" s="1"/>
      <c r="I298" s="1"/>
      <c r="J298" s="1"/>
      <c r="K298" s="1"/>
      <c r="L298" s="1"/>
      <c r="M298" s="39"/>
      <c r="N298" s="39"/>
      <c r="O298" s="39"/>
      <c r="P298" s="39"/>
      <c r="Q298" s="39"/>
      <c r="R298" s="39"/>
      <c r="S298" s="39"/>
    </row>
    <row r="299" spans="1:19" x14ac:dyDescent="0.25">
      <c r="A299" s="39"/>
      <c r="B299" s="39"/>
      <c r="C299" s="39"/>
      <c r="D299" s="1"/>
      <c r="E299" s="1"/>
      <c r="F299" s="1"/>
      <c r="G299" s="1"/>
      <c r="H299" s="1"/>
      <c r="I299" s="1"/>
      <c r="J299" s="1"/>
      <c r="K299" s="1"/>
      <c r="L299" s="1"/>
      <c r="M299" s="39"/>
      <c r="N299" s="39"/>
      <c r="O299" s="39"/>
      <c r="P299" s="39"/>
      <c r="Q299" s="39"/>
      <c r="R299" s="39"/>
      <c r="S299" s="39"/>
    </row>
    <row r="300" spans="1:19" x14ac:dyDescent="0.25">
      <c r="A300" s="39"/>
      <c r="B300" s="39"/>
      <c r="C300" s="39"/>
      <c r="D300" s="1"/>
      <c r="E300" s="1"/>
      <c r="F300" s="1"/>
      <c r="G300" s="1"/>
      <c r="H300" s="1"/>
      <c r="I300" s="1"/>
      <c r="J300" s="1"/>
      <c r="K300" s="1"/>
      <c r="L300" s="1"/>
      <c r="M300" s="39"/>
      <c r="N300" s="39"/>
      <c r="O300" s="39"/>
      <c r="P300" s="39"/>
      <c r="Q300" s="39"/>
      <c r="R300" s="39"/>
      <c r="S300" s="39"/>
    </row>
    <row r="301" spans="1:19" x14ac:dyDescent="0.25">
      <c r="A301" s="39"/>
      <c r="B301" s="39"/>
      <c r="C301" s="39"/>
      <c r="D301" s="1"/>
      <c r="E301" s="1"/>
      <c r="F301" s="1"/>
      <c r="G301" s="1"/>
      <c r="H301" s="1"/>
      <c r="I301" s="1"/>
      <c r="J301" s="1"/>
      <c r="K301" s="1"/>
      <c r="L301" s="1"/>
      <c r="M301" s="39"/>
      <c r="N301" s="39"/>
      <c r="O301" s="39"/>
      <c r="P301" s="39"/>
      <c r="Q301" s="39"/>
      <c r="R301" s="39"/>
      <c r="S301" s="39"/>
    </row>
    <row r="302" spans="1:19" x14ac:dyDescent="0.25">
      <c r="A302" s="39"/>
      <c r="B302" s="39"/>
      <c r="C302" s="39"/>
      <c r="D302" s="1"/>
      <c r="E302" s="1"/>
      <c r="F302" s="1"/>
      <c r="G302" s="1"/>
      <c r="H302" s="1"/>
      <c r="I302" s="1"/>
      <c r="J302" s="1"/>
      <c r="K302" s="1"/>
      <c r="L302" s="1"/>
      <c r="M302" s="39"/>
      <c r="N302" s="39"/>
      <c r="O302" s="39"/>
      <c r="P302" s="39"/>
      <c r="Q302" s="39"/>
      <c r="R302" s="39"/>
      <c r="S302" s="39"/>
    </row>
    <row r="303" spans="1:19" x14ac:dyDescent="0.25">
      <c r="A303" s="39"/>
      <c r="B303" s="39"/>
      <c r="C303" s="39"/>
      <c r="D303" s="1"/>
      <c r="E303" s="1"/>
      <c r="F303" s="1"/>
      <c r="G303" s="1"/>
      <c r="H303" s="1"/>
      <c r="I303" s="1"/>
      <c r="J303" s="1"/>
      <c r="K303" s="1"/>
      <c r="L303" s="1"/>
      <c r="M303" s="39"/>
      <c r="N303" s="39"/>
      <c r="O303" s="39"/>
      <c r="P303" s="39"/>
      <c r="Q303" s="39"/>
      <c r="R303" s="39"/>
      <c r="S303" s="39"/>
    </row>
    <row r="304" spans="1:19" x14ac:dyDescent="0.25">
      <c r="A304" s="39"/>
      <c r="B304" s="39"/>
      <c r="C304" s="39"/>
      <c r="D304" s="1"/>
      <c r="E304" s="1"/>
      <c r="F304" s="1"/>
      <c r="G304" s="1"/>
      <c r="H304" s="1"/>
      <c r="I304" s="1"/>
      <c r="J304" s="1"/>
      <c r="K304" s="1"/>
      <c r="L304" s="1"/>
      <c r="M304" s="39"/>
      <c r="N304" s="39"/>
      <c r="O304" s="39"/>
      <c r="P304" s="39"/>
      <c r="Q304" s="39"/>
      <c r="R304" s="39"/>
      <c r="S304" s="39"/>
    </row>
    <row r="305" spans="1:19" x14ac:dyDescent="0.25">
      <c r="A305" s="39"/>
      <c r="B305" s="39"/>
      <c r="C305" s="39"/>
      <c r="D305" s="1"/>
      <c r="E305" s="1"/>
      <c r="F305" s="1"/>
      <c r="G305" s="1"/>
      <c r="H305" s="1"/>
      <c r="I305" s="1"/>
      <c r="J305" s="1"/>
      <c r="K305" s="1"/>
      <c r="L305" s="1"/>
      <c r="M305" s="39"/>
      <c r="N305" s="39"/>
      <c r="O305" s="39"/>
      <c r="P305" s="39"/>
      <c r="Q305" s="39"/>
      <c r="R305" s="39"/>
      <c r="S305" s="39"/>
    </row>
    <row r="306" spans="1:19" x14ac:dyDescent="0.25">
      <c r="A306" s="39"/>
      <c r="B306" s="39"/>
      <c r="C306" s="39"/>
      <c r="D306" s="1"/>
      <c r="E306" s="1"/>
      <c r="F306" s="1"/>
      <c r="G306" s="1"/>
      <c r="H306" s="1"/>
      <c r="I306" s="1"/>
      <c r="J306" s="1"/>
      <c r="K306" s="1"/>
      <c r="L306" s="1"/>
      <c r="M306" s="39"/>
      <c r="N306" s="39"/>
      <c r="O306" s="39"/>
      <c r="P306" s="39"/>
      <c r="Q306" s="39"/>
      <c r="R306" s="39"/>
      <c r="S306" s="39"/>
    </row>
    <row r="307" spans="1:19" x14ac:dyDescent="0.25">
      <c r="A307" s="39"/>
      <c r="B307" s="39"/>
      <c r="C307" s="39"/>
      <c r="D307" s="1"/>
      <c r="E307" s="1"/>
      <c r="F307" s="1"/>
      <c r="G307" s="1"/>
      <c r="H307" s="1"/>
      <c r="I307" s="1"/>
      <c r="J307" s="1"/>
      <c r="K307" s="1"/>
      <c r="L307" s="1"/>
      <c r="M307" s="39"/>
      <c r="N307" s="39"/>
      <c r="O307" s="39"/>
      <c r="P307" s="39"/>
      <c r="Q307" s="39"/>
      <c r="R307" s="39"/>
      <c r="S307" s="39"/>
    </row>
    <row r="308" spans="1:19" x14ac:dyDescent="0.25">
      <c r="A308" s="39"/>
      <c r="B308" s="39"/>
      <c r="C308" s="39"/>
      <c r="D308" s="1"/>
      <c r="E308" s="1"/>
      <c r="F308" s="1"/>
      <c r="G308" s="1"/>
      <c r="H308" s="1"/>
      <c r="I308" s="1"/>
      <c r="J308" s="1"/>
      <c r="K308" s="1"/>
      <c r="L308" s="1"/>
      <c r="M308" s="39"/>
      <c r="N308" s="39"/>
      <c r="O308" s="39"/>
      <c r="P308" s="39"/>
      <c r="Q308" s="39"/>
      <c r="R308" s="39"/>
      <c r="S308" s="39"/>
    </row>
    <row r="309" spans="1:19" x14ac:dyDescent="0.25">
      <c r="A309" s="39"/>
      <c r="B309" s="39"/>
      <c r="C309" s="39"/>
      <c r="D309" s="1"/>
      <c r="E309" s="1"/>
      <c r="F309" s="1"/>
      <c r="G309" s="1"/>
      <c r="H309" s="1"/>
      <c r="I309" s="1"/>
      <c r="J309" s="1"/>
      <c r="K309" s="1"/>
      <c r="L309" s="1"/>
      <c r="M309" s="39"/>
      <c r="N309" s="39"/>
      <c r="O309" s="39"/>
      <c r="P309" s="39"/>
      <c r="Q309" s="39"/>
      <c r="R309" s="39"/>
      <c r="S309" s="39"/>
    </row>
    <row r="310" spans="1:19" x14ac:dyDescent="0.25">
      <c r="A310" s="39"/>
      <c r="B310" s="39"/>
      <c r="C310" s="39"/>
      <c r="D310" s="1"/>
      <c r="E310" s="1"/>
      <c r="F310" s="1"/>
      <c r="G310" s="1"/>
      <c r="H310" s="1"/>
      <c r="I310" s="1"/>
      <c r="J310" s="1"/>
      <c r="K310" s="1"/>
      <c r="L310" s="1"/>
      <c r="M310" s="39"/>
      <c r="N310" s="39"/>
      <c r="O310" s="39"/>
      <c r="P310" s="39"/>
      <c r="Q310" s="39"/>
      <c r="R310" s="39"/>
      <c r="S310" s="39"/>
    </row>
    <row r="311" spans="1:19" x14ac:dyDescent="0.25">
      <c r="A311" s="39"/>
      <c r="B311" s="39"/>
      <c r="C311" s="39"/>
      <c r="D311" s="1"/>
      <c r="E311" s="1"/>
      <c r="F311" s="1"/>
      <c r="G311" s="1"/>
      <c r="H311" s="1"/>
      <c r="I311" s="1"/>
      <c r="J311" s="1"/>
      <c r="K311" s="1"/>
      <c r="L311" s="1"/>
      <c r="M311" s="39"/>
      <c r="N311" s="39"/>
      <c r="O311" s="39"/>
      <c r="P311" s="39"/>
      <c r="Q311" s="39"/>
      <c r="R311" s="39"/>
      <c r="S311" s="39"/>
    </row>
    <row r="312" spans="1:19" x14ac:dyDescent="0.25">
      <c r="A312" s="39"/>
      <c r="B312" s="39"/>
      <c r="C312" s="39"/>
      <c r="D312" s="1"/>
      <c r="E312" s="1"/>
      <c r="F312" s="1"/>
      <c r="G312" s="1"/>
      <c r="H312" s="1"/>
      <c r="I312" s="1"/>
      <c r="J312" s="1"/>
      <c r="K312" s="1"/>
      <c r="L312" s="1"/>
      <c r="M312" s="39"/>
      <c r="N312" s="39"/>
      <c r="O312" s="39"/>
      <c r="P312" s="39"/>
      <c r="Q312" s="39"/>
      <c r="R312" s="39"/>
      <c r="S312" s="39"/>
    </row>
    <row r="313" spans="1:19" x14ac:dyDescent="0.25">
      <c r="A313" s="39"/>
      <c r="B313" s="39"/>
      <c r="C313" s="39"/>
      <c r="D313" s="1"/>
      <c r="E313" s="1"/>
      <c r="F313" s="1"/>
      <c r="G313" s="1"/>
      <c r="H313" s="1"/>
      <c r="I313" s="1"/>
      <c r="J313" s="1"/>
      <c r="K313" s="1"/>
      <c r="L313" s="1"/>
      <c r="M313" s="39"/>
      <c r="N313" s="39"/>
      <c r="O313" s="39"/>
      <c r="P313" s="39"/>
      <c r="Q313" s="39"/>
      <c r="R313" s="39"/>
      <c r="S313" s="39"/>
    </row>
    <row r="314" spans="1:19" x14ac:dyDescent="0.25">
      <c r="A314" s="39"/>
      <c r="B314" s="39"/>
      <c r="C314" s="39"/>
      <c r="D314" s="1"/>
      <c r="E314" s="1"/>
      <c r="F314" s="1"/>
      <c r="G314" s="1"/>
      <c r="H314" s="1"/>
      <c r="I314" s="1"/>
      <c r="J314" s="1"/>
      <c r="K314" s="1"/>
      <c r="L314" s="1"/>
      <c r="M314" s="39"/>
      <c r="N314" s="39"/>
      <c r="O314" s="39"/>
      <c r="P314" s="39"/>
      <c r="Q314" s="39"/>
      <c r="R314" s="39"/>
      <c r="S314" s="39"/>
    </row>
    <row r="315" spans="1:19" x14ac:dyDescent="0.25">
      <c r="A315" s="39"/>
      <c r="B315" s="39"/>
      <c r="C315" s="39"/>
      <c r="D315" s="1"/>
      <c r="E315" s="1"/>
      <c r="F315" s="1"/>
      <c r="G315" s="1"/>
      <c r="H315" s="1"/>
      <c r="I315" s="1"/>
      <c r="J315" s="1"/>
      <c r="K315" s="1"/>
      <c r="L315" s="1"/>
      <c r="M315" s="39"/>
      <c r="N315" s="39"/>
      <c r="O315" s="39"/>
      <c r="P315" s="39"/>
      <c r="Q315" s="39"/>
      <c r="R315" s="39"/>
      <c r="S315" s="39"/>
    </row>
    <row r="316" spans="1:19" x14ac:dyDescent="0.25">
      <c r="A316" s="39"/>
      <c r="B316" s="39"/>
      <c r="C316" s="39"/>
      <c r="D316" s="1"/>
      <c r="E316" s="1"/>
      <c r="F316" s="1"/>
      <c r="G316" s="1"/>
      <c r="H316" s="1"/>
      <c r="I316" s="1"/>
      <c r="J316" s="1"/>
      <c r="K316" s="1"/>
      <c r="L316" s="1"/>
      <c r="M316" s="39"/>
      <c r="N316" s="39"/>
      <c r="O316" s="39"/>
      <c r="P316" s="39"/>
      <c r="Q316" s="39"/>
      <c r="R316" s="39"/>
      <c r="S316" s="39"/>
    </row>
    <row r="317" spans="1:19" x14ac:dyDescent="0.25">
      <c r="A317" s="39"/>
      <c r="B317" s="39"/>
      <c r="C317" s="39"/>
      <c r="D317" s="1"/>
      <c r="E317" s="1"/>
      <c r="F317" s="1"/>
      <c r="G317" s="1"/>
      <c r="H317" s="1"/>
      <c r="I317" s="1"/>
      <c r="J317" s="1"/>
      <c r="K317" s="1"/>
      <c r="L317" s="1"/>
      <c r="M317" s="39"/>
      <c r="N317" s="39"/>
      <c r="O317" s="39"/>
      <c r="P317" s="39"/>
      <c r="Q317" s="39"/>
      <c r="R317" s="39"/>
      <c r="S317" s="39"/>
    </row>
    <row r="318" spans="1:19" x14ac:dyDescent="0.25">
      <c r="A318" s="39"/>
      <c r="B318" s="39"/>
      <c r="C318" s="39"/>
      <c r="D318" s="1"/>
      <c r="E318" s="1"/>
      <c r="F318" s="1"/>
      <c r="G318" s="1"/>
      <c r="H318" s="1"/>
      <c r="I318" s="1"/>
      <c r="J318" s="1"/>
      <c r="K318" s="1"/>
      <c r="L318" s="1"/>
      <c r="M318" s="39"/>
      <c r="N318" s="39"/>
      <c r="O318" s="39"/>
      <c r="P318" s="39"/>
      <c r="Q318" s="39"/>
      <c r="R318" s="39"/>
      <c r="S318" s="39"/>
    </row>
    <row r="319" spans="1:19" x14ac:dyDescent="0.25">
      <c r="A319" s="39"/>
      <c r="B319" s="39"/>
      <c r="C319" s="39"/>
      <c r="D319" s="1"/>
      <c r="E319" s="1"/>
      <c r="F319" s="1"/>
      <c r="G319" s="1"/>
      <c r="H319" s="1"/>
      <c r="I319" s="1"/>
      <c r="J319" s="1"/>
      <c r="K319" s="1"/>
      <c r="L319" s="1"/>
      <c r="M319" s="39"/>
      <c r="N319" s="39"/>
      <c r="O319" s="39"/>
      <c r="P319" s="39"/>
      <c r="Q319" s="39"/>
      <c r="R319" s="39"/>
      <c r="S319" s="39"/>
    </row>
    <row r="320" spans="1:19" x14ac:dyDescent="0.25">
      <c r="A320" s="39"/>
      <c r="B320" s="39"/>
      <c r="C320" s="39"/>
      <c r="D320" s="1"/>
      <c r="E320" s="1"/>
      <c r="F320" s="1"/>
      <c r="G320" s="1"/>
      <c r="H320" s="1"/>
      <c r="I320" s="1"/>
      <c r="J320" s="1"/>
      <c r="K320" s="1"/>
      <c r="L320" s="1"/>
      <c r="M320" s="39"/>
      <c r="N320" s="39"/>
      <c r="O320" s="39"/>
      <c r="P320" s="39"/>
      <c r="Q320" s="39"/>
      <c r="R320" s="39"/>
      <c r="S320" s="39"/>
    </row>
    <row r="321" spans="1:19" x14ac:dyDescent="0.25">
      <c r="A321" s="39"/>
      <c r="B321" s="39"/>
      <c r="C321" s="39"/>
      <c r="D321" s="1"/>
      <c r="E321" s="1"/>
      <c r="F321" s="1"/>
      <c r="G321" s="1"/>
      <c r="H321" s="1"/>
      <c r="I321" s="1"/>
      <c r="J321" s="1"/>
      <c r="K321" s="1"/>
      <c r="L321" s="1"/>
      <c r="M321" s="39"/>
      <c r="N321" s="39"/>
      <c r="O321" s="39"/>
      <c r="P321" s="39"/>
      <c r="Q321" s="39"/>
      <c r="R321" s="39"/>
      <c r="S321" s="39"/>
    </row>
    <row r="322" spans="1:19" x14ac:dyDescent="0.25">
      <c r="A322" s="39"/>
      <c r="B322" s="39"/>
      <c r="C322" s="39"/>
      <c r="D322" s="1"/>
      <c r="E322" s="1"/>
      <c r="F322" s="1"/>
      <c r="G322" s="1"/>
      <c r="H322" s="1"/>
      <c r="I322" s="1"/>
      <c r="J322" s="1"/>
      <c r="K322" s="1"/>
      <c r="L322" s="1"/>
      <c r="M322" s="39"/>
      <c r="N322" s="39"/>
      <c r="O322" s="39"/>
      <c r="P322" s="39"/>
      <c r="Q322" s="39"/>
      <c r="R322" s="39"/>
      <c r="S322" s="39"/>
    </row>
    <row r="323" spans="1:19" x14ac:dyDescent="0.25">
      <c r="A323" s="39"/>
      <c r="B323" s="39"/>
      <c r="C323" s="39"/>
      <c r="D323" s="1"/>
      <c r="E323" s="1"/>
      <c r="F323" s="1"/>
      <c r="G323" s="1"/>
      <c r="H323" s="1"/>
      <c r="I323" s="1"/>
      <c r="J323" s="1"/>
      <c r="K323" s="1"/>
      <c r="L323" s="1"/>
      <c r="M323" s="39"/>
      <c r="N323" s="39"/>
      <c r="O323" s="39"/>
      <c r="P323" s="39"/>
      <c r="Q323" s="39"/>
      <c r="R323" s="39"/>
      <c r="S323" s="39"/>
    </row>
    <row r="324" spans="1:19" x14ac:dyDescent="0.25">
      <c r="A324" s="39"/>
      <c r="B324" s="39"/>
      <c r="C324" s="39"/>
      <c r="D324" s="1"/>
      <c r="E324" s="1"/>
      <c r="F324" s="1"/>
      <c r="G324" s="1"/>
      <c r="H324" s="1"/>
      <c r="I324" s="1"/>
      <c r="J324" s="1"/>
      <c r="K324" s="1"/>
      <c r="L324" s="1"/>
      <c r="M324" s="39"/>
      <c r="N324" s="39"/>
      <c r="O324" s="39"/>
      <c r="P324" s="39"/>
      <c r="Q324" s="39"/>
      <c r="R324" s="39"/>
      <c r="S324" s="39"/>
    </row>
    <row r="325" spans="1:19" x14ac:dyDescent="0.25">
      <c r="A325" s="39"/>
      <c r="B325" s="39"/>
      <c r="C325" s="39"/>
      <c r="D325" s="1"/>
      <c r="E325" s="1"/>
      <c r="F325" s="1"/>
      <c r="G325" s="1"/>
      <c r="H325" s="1"/>
      <c r="I325" s="1"/>
      <c r="J325" s="1"/>
      <c r="K325" s="1"/>
      <c r="L325" s="1"/>
      <c r="M325" s="39"/>
      <c r="N325" s="39"/>
      <c r="O325" s="39"/>
      <c r="P325" s="39"/>
      <c r="Q325" s="39"/>
      <c r="R325" s="39"/>
      <c r="S325" s="39"/>
    </row>
    <row r="326" spans="1:19" x14ac:dyDescent="0.25">
      <c r="A326" s="39"/>
      <c r="B326" s="39"/>
      <c r="C326" s="39"/>
      <c r="D326" s="1"/>
      <c r="E326" s="1"/>
      <c r="F326" s="1"/>
      <c r="G326" s="1"/>
      <c r="H326" s="1"/>
      <c r="I326" s="1"/>
      <c r="J326" s="1"/>
      <c r="K326" s="1"/>
      <c r="L326" s="1"/>
      <c r="M326" s="39"/>
      <c r="N326" s="39"/>
      <c r="O326" s="39"/>
      <c r="P326" s="39"/>
      <c r="Q326" s="39"/>
      <c r="R326" s="39"/>
      <c r="S326" s="39"/>
    </row>
    <row r="327" spans="1:19" x14ac:dyDescent="0.25">
      <c r="A327" s="39"/>
      <c r="B327" s="39"/>
      <c r="C327" s="39"/>
      <c r="D327" s="1"/>
      <c r="E327" s="1"/>
      <c r="F327" s="1"/>
      <c r="G327" s="1"/>
      <c r="H327" s="1"/>
      <c r="I327" s="1"/>
      <c r="J327" s="1"/>
      <c r="K327" s="1"/>
      <c r="L327" s="1"/>
      <c r="M327" s="39"/>
      <c r="N327" s="39"/>
      <c r="O327" s="39"/>
      <c r="P327" s="39"/>
      <c r="Q327" s="39"/>
      <c r="R327" s="39"/>
      <c r="S327" s="39"/>
    </row>
    <row r="328" spans="1:19" x14ac:dyDescent="0.25">
      <c r="A328" s="39"/>
      <c r="B328" s="39"/>
      <c r="C328" s="39"/>
      <c r="D328" s="1"/>
      <c r="E328" s="1"/>
      <c r="F328" s="1"/>
      <c r="G328" s="1"/>
      <c r="H328" s="1"/>
      <c r="I328" s="1"/>
      <c r="J328" s="1"/>
      <c r="K328" s="1"/>
      <c r="L328" s="1"/>
      <c r="M328" s="39"/>
      <c r="N328" s="39"/>
      <c r="O328" s="39"/>
      <c r="P328" s="39"/>
      <c r="Q328" s="39"/>
      <c r="R328" s="39"/>
      <c r="S328" s="39"/>
    </row>
    <row r="329" spans="1:19" x14ac:dyDescent="0.25">
      <c r="A329" s="39"/>
      <c r="B329" s="39"/>
      <c r="C329" s="39"/>
      <c r="D329" s="1"/>
      <c r="E329" s="1"/>
      <c r="F329" s="1"/>
      <c r="G329" s="1"/>
      <c r="H329" s="1"/>
      <c r="I329" s="1"/>
      <c r="J329" s="1"/>
      <c r="K329" s="1"/>
      <c r="L329" s="1"/>
      <c r="M329" s="39"/>
      <c r="N329" s="39"/>
      <c r="O329" s="39"/>
      <c r="P329" s="39"/>
      <c r="Q329" s="39"/>
      <c r="R329" s="39"/>
      <c r="S329" s="39"/>
    </row>
    <row r="330" spans="1:19" x14ac:dyDescent="0.25">
      <c r="A330" s="39"/>
      <c r="B330" s="39"/>
      <c r="C330" s="39"/>
      <c r="D330" s="1"/>
      <c r="E330" s="1"/>
      <c r="F330" s="1"/>
      <c r="G330" s="1"/>
      <c r="H330" s="1"/>
      <c r="I330" s="1"/>
      <c r="J330" s="1"/>
      <c r="K330" s="1"/>
      <c r="L330" s="1"/>
      <c r="M330" s="39"/>
      <c r="N330" s="39"/>
      <c r="O330" s="39"/>
      <c r="P330" s="39"/>
      <c r="Q330" s="39"/>
      <c r="R330" s="39"/>
      <c r="S330" s="39"/>
    </row>
    <row r="331" spans="1:19" x14ac:dyDescent="0.25">
      <c r="A331" s="39"/>
      <c r="B331" s="39"/>
      <c r="C331" s="39"/>
      <c r="D331" s="1"/>
      <c r="E331" s="1"/>
      <c r="F331" s="1"/>
      <c r="G331" s="1"/>
      <c r="H331" s="1"/>
      <c r="I331" s="1"/>
      <c r="J331" s="1"/>
      <c r="K331" s="1"/>
      <c r="L331" s="1"/>
      <c r="M331" s="39"/>
      <c r="N331" s="39"/>
      <c r="O331" s="39"/>
      <c r="P331" s="39"/>
      <c r="Q331" s="39"/>
      <c r="R331" s="39"/>
      <c r="S331" s="39"/>
    </row>
    <row r="332" spans="1:19" x14ac:dyDescent="0.25">
      <c r="A332" s="39"/>
      <c r="B332" s="39"/>
      <c r="C332" s="39"/>
      <c r="D332" s="1"/>
      <c r="E332" s="1"/>
      <c r="F332" s="1"/>
      <c r="G332" s="1"/>
      <c r="H332" s="1"/>
      <c r="I332" s="1"/>
      <c r="J332" s="1"/>
      <c r="K332" s="1"/>
      <c r="L332" s="1"/>
      <c r="M332" s="39"/>
      <c r="N332" s="39"/>
      <c r="O332" s="39"/>
      <c r="P332" s="39"/>
      <c r="Q332" s="39"/>
      <c r="R332" s="39"/>
      <c r="S332" s="39"/>
    </row>
    <row r="333" spans="1:19" x14ac:dyDescent="0.25">
      <c r="A333" s="39"/>
      <c r="B333" s="39"/>
      <c r="C333" s="39"/>
      <c r="D333" s="1"/>
      <c r="E333" s="1"/>
      <c r="F333" s="1"/>
      <c r="G333" s="1"/>
      <c r="H333" s="1"/>
      <c r="I333" s="1"/>
      <c r="J333" s="1"/>
      <c r="K333" s="1"/>
      <c r="L333" s="1"/>
      <c r="M333" s="39"/>
      <c r="N333" s="39"/>
      <c r="O333" s="39"/>
      <c r="P333" s="39"/>
      <c r="Q333" s="39"/>
      <c r="R333" s="39"/>
      <c r="S333" s="39"/>
    </row>
    <row r="334" spans="1:19" x14ac:dyDescent="0.25">
      <c r="A334" s="39"/>
      <c r="B334" s="39"/>
      <c r="C334" s="39"/>
      <c r="D334" s="1"/>
      <c r="E334" s="1"/>
      <c r="F334" s="1"/>
      <c r="G334" s="1"/>
      <c r="H334" s="1"/>
      <c r="I334" s="1"/>
      <c r="J334" s="1"/>
      <c r="K334" s="1"/>
      <c r="L334" s="1"/>
      <c r="M334" s="39"/>
      <c r="N334" s="39"/>
      <c r="O334" s="39"/>
      <c r="P334" s="39"/>
      <c r="Q334" s="39"/>
      <c r="R334" s="39"/>
      <c r="S334" s="39"/>
    </row>
    <row r="335" spans="1:19" x14ac:dyDescent="0.25">
      <c r="A335" s="39"/>
      <c r="B335" s="39"/>
      <c r="C335" s="39"/>
      <c r="D335" s="1"/>
      <c r="E335" s="1"/>
      <c r="F335" s="1"/>
      <c r="G335" s="1"/>
      <c r="H335" s="1"/>
      <c r="I335" s="1"/>
      <c r="J335" s="1"/>
      <c r="K335" s="1"/>
      <c r="L335" s="1"/>
      <c r="M335" s="39"/>
      <c r="N335" s="39"/>
      <c r="O335" s="39"/>
      <c r="P335" s="39"/>
      <c r="Q335" s="39"/>
      <c r="R335" s="39"/>
      <c r="S335" s="39"/>
    </row>
    <row r="336" spans="1:19" x14ac:dyDescent="0.25">
      <c r="A336" s="39"/>
      <c r="B336" s="39"/>
      <c r="C336" s="39"/>
      <c r="D336" s="1"/>
      <c r="E336" s="1"/>
      <c r="F336" s="1"/>
      <c r="G336" s="1"/>
      <c r="H336" s="1"/>
      <c r="I336" s="1"/>
      <c r="J336" s="1"/>
      <c r="K336" s="1"/>
      <c r="L336" s="1"/>
      <c r="M336" s="39"/>
      <c r="N336" s="39"/>
      <c r="O336" s="39"/>
      <c r="P336" s="39"/>
      <c r="Q336" s="39"/>
      <c r="R336" s="39"/>
      <c r="S336" s="39"/>
    </row>
    <row r="337" spans="1:19" x14ac:dyDescent="0.25">
      <c r="A337" s="39"/>
      <c r="B337" s="39"/>
      <c r="C337" s="39"/>
      <c r="D337" s="1"/>
      <c r="E337" s="1"/>
      <c r="F337" s="1"/>
      <c r="G337" s="1"/>
      <c r="H337" s="1"/>
      <c r="I337" s="1"/>
      <c r="J337" s="1"/>
      <c r="K337" s="1"/>
      <c r="L337" s="1"/>
      <c r="M337" s="39"/>
      <c r="N337" s="39"/>
      <c r="O337" s="39"/>
      <c r="P337" s="39"/>
      <c r="Q337" s="39"/>
      <c r="R337" s="39"/>
      <c r="S337" s="39"/>
    </row>
    <row r="338" spans="1:19" x14ac:dyDescent="0.25">
      <c r="A338" s="39"/>
      <c r="B338" s="39"/>
      <c r="C338" s="39"/>
      <c r="D338" s="1"/>
      <c r="E338" s="1"/>
      <c r="F338" s="1"/>
      <c r="G338" s="1"/>
      <c r="H338" s="1"/>
      <c r="I338" s="1"/>
      <c r="J338" s="1"/>
      <c r="K338" s="1"/>
      <c r="L338" s="1"/>
      <c r="M338" s="39"/>
      <c r="N338" s="39"/>
      <c r="O338" s="39"/>
      <c r="P338" s="39"/>
      <c r="Q338" s="39"/>
      <c r="R338" s="39"/>
      <c r="S338" s="39"/>
    </row>
    <row r="339" spans="1:19" x14ac:dyDescent="0.25">
      <c r="A339" s="39"/>
      <c r="B339" s="39"/>
      <c r="C339" s="39"/>
      <c r="D339" s="1"/>
      <c r="E339" s="1"/>
      <c r="F339" s="1"/>
      <c r="G339" s="1"/>
      <c r="H339" s="1"/>
      <c r="I339" s="1"/>
      <c r="J339" s="1"/>
      <c r="K339" s="1"/>
      <c r="L339" s="1"/>
      <c r="M339" s="39"/>
      <c r="N339" s="39"/>
      <c r="O339" s="39"/>
      <c r="P339" s="39"/>
      <c r="Q339" s="39"/>
      <c r="R339" s="39"/>
      <c r="S339" s="39"/>
    </row>
    <row r="340" spans="1:19" x14ac:dyDescent="0.25">
      <c r="A340" s="39"/>
      <c r="B340" s="39"/>
      <c r="C340" s="39"/>
      <c r="D340" s="1"/>
      <c r="E340" s="1"/>
      <c r="F340" s="1"/>
      <c r="G340" s="1"/>
      <c r="H340" s="1"/>
      <c r="I340" s="1"/>
      <c r="J340" s="1"/>
      <c r="K340" s="1"/>
      <c r="L340" s="1"/>
      <c r="M340" s="39"/>
      <c r="N340" s="39"/>
      <c r="O340" s="39"/>
      <c r="P340" s="39"/>
      <c r="Q340" s="39"/>
      <c r="R340" s="39"/>
      <c r="S340" s="39"/>
    </row>
    <row r="341" spans="1:19" x14ac:dyDescent="0.25">
      <c r="A341" s="39"/>
      <c r="B341" s="39"/>
      <c r="C341" s="39"/>
      <c r="D341" s="1"/>
      <c r="E341" s="1"/>
      <c r="F341" s="1"/>
      <c r="G341" s="1"/>
      <c r="H341" s="1"/>
      <c r="I341" s="1"/>
      <c r="J341" s="1"/>
      <c r="K341" s="1"/>
      <c r="L341" s="1"/>
      <c r="M341" s="39"/>
      <c r="N341" s="39"/>
      <c r="O341" s="39"/>
      <c r="P341" s="39"/>
      <c r="Q341" s="39"/>
      <c r="R341" s="39"/>
      <c r="S341" s="39"/>
    </row>
    <row r="342" spans="1:19" x14ac:dyDescent="0.25">
      <c r="A342" s="39"/>
      <c r="B342" s="39"/>
      <c r="C342" s="39"/>
      <c r="D342" s="1"/>
      <c r="E342" s="1"/>
      <c r="F342" s="1"/>
      <c r="G342" s="1"/>
      <c r="H342" s="1"/>
      <c r="I342" s="1"/>
      <c r="J342" s="1"/>
      <c r="K342" s="1"/>
      <c r="L342" s="1"/>
      <c r="M342" s="39"/>
      <c r="N342" s="39"/>
      <c r="O342" s="39"/>
      <c r="P342" s="39"/>
      <c r="Q342" s="39"/>
      <c r="R342" s="39"/>
      <c r="S342" s="39"/>
    </row>
    <row r="343" spans="1:19" x14ac:dyDescent="0.25">
      <c r="A343" s="39"/>
      <c r="B343" s="39"/>
      <c r="C343" s="39"/>
      <c r="D343" s="1"/>
      <c r="E343" s="1"/>
      <c r="F343" s="1"/>
      <c r="G343" s="1"/>
      <c r="H343" s="1"/>
      <c r="I343" s="1"/>
      <c r="J343" s="1"/>
      <c r="K343" s="1"/>
      <c r="L343" s="1"/>
      <c r="M343" s="39"/>
      <c r="N343" s="39"/>
      <c r="O343" s="39"/>
      <c r="P343" s="39"/>
      <c r="Q343" s="39"/>
      <c r="R343" s="39"/>
      <c r="S343" s="39"/>
    </row>
    <row r="344" spans="1:19" x14ac:dyDescent="0.25">
      <c r="A344" s="39"/>
      <c r="B344" s="39"/>
      <c r="C344" s="39"/>
      <c r="D344" s="1"/>
      <c r="E344" s="1"/>
      <c r="F344" s="1"/>
      <c r="G344" s="1"/>
      <c r="H344" s="1"/>
      <c r="I344" s="1"/>
      <c r="J344" s="1"/>
      <c r="K344" s="1"/>
      <c r="L344" s="1"/>
      <c r="M344" s="39"/>
      <c r="N344" s="39"/>
      <c r="O344" s="39"/>
      <c r="P344" s="39"/>
      <c r="Q344" s="39"/>
      <c r="R344" s="39"/>
      <c r="S344" s="39"/>
    </row>
    <row r="345" spans="1:19" x14ac:dyDescent="0.25">
      <c r="A345" s="39"/>
      <c r="B345" s="39"/>
      <c r="C345" s="39"/>
      <c r="D345" s="1"/>
      <c r="E345" s="1"/>
      <c r="F345" s="1"/>
      <c r="G345" s="1"/>
      <c r="H345" s="1"/>
      <c r="I345" s="1"/>
      <c r="J345" s="1"/>
      <c r="K345" s="1"/>
      <c r="L345" s="1"/>
      <c r="M345" s="39"/>
      <c r="N345" s="39"/>
      <c r="O345" s="39"/>
      <c r="P345" s="39"/>
      <c r="Q345" s="39"/>
      <c r="R345" s="39"/>
      <c r="S345" s="39"/>
    </row>
    <row r="346" spans="1:19" x14ac:dyDescent="0.25">
      <c r="A346" s="39"/>
      <c r="B346" s="39"/>
      <c r="C346" s="39"/>
      <c r="D346" s="1"/>
      <c r="E346" s="1"/>
      <c r="F346" s="1"/>
      <c r="G346" s="1"/>
      <c r="H346" s="1"/>
      <c r="I346" s="1"/>
      <c r="J346" s="1"/>
      <c r="K346" s="1"/>
      <c r="L346" s="1"/>
      <c r="M346" s="39"/>
      <c r="N346" s="39"/>
      <c r="O346" s="39"/>
      <c r="P346" s="39"/>
      <c r="Q346" s="39"/>
      <c r="R346" s="39"/>
      <c r="S346" s="39"/>
    </row>
    <row r="347" spans="1:19" x14ac:dyDescent="0.25">
      <c r="A347" s="39"/>
      <c r="B347" s="39"/>
      <c r="C347" s="39"/>
      <c r="D347" s="1"/>
      <c r="E347" s="1"/>
      <c r="F347" s="1"/>
      <c r="G347" s="1"/>
      <c r="H347" s="1"/>
      <c r="I347" s="1"/>
      <c r="J347" s="1"/>
      <c r="K347" s="1"/>
      <c r="L347" s="1"/>
      <c r="M347" s="39"/>
      <c r="N347" s="39"/>
      <c r="O347" s="39"/>
      <c r="P347" s="39"/>
      <c r="Q347" s="39"/>
      <c r="R347" s="39"/>
      <c r="S347" s="39"/>
    </row>
    <row r="348" spans="1:19" x14ac:dyDescent="0.25">
      <c r="A348" s="39"/>
      <c r="B348" s="39"/>
      <c r="C348" s="39"/>
      <c r="D348" s="1"/>
      <c r="E348" s="1"/>
      <c r="F348" s="1"/>
      <c r="G348" s="1"/>
      <c r="H348" s="1"/>
      <c r="I348" s="1"/>
      <c r="J348" s="1"/>
      <c r="K348" s="1"/>
      <c r="L348" s="1"/>
      <c r="M348" s="39"/>
      <c r="N348" s="39"/>
      <c r="O348" s="39"/>
      <c r="P348" s="39"/>
      <c r="Q348" s="39"/>
      <c r="R348" s="39"/>
      <c r="S348" s="39"/>
    </row>
    <row r="349" spans="1:19" x14ac:dyDescent="0.25">
      <c r="A349" s="39"/>
      <c r="B349" s="39"/>
      <c r="C349" s="39"/>
      <c r="D349" s="1"/>
      <c r="E349" s="1"/>
      <c r="F349" s="1"/>
      <c r="G349" s="1"/>
      <c r="H349" s="1"/>
      <c r="I349" s="1"/>
      <c r="J349" s="1"/>
      <c r="K349" s="1"/>
      <c r="L349" s="1"/>
      <c r="M349" s="39"/>
      <c r="N349" s="39"/>
      <c r="O349" s="39"/>
      <c r="P349" s="39"/>
      <c r="Q349" s="39"/>
      <c r="R349" s="39"/>
      <c r="S349" s="39"/>
    </row>
    <row r="350" spans="1:19" x14ac:dyDescent="0.25">
      <c r="A350" s="39"/>
      <c r="B350" s="39"/>
      <c r="C350" s="39"/>
      <c r="D350" s="1"/>
      <c r="E350" s="1"/>
      <c r="F350" s="1"/>
      <c r="G350" s="1"/>
      <c r="H350" s="1"/>
      <c r="I350" s="1"/>
      <c r="J350" s="1"/>
      <c r="K350" s="1"/>
      <c r="L350" s="1"/>
      <c r="M350" s="39"/>
      <c r="N350" s="39"/>
      <c r="O350" s="39"/>
      <c r="P350" s="39"/>
      <c r="Q350" s="39"/>
      <c r="R350" s="39"/>
      <c r="S350" s="39"/>
    </row>
    <row r="351" spans="1:19" x14ac:dyDescent="0.25">
      <c r="A351" s="39"/>
      <c r="B351" s="39"/>
      <c r="C351" s="39"/>
      <c r="D351" s="1"/>
      <c r="E351" s="1"/>
      <c r="F351" s="1"/>
      <c r="G351" s="1"/>
      <c r="H351" s="1"/>
      <c r="I351" s="1"/>
      <c r="J351" s="1"/>
      <c r="K351" s="1"/>
      <c r="L351" s="1"/>
      <c r="M351" s="39"/>
      <c r="N351" s="39"/>
      <c r="O351" s="39"/>
      <c r="P351" s="39"/>
      <c r="Q351" s="39"/>
      <c r="R351" s="39"/>
      <c r="S351" s="39"/>
    </row>
    <row r="352" spans="1:19" x14ac:dyDescent="0.25">
      <c r="A352" s="39"/>
      <c r="B352" s="39"/>
      <c r="C352" s="39"/>
      <c r="D352" s="1"/>
      <c r="E352" s="1"/>
      <c r="F352" s="1"/>
      <c r="G352" s="1"/>
      <c r="H352" s="1"/>
      <c r="I352" s="1"/>
      <c r="J352" s="1"/>
      <c r="K352" s="1"/>
      <c r="L352" s="1"/>
      <c r="M352" s="39"/>
      <c r="N352" s="39"/>
      <c r="O352" s="39"/>
      <c r="P352" s="39"/>
      <c r="Q352" s="39"/>
      <c r="R352" s="39"/>
      <c r="S352" s="39"/>
    </row>
    <row r="353" spans="1:19" x14ac:dyDescent="0.25">
      <c r="A353" s="39"/>
      <c r="B353" s="39"/>
      <c r="C353" s="39"/>
      <c r="D353" s="1"/>
      <c r="E353" s="1"/>
      <c r="F353" s="1"/>
      <c r="G353" s="1"/>
      <c r="H353" s="1"/>
      <c r="I353" s="1"/>
      <c r="J353" s="1"/>
      <c r="K353" s="1"/>
      <c r="L353" s="1"/>
      <c r="M353" s="39"/>
      <c r="N353" s="39"/>
      <c r="O353" s="39"/>
      <c r="P353" s="39"/>
      <c r="Q353" s="39"/>
      <c r="R353" s="39"/>
      <c r="S353" s="39"/>
    </row>
    <row r="354" spans="1:19" x14ac:dyDescent="0.25">
      <c r="A354" s="39"/>
      <c r="B354" s="39"/>
      <c r="C354" s="39"/>
      <c r="D354" s="1"/>
      <c r="E354" s="1"/>
      <c r="F354" s="1"/>
      <c r="G354" s="1"/>
      <c r="H354" s="1"/>
      <c r="I354" s="1"/>
      <c r="J354" s="1"/>
      <c r="K354" s="1"/>
      <c r="L354" s="1"/>
      <c r="M354" s="39"/>
      <c r="N354" s="39"/>
      <c r="O354" s="39"/>
      <c r="P354" s="39"/>
      <c r="Q354" s="39"/>
      <c r="R354" s="39"/>
      <c r="S354" s="39"/>
    </row>
    <row r="355" spans="1:19" x14ac:dyDescent="0.25">
      <c r="A355" s="39"/>
      <c r="B355" s="39"/>
      <c r="C355" s="39"/>
      <c r="D355" s="1"/>
      <c r="E355" s="1"/>
      <c r="F355" s="1"/>
      <c r="G355" s="1"/>
      <c r="H355" s="1"/>
      <c r="I355" s="1"/>
      <c r="J355" s="1"/>
      <c r="K355" s="1"/>
      <c r="L355" s="1"/>
      <c r="M355" s="39"/>
      <c r="N355" s="39"/>
      <c r="O355" s="39"/>
      <c r="P355" s="39"/>
      <c r="Q355" s="39"/>
      <c r="R355" s="39"/>
      <c r="S355" s="39"/>
    </row>
    <row r="356" spans="1:19" x14ac:dyDescent="0.25">
      <c r="A356" s="39"/>
      <c r="B356" s="39"/>
      <c r="C356" s="39"/>
      <c r="D356" s="1"/>
      <c r="E356" s="1"/>
      <c r="F356" s="1"/>
      <c r="G356" s="1"/>
      <c r="H356" s="1"/>
      <c r="I356" s="1"/>
      <c r="J356" s="1"/>
      <c r="K356" s="1"/>
      <c r="L356" s="1"/>
      <c r="M356" s="39"/>
      <c r="N356" s="39"/>
      <c r="O356" s="39"/>
      <c r="P356" s="39"/>
      <c r="Q356" s="39"/>
      <c r="R356" s="39"/>
      <c r="S356" s="39"/>
    </row>
    <row r="357" spans="1:19" x14ac:dyDescent="0.25">
      <c r="A357" s="39"/>
      <c r="B357" s="39"/>
      <c r="C357" s="39"/>
      <c r="D357" s="1"/>
      <c r="E357" s="1"/>
      <c r="F357" s="1"/>
      <c r="G357" s="1"/>
      <c r="H357" s="1"/>
      <c r="I357" s="1"/>
      <c r="J357" s="1"/>
      <c r="K357" s="1"/>
      <c r="L357" s="1"/>
      <c r="M357" s="39"/>
      <c r="N357" s="39"/>
      <c r="O357" s="39"/>
      <c r="P357" s="39"/>
      <c r="Q357" s="39"/>
      <c r="R357" s="39"/>
      <c r="S357" s="39"/>
    </row>
    <row r="358" spans="1:19" x14ac:dyDescent="0.25">
      <c r="A358" s="39"/>
      <c r="B358" s="39"/>
      <c r="C358" s="39"/>
      <c r="D358" s="1"/>
      <c r="E358" s="1"/>
      <c r="F358" s="1"/>
      <c r="G358" s="1"/>
      <c r="H358" s="1"/>
      <c r="I358" s="1"/>
      <c r="J358" s="1"/>
      <c r="K358" s="1"/>
      <c r="L358" s="1"/>
      <c r="M358" s="39"/>
      <c r="N358" s="39"/>
      <c r="O358" s="39"/>
      <c r="P358" s="39"/>
      <c r="Q358" s="39"/>
      <c r="R358" s="39"/>
      <c r="S358" s="39"/>
    </row>
    <row r="359" spans="1:19" x14ac:dyDescent="0.25">
      <c r="A359" s="39"/>
      <c r="B359" s="39"/>
      <c r="C359" s="39"/>
      <c r="D359" s="1"/>
      <c r="E359" s="1"/>
      <c r="F359" s="1"/>
      <c r="G359" s="1"/>
      <c r="H359" s="1"/>
      <c r="I359" s="1"/>
      <c r="J359" s="1"/>
      <c r="K359" s="1"/>
      <c r="L359" s="1"/>
      <c r="M359" s="39"/>
      <c r="N359" s="39"/>
      <c r="O359" s="39"/>
      <c r="P359" s="39"/>
      <c r="Q359" s="39"/>
      <c r="R359" s="39"/>
      <c r="S359" s="39"/>
    </row>
    <row r="360" spans="1:19" x14ac:dyDescent="0.25">
      <c r="A360" s="39"/>
      <c r="B360" s="39"/>
      <c r="C360" s="39"/>
      <c r="D360" s="1"/>
      <c r="E360" s="1"/>
      <c r="F360" s="1"/>
      <c r="G360" s="1"/>
      <c r="H360" s="1"/>
      <c r="I360" s="1"/>
      <c r="J360" s="1"/>
      <c r="K360" s="1"/>
      <c r="L360" s="1"/>
      <c r="M360" s="39"/>
      <c r="N360" s="39"/>
      <c r="O360" s="39"/>
      <c r="P360" s="39"/>
      <c r="Q360" s="39"/>
      <c r="R360" s="39"/>
      <c r="S360" s="39"/>
    </row>
    <row r="361" spans="1:19" x14ac:dyDescent="0.25">
      <c r="A361" s="39"/>
      <c r="B361" s="39"/>
      <c r="C361" s="39"/>
      <c r="D361" s="1"/>
      <c r="E361" s="1"/>
      <c r="F361" s="1"/>
      <c r="G361" s="1"/>
      <c r="H361" s="1"/>
      <c r="I361" s="1"/>
      <c r="J361" s="1"/>
      <c r="K361" s="1"/>
      <c r="L361" s="1"/>
      <c r="M361" s="39"/>
      <c r="N361" s="39"/>
      <c r="O361" s="39"/>
      <c r="P361" s="39"/>
      <c r="Q361" s="39"/>
      <c r="R361" s="39"/>
      <c r="S361" s="39"/>
    </row>
    <row r="362" spans="1:19" x14ac:dyDescent="0.25">
      <c r="A362" s="39"/>
      <c r="B362" s="39"/>
      <c r="C362" s="39"/>
      <c r="D362" s="1"/>
      <c r="E362" s="1"/>
      <c r="F362" s="1"/>
      <c r="G362" s="1"/>
      <c r="H362" s="1"/>
      <c r="I362" s="1"/>
      <c r="J362" s="1"/>
      <c r="K362" s="1"/>
      <c r="L362" s="1"/>
      <c r="M362" s="39"/>
      <c r="N362" s="39"/>
      <c r="O362" s="39"/>
      <c r="P362" s="39"/>
      <c r="Q362" s="39"/>
      <c r="R362" s="39"/>
      <c r="S362" s="39"/>
    </row>
    <row r="363" spans="1:19" x14ac:dyDescent="0.25">
      <c r="A363" s="39"/>
      <c r="B363" s="39"/>
      <c r="C363" s="39"/>
      <c r="D363" s="1"/>
      <c r="E363" s="1"/>
      <c r="F363" s="1"/>
      <c r="G363" s="1"/>
      <c r="H363" s="1"/>
      <c r="I363" s="1"/>
      <c r="J363" s="1"/>
      <c r="K363" s="1"/>
      <c r="L363" s="1"/>
      <c r="M363" s="39"/>
      <c r="N363" s="39"/>
      <c r="O363" s="39"/>
      <c r="P363" s="39"/>
      <c r="Q363" s="39"/>
      <c r="R363" s="39"/>
      <c r="S363" s="39"/>
    </row>
    <row r="364" spans="1:19" x14ac:dyDescent="0.25">
      <c r="A364" s="39"/>
      <c r="B364" s="39"/>
      <c r="C364" s="39"/>
      <c r="D364" s="1"/>
      <c r="E364" s="1"/>
      <c r="F364" s="1"/>
      <c r="G364" s="1"/>
      <c r="H364" s="1"/>
      <c r="I364" s="1"/>
      <c r="J364" s="1"/>
      <c r="K364" s="1"/>
      <c r="L364" s="1"/>
      <c r="M364" s="39"/>
      <c r="N364" s="39"/>
      <c r="O364" s="39"/>
      <c r="P364" s="39"/>
      <c r="Q364" s="39"/>
      <c r="R364" s="39"/>
      <c r="S364" s="39"/>
    </row>
    <row r="365" spans="1:19" x14ac:dyDescent="0.25">
      <c r="A365" s="39"/>
      <c r="B365" s="39"/>
      <c r="C365" s="39"/>
      <c r="D365" s="1"/>
      <c r="E365" s="1"/>
      <c r="F365" s="1"/>
      <c r="G365" s="1"/>
      <c r="H365" s="1"/>
      <c r="I365" s="1"/>
      <c r="J365" s="1"/>
      <c r="K365" s="1"/>
      <c r="L365" s="1"/>
      <c r="M365" s="39"/>
      <c r="N365" s="39"/>
      <c r="O365" s="39"/>
      <c r="P365" s="39"/>
      <c r="Q365" s="39"/>
      <c r="R365" s="39"/>
      <c r="S365" s="39"/>
    </row>
    <row r="366" spans="1:19" x14ac:dyDescent="0.25">
      <c r="A366" s="39"/>
      <c r="B366" s="39"/>
      <c r="C366" s="39"/>
      <c r="D366" s="1"/>
      <c r="E366" s="1"/>
      <c r="F366" s="1"/>
      <c r="G366" s="1"/>
      <c r="H366" s="1"/>
      <c r="I366" s="1"/>
      <c r="J366" s="1"/>
      <c r="K366" s="1"/>
      <c r="L366" s="1"/>
      <c r="M366" s="39"/>
      <c r="N366" s="39"/>
      <c r="O366" s="39"/>
      <c r="P366" s="39"/>
      <c r="Q366" s="39"/>
      <c r="R366" s="39"/>
      <c r="S366" s="39"/>
    </row>
    <row r="367" spans="1:19" x14ac:dyDescent="0.25">
      <c r="A367" s="39"/>
      <c r="B367" s="39"/>
      <c r="C367" s="39"/>
      <c r="D367" s="1"/>
      <c r="E367" s="1"/>
      <c r="F367" s="1"/>
      <c r="G367" s="1"/>
      <c r="H367" s="1"/>
      <c r="I367" s="1"/>
      <c r="J367" s="1"/>
      <c r="K367" s="1"/>
      <c r="L367" s="1"/>
      <c r="M367" s="39"/>
      <c r="N367" s="39"/>
      <c r="O367" s="39"/>
      <c r="P367" s="39"/>
      <c r="Q367" s="39"/>
      <c r="R367" s="39"/>
      <c r="S367" s="39"/>
    </row>
    <row r="368" spans="1:19" x14ac:dyDescent="0.25">
      <c r="A368" s="39"/>
      <c r="B368" s="39"/>
      <c r="C368" s="39"/>
      <c r="D368" s="1"/>
      <c r="E368" s="1"/>
      <c r="F368" s="1"/>
      <c r="G368" s="1"/>
      <c r="H368" s="1"/>
      <c r="I368" s="1"/>
      <c r="J368" s="1"/>
      <c r="K368" s="1"/>
      <c r="L368" s="1"/>
      <c r="M368" s="39"/>
      <c r="N368" s="39"/>
      <c r="O368" s="39"/>
      <c r="P368" s="39"/>
      <c r="Q368" s="39"/>
      <c r="R368" s="39"/>
      <c r="S368" s="39"/>
    </row>
    <row r="369" spans="1:19" x14ac:dyDescent="0.25">
      <c r="A369" s="39"/>
      <c r="B369" s="39"/>
      <c r="C369" s="39"/>
      <c r="D369" s="1"/>
      <c r="E369" s="1"/>
      <c r="F369" s="1"/>
      <c r="G369" s="1"/>
      <c r="H369" s="1"/>
      <c r="I369" s="1"/>
      <c r="J369" s="1"/>
      <c r="K369" s="1"/>
      <c r="L369" s="1"/>
      <c r="M369" s="39"/>
      <c r="N369" s="39"/>
      <c r="O369" s="39"/>
      <c r="P369" s="39"/>
      <c r="Q369" s="39"/>
      <c r="R369" s="39"/>
      <c r="S369" s="39"/>
    </row>
    <row r="370" spans="1:19" x14ac:dyDescent="0.25">
      <c r="A370" s="39"/>
      <c r="B370" s="39"/>
      <c r="C370" s="39"/>
      <c r="D370" s="1"/>
      <c r="E370" s="1"/>
      <c r="F370" s="1"/>
      <c r="G370" s="1"/>
      <c r="H370" s="1"/>
      <c r="I370" s="1"/>
      <c r="J370" s="1"/>
      <c r="K370" s="1"/>
      <c r="L370" s="1"/>
      <c r="M370" s="39"/>
      <c r="N370" s="39"/>
      <c r="O370" s="39"/>
      <c r="P370" s="39"/>
      <c r="Q370" s="39"/>
      <c r="R370" s="39"/>
      <c r="S370" s="39"/>
    </row>
    <row r="371" spans="1:19" x14ac:dyDescent="0.25">
      <c r="A371" s="39"/>
      <c r="B371" s="39"/>
      <c r="C371" s="39"/>
      <c r="D371" s="1"/>
      <c r="E371" s="1"/>
      <c r="F371" s="1"/>
      <c r="G371" s="1"/>
      <c r="H371" s="1"/>
      <c r="I371" s="1"/>
      <c r="J371" s="1"/>
      <c r="K371" s="1"/>
      <c r="L371" s="1"/>
      <c r="M371" s="39"/>
      <c r="N371" s="39"/>
      <c r="O371" s="39"/>
      <c r="P371" s="39"/>
      <c r="Q371" s="39"/>
      <c r="R371" s="39"/>
      <c r="S371" s="39"/>
    </row>
    <row r="372" spans="1:19" x14ac:dyDescent="0.25">
      <c r="A372" s="39"/>
      <c r="B372" s="39"/>
      <c r="C372" s="39"/>
      <c r="D372" s="1"/>
      <c r="E372" s="1"/>
      <c r="F372" s="1"/>
      <c r="G372" s="1"/>
      <c r="H372" s="1"/>
      <c r="I372" s="1"/>
      <c r="J372" s="1"/>
      <c r="K372" s="1"/>
      <c r="L372" s="1"/>
      <c r="M372" s="39"/>
      <c r="N372" s="39"/>
      <c r="O372" s="39"/>
      <c r="P372" s="39"/>
      <c r="Q372" s="39"/>
      <c r="R372" s="39"/>
      <c r="S372" s="39"/>
    </row>
    <row r="373" spans="1:19" x14ac:dyDescent="0.25">
      <c r="A373" s="39"/>
      <c r="B373" s="39"/>
      <c r="C373" s="39"/>
      <c r="D373" s="1"/>
      <c r="E373" s="1"/>
      <c r="F373" s="1"/>
      <c r="G373" s="1"/>
      <c r="H373" s="1"/>
      <c r="I373" s="1"/>
      <c r="J373" s="1"/>
      <c r="K373" s="1"/>
      <c r="L373" s="1"/>
      <c r="M373" s="39"/>
      <c r="N373" s="39"/>
      <c r="O373" s="39"/>
      <c r="P373" s="39"/>
      <c r="Q373" s="39"/>
      <c r="R373" s="39"/>
      <c r="S373" s="39"/>
    </row>
    <row r="374" spans="1:19" x14ac:dyDescent="0.25">
      <c r="A374" s="39"/>
      <c r="B374" s="39"/>
      <c r="C374" s="39"/>
      <c r="D374" s="1"/>
      <c r="E374" s="1"/>
      <c r="F374" s="1"/>
      <c r="G374" s="1"/>
      <c r="H374" s="1"/>
      <c r="I374" s="1"/>
      <c r="J374" s="1"/>
      <c r="K374" s="1"/>
      <c r="L374" s="1"/>
      <c r="M374" s="39"/>
      <c r="N374" s="39"/>
      <c r="O374" s="39"/>
      <c r="P374" s="39"/>
      <c r="Q374" s="39"/>
      <c r="R374" s="39"/>
      <c r="S374" s="39"/>
    </row>
    <row r="375" spans="1:19" x14ac:dyDescent="0.25">
      <c r="A375" s="39"/>
      <c r="B375" s="39"/>
      <c r="C375" s="39"/>
      <c r="D375" s="1"/>
      <c r="E375" s="1"/>
      <c r="F375" s="1"/>
      <c r="G375" s="1"/>
      <c r="H375" s="1"/>
      <c r="I375" s="1"/>
      <c r="J375" s="1"/>
      <c r="K375" s="1"/>
      <c r="L375" s="1"/>
      <c r="M375" s="39"/>
      <c r="N375" s="39"/>
      <c r="O375" s="39"/>
      <c r="P375" s="39"/>
      <c r="Q375" s="39"/>
      <c r="R375" s="39"/>
      <c r="S375" s="39"/>
    </row>
    <row r="376" spans="1:19" x14ac:dyDescent="0.25">
      <c r="A376" s="39"/>
      <c r="B376" s="39"/>
      <c r="C376" s="39"/>
      <c r="D376" s="1"/>
      <c r="E376" s="1"/>
      <c r="F376" s="1"/>
      <c r="G376" s="1"/>
      <c r="H376" s="1"/>
      <c r="I376" s="1"/>
      <c r="J376" s="1"/>
      <c r="K376" s="1"/>
      <c r="L376" s="1"/>
      <c r="M376" s="39"/>
      <c r="N376" s="39"/>
      <c r="O376" s="39"/>
      <c r="P376" s="39"/>
      <c r="Q376" s="39"/>
      <c r="R376" s="39"/>
      <c r="S376" s="39"/>
    </row>
    <row r="377" spans="1:19" x14ac:dyDescent="0.25">
      <c r="A377" s="39"/>
      <c r="B377" s="39"/>
      <c r="C377" s="39"/>
      <c r="D377" s="1"/>
      <c r="E377" s="1"/>
      <c r="F377" s="1"/>
      <c r="G377" s="1"/>
      <c r="H377" s="1"/>
      <c r="I377" s="1"/>
      <c r="J377" s="1"/>
      <c r="K377" s="1"/>
      <c r="L377" s="1"/>
      <c r="M377" s="39"/>
      <c r="N377" s="39"/>
      <c r="O377" s="39"/>
      <c r="P377" s="39"/>
      <c r="Q377" s="39"/>
      <c r="R377" s="39"/>
      <c r="S377" s="39"/>
    </row>
    <row r="378" spans="1:19" x14ac:dyDescent="0.25">
      <c r="A378" s="39"/>
      <c r="B378" s="39"/>
      <c r="C378" s="39"/>
      <c r="D378" s="1"/>
      <c r="E378" s="1"/>
      <c r="F378" s="1"/>
      <c r="G378" s="1"/>
      <c r="H378" s="1"/>
      <c r="I378" s="1"/>
      <c r="J378" s="1"/>
      <c r="K378" s="1"/>
      <c r="L378" s="1"/>
      <c r="M378" s="39"/>
      <c r="N378" s="39"/>
      <c r="O378" s="39"/>
      <c r="P378" s="39"/>
      <c r="Q378" s="39"/>
      <c r="R378" s="39"/>
      <c r="S378" s="39"/>
    </row>
    <row r="379" spans="1:19" x14ac:dyDescent="0.25">
      <c r="A379" s="39"/>
      <c r="B379" s="39"/>
      <c r="C379" s="39"/>
      <c r="D379" s="1"/>
      <c r="E379" s="1"/>
      <c r="F379" s="1"/>
      <c r="G379" s="1"/>
      <c r="H379" s="1"/>
      <c r="I379" s="1"/>
      <c r="J379" s="1"/>
      <c r="K379" s="1"/>
      <c r="L379" s="1"/>
      <c r="M379" s="39"/>
      <c r="N379" s="39"/>
      <c r="O379" s="39"/>
      <c r="P379" s="39"/>
      <c r="Q379" s="39"/>
      <c r="R379" s="39"/>
      <c r="S379" s="39"/>
    </row>
    <row r="380" spans="1:19" x14ac:dyDescent="0.25">
      <c r="A380" s="39"/>
      <c r="B380" s="39"/>
      <c r="C380" s="39"/>
      <c r="D380" s="1"/>
      <c r="E380" s="1"/>
      <c r="F380" s="1"/>
      <c r="G380" s="1"/>
      <c r="H380" s="1"/>
      <c r="I380" s="1"/>
      <c r="J380" s="1"/>
      <c r="K380" s="1"/>
      <c r="L380" s="1"/>
      <c r="M380" s="39"/>
      <c r="N380" s="39"/>
      <c r="O380" s="39"/>
      <c r="P380" s="39"/>
      <c r="Q380" s="39"/>
      <c r="R380" s="39"/>
      <c r="S380" s="39"/>
    </row>
    <row r="381" spans="1:19" x14ac:dyDescent="0.25">
      <c r="A381" s="39"/>
      <c r="B381" s="39"/>
      <c r="C381" s="39"/>
      <c r="D381" s="1"/>
      <c r="E381" s="1"/>
      <c r="F381" s="1"/>
      <c r="G381" s="1"/>
      <c r="H381" s="1"/>
      <c r="I381" s="1"/>
      <c r="J381" s="1"/>
      <c r="K381" s="1"/>
      <c r="L381" s="1"/>
      <c r="M381" s="39"/>
      <c r="N381" s="39"/>
      <c r="O381" s="39"/>
      <c r="P381" s="39"/>
      <c r="Q381" s="39"/>
      <c r="R381" s="39"/>
      <c r="S381" s="39"/>
    </row>
    <row r="382" spans="1:19" x14ac:dyDescent="0.25">
      <c r="A382" s="39"/>
      <c r="B382" s="39"/>
      <c r="C382" s="39"/>
      <c r="D382" s="1"/>
      <c r="E382" s="1"/>
      <c r="F382" s="1"/>
      <c r="G382" s="1"/>
      <c r="H382" s="1"/>
      <c r="I382" s="1"/>
      <c r="J382" s="1"/>
      <c r="K382" s="1"/>
      <c r="L382" s="1"/>
      <c r="M382" s="39"/>
      <c r="N382" s="39"/>
      <c r="O382" s="39"/>
      <c r="P382" s="39"/>
      <c r="Q382" s="39"/>
      <c r="R382" s="39"/>
      <c r="S382" s="39"/>
    </row>
    <row r="383" spans="1:19" x14ac:dyDescent="0.25">
      <c r="A383" s="39"/>
      <c r="B383" s="39"/>
      <c r="C383" s="39"/>
      <c r="D383" s="1"/>
      <c r="E383" s="1"/>
      <c r="F383" s="1"/>
      <c r="G383" s="1"/>
      <c r="H383" s="1"/>
      <c r="I383" s="1"/>
      <c r="J383" s="1"/>
      <c r="K383" s="1"/>
      <c r="L383" s="1"/>
      <c r="M383" s="39"/>
      <c r="N383" s="39"/>
      <c r="O383" s="39"/>
      <c r="P383" s="39"/>
      <c r="Q383" s="39"/>
      <c r="R383" s="39"/>
      <c r="S383" s="39"/>
    </row>
    <row r="384" spans="1:19" x14ac:dyDescent="0.25">
      <c r="A384" s="39"/>
      <c r="B384" s="39"/>
      <c r="C384" s="39"/>
      <c r="D384" s="1"/>
      <c r="E384" s="1"/>
      <c r="F384" s="1"/>
      <c r="G384" s="1"/>
      <c r="H384" s="1"/>
      <c r="I384" s="1"/>
      <c r="J384" s="1"/>
      <c r="K384" s="1"/>
      <c r="L384" s="1"/>
      <c r="M384" s="39"/>
      <c r="N384" s="39"/>
      <c r="O384" s="39"/>
      <c r="P384" s="39"/>
      <c r="Q384" s="39"/>
      <c r="R384" s="39"/>
      <c r="S384" s="39"/>
    </row>
    <row r="385" spans="1:19" x14ac:dyDescent="0.25">
      <c r="A385" s="39"/>
      <c r="B385" s="39"/>
      <c r="C385" s="39"/>
      <c r="D385" s="1"/>
      <c r="E385" s="1"/>
      <c r="F385" s="1"/>
      <c r="G385" s="1"/>
      <c r="H385" s="1"/>
      <c r="I385" s="1"/>
      <c r="J385" s="1"/>
      <c r="K385" s="1"/>
      <c r="L385" s="1"/>
      <c r="M385" s="39"/>
      <c r="N385" s="39"/>
      <c r="O385" s="39"/>
      <c r="P385" s="39"/>
      <c r="Q385" s="39"/>
      <c r="R385" s="39"/>
      <c r="S385" s="39"/>
    </row>
    <row r="386" spans="1:19" x14ac:dyDescent="0.25">
      <c r="A386" s="39"/>
      <c r="B386" s="39"/>
      <c r="C386" s="39"/>
      <c r="D386" s="1"/>
      <c r="E386" s="1"/>
      <c r="F386" s="1"/>
      <c r="G386" s="1"/>
      <c r="H386" s="1"/>
      <c r="I386" s="1"/>
      <c r="J386" s="1"/>
      <c r="K386" s="1"/>
      <c r="L386" s="1"/>
      <c r="M386" s="39"/>
      <c r="N386" s="39"/>
      <c r="O386" s="39"/>
      <c r="P386" s="39"/>
      <c r="Q386" s="39"/>
      <c r="R386" s="39"/>
      <c r="S386" s="39"/>
    </row>
    <row r="387" spans="1:19" x14ac:dyDescent="0.25">
      <c r="A387" s="39"/>
      <c r="B387" s="39"/>
      <c r="C387" s="39"/>
      <c r="D387" s="1"/>
      <c r="E387" s="1"/>
      <c r="F387" s="1"/>
      <c r="G387" s="1"/>
      <c r="H387" s="1"/>
      <c r="I387" s="1"/>
      <c r="J387" s="1"/>
      <c r="K387" s="1"/>
      <c r="L387" s="1"/>
      <c r="M387" s="39"/>
      <c r="N387" s="39"/>
      <c r="O387" s="39"/>
      <c r="P387" s="39"/>
      <c r="Q387" s="39"/>
      <c r="R387" s="39"/>
      <c r="S387" s="39"/>
    </row>
    <row r="388" spans="1:19" x14ac:dyDescent="0.25">
      <c r="A388" s="39"/>
      <c r="B388" s="39"/>
      <c r="C388" s="39"/>
      <c r="D388" s="1"/>
      <c r="E388" s="1"/>
      <c r="F388" s="1"/>
      <c r="G388" s="1"/>
      <c r="H388" s="1"/>
      <c r="I388" s="1"/>
      <c r="J388" s="1"/>
      <c r="K388" s="1"/>
      <c r="L388" s="1"/>
      <c r="M388" s="39"/>
      <c r="N388" s="39"/>
      <c r="O388" s="39"/>
      <c r="P388" s="39"/>
      <c r="Q388" s="39"/>
      <c r="R388" s="39"/>
      <c r="S388" s="39"/>
    </row>
    <row r="389" spans="1:19" x14ac:dyDescent="0.25">
      <c r="A389" s="39"/>
      <c r="B389" s="39"/>
      <c r="C389" s="39"/>
      <c r="D389" s="1"/>
      <c r="E389" s="1"/>
      <c r="F389" s="1"/>
      <c r="G389" s="1"/>
      <c r="H389" s="1"/>
      <c r="I389" s="1"/>
      <c r="J389" s="1"/>
      <c r="K389" s="1"/>
      <c r="L389" s="1"/>
      <c r="M389" s="39"/>
      <c r="N389" s="39"/>
      <c r="O389" s="39"/>
      <c r="P389" s="39"/>
      <c r="Q389" s="39"/>
      <c r="R389" s="39"/>
      <c r="S389" s="39"/>
    </row>
    <row r="390" spans="1:19" x14ac:dyDescent="0.25">
      <c r="A390" s="39"/>
      <c r="B390" s="39"/>
      <c r="C390" s="39"/>
      <c r="D390" s="1"/>
      <c r="E390" s="1"/>
      <c r="F390" s="1"/>
      <c r="G390" s="1"/>
      <c r="H390" s="1"/>
      <c r="I390" s="1"/>
      <c r="J390" s="1"/>
      <c r="K390" s="1"/>
      <c r="L390" s="1"/>
      <c r="M390" s="39"/>
      <c r="N390" s="39"/>
      <c r="O390" s="39"/>
      <c r="P390" s="39"/>
      <c r="Q390" s="39"/>
      <c r="R390" s="39"/>
      <c r="S390" s="39"/>
    </row>
    <row r="391" spans="1:19" x14ac:dyDescent="0.25">
      <c r="A391" s="39"/>
      <c r="B391" s="39"/>
      <c r="C391" s="39"/>
      <c r="D391" s="1"/>
      <c r="E391" s="1"/>
      <c r="F391" s="1"/>
      <c r="G391" s="1"/>
      <c r="H391" s="1"/>
      <c r="I391" s="1"/>
      <c r="J391" s="1"/>
      <c r="K391" s="1"/>
      <c r="L391" s="1"/>
      <c r="M391" s="39"/>
      <c r="N391" s="39"/>
      <c r="O391" s="39"/>
      <c r="P391" s="39"/>
      <c r="Q391" s="39"/>
      <c r="R391" s="39"/>
      <c r="S391" s="39"/>
    </row>
    <row r="392" spans="1:19" x14ac:dyDescent="0.25">
      <c r="A392" s="39"/>
      <c r="B392" s="39"/>
      <c r="C392" s="39"/>
      <c r="D392" s="1"/>
      <c r="E392" s="1"/>
      <c r="F392" s="1"/>
      <c r="G392" s="1"/>
      <c r="H392" s="1"/>
      <c r="I392" s="1"/>
      <c r="J392" s="1"/>
      <c r="K392" s="1"/>
      <c r="L392" s="1"/>
      <c r="M392" s="39"/>
      <c r="N392" s="39"/>
      <c r="O392" s="39"/>
      <c r="P392" s="39"/>
      <c r="Q392" s="39"/>
      <c r="R392" s="39"/>
      <c r="S392" s="39"/>
    </row>
    <row r="393" spans="1:19" x14ac:dyDescent="0.25">
      <c r="A393" s="39"/>
      <c r="B393" s="39"/>
      <c r="C393" s="39"/>
      <c r="D393" s="1"/>
      <c r="E393" s="1"/>
      <c r="F393" s="1"/>
      <c r="G393" s="1"/>
      <c r="H393" s="1"/>
      <c r="I393" s="1"/>
      <c r="J393" s="1"/>
      <c r="K393" s="1"/>
      <c r="L393" s="1"/>
      <c r="M393" s="39"/>
      <c r="N393" s="39"/>
      <c r="O393" s="39"/>
      <c r="P393" s="39"/>
      <c r="Q393" s="39"/>
      <c r="R393" s="39"/>
      <c r="S393" s="39"/>
    </row>
    <row r="394" spans="1:19" x14ac:dyDescent="0.25">
      <c r="A394" s="39"/>
      <c r="B394" s="39"/>
      <c r="C394" s="39"/>
      <c r="D394" s="1"/>
      <c r="E394" s="1"/>
      <c r="F394" s="1"/>
      <c r="G394" s="1"/>
      <c r="H394" s="1"/>
      <c r="I394" s="1"/>
      <c r="J394" s="1"/>
      <c r="K394" s="1"/>
      <c r="L394" s="1"/>
      <c r="M394" s="39"/>
      <c r="N394" s="39"/>
      <c r="O394" s="39"/>
      <c r="P394" s="39"/>
      <c r="Q394" s="39"/>
      <c r="R394" s="39"/>
      <c r="S394" s="39"/>
    </row>
    <row r="395" spans="1:19" x14ac:dyDescent="0.25">
      <c r="A395" s="39"/>
      <c r="B395" s="39"/>
      <c r="C395" s="39"/>
      <c r="D395" s="1"/>
      <c r="E395" s="1"/>
      <c r="F395" s="1"/>
      <c r="G395" s="1"/>
      <c r="H395" s="1"/>
      <c r="I395" s="1"/>
      <c r="J395" s="1"/>
      <c r="K395" s="1"/>
      <c r="L395" s="1"/>
      <c r="M395" s="39"/>
      <c r="N395" s="39"/>
      <c r="O395" s="39"/>
      <c r="P395" s="39"/>
      <c r="Q395" s="39"/>
      <c r="R395" s="39"/>
      <c r="S395" s="39"/>
    </row>
    <row r="396" spans="1:19" x14ac:dyDescent="0.25">
      <c r="A396" s="39"/>
      <c r="B396" s="39"/>
      <c r="C396" s="39"/>
      <c r="D396" s="1"/>
      <c r="E396" s="1"/>
      <c r="F396" s="1"/>
      <c r="G396" s="1"/>
      <c r="H396" s="1"/>
      <c r="I396" s="1"/>
      <c r="J396" s="1"/>
      <c r="K396" s="1"/>
      <c r="L396" s="1"/>
      <c r="M396" s="39"/>
      <c r="N396" s="39"/>
      <c r="O396" s="39"/>
      <c r="P396" s="39"/>
      <c r="Q396" s="39"/>
      <c r="R396" s="39"/>
      <c r="S396" s="39"/>
    </row>
    <row r="397" spans="1:19" x14ac:dyDescent="0.25">
      <c r="A397" s="39"/>
      <c r="B397" s="39"/>
      <c r="C397" s="39"/>
      <c r="D397" s="1"/>
      <c r="E397" s="1"/>
      <c r="F397" s="1"/>
      <c r="G397" s="1"/>
      <c r="H397" s="1"/>
      <c r="I397" s="1"/>
      <c r="J397" s="1"/>
      <c r="K397" s="1"/>
      <c r="L397" s="1"/>
      <c r="M397" s="39"/>
      <c r="N397" s="39"/>
      <c r="O397" s="39"/>
      <c r="P397" s="39"/>
      <c r="Q397" s="39"/>
      <c r="R397" s="39"/>
      <c r="S397" s="39"/>
    </row>
    <row r="398" spans="1:19" x14ac:dyDescent="0.25">
      <c r="A398" s="39"/>
      <c r="B398" s="39"/>
      <c r="C398" s="39"/>
      <c r="D398" s="1"/>
      <c r="E398" s="1"/>
      <c r="F398" s="1"/>
      <c r="G398" s="1"/>
      <c r="H398" s="1"/>
      <c r="I398" s="1"/>
      <c r="J398" s="1"/>
      <c r="K398" s="1"/>
      <c r="L398" s="1"/>
      <c r="M398" s="39"/>
      <c r="N398" s="39"/>
      <c r="O398" s="39"/>
      <c r="P398" s="39"/>
      <c r="Q398" s="39"/>
      <c r="R398" s="39"/>
      <c r="S398" s="39"/>
    </row>
    <row r="399" spans="1:19" x14ac:dyDescent="0.25">
      <c r="A399" s="39"/>
      <c r="B399" s="39"/>
      <c r="C399" s="39"/>
      <c r="D399" s="1"/>
      <c r="E399" s="1"/>
      <c r="F399" s="1"/>
      <c r="G399" s="1"/>
      <c r="H399" s="1"/>
      <c r="I399" s="1"/>
      <c r="J399" s="1"/>
      <c r="K399" s="1"/>
      <c r="L399" s="1"/>
      <c r="M399" s="39"/>
      <c r="N399" s="39"/>
      <c r="O399" s="39"/>
      <c r="P399" s="39"/>
      <c r="Q399" s="39"/>
      <c r="R399" s="39"/>
      <c r="S399" s="39"/>
    </row>
    <row r="400" spans="1:19" x14ac:dyDescent="0.25">
      <c r="A400" s="39"/>
      <c r="B400" s="39"/>
      <c r="C400" s="39"/>
      <c r="D400" s="1"/>
      <c r="E400" s="1"/>
      <c r="F400" s="1"/>
      <c r="G400" s="1"/>
      <c r="H400" s="1"/>
      <c r="I400" s="1"/>
      <c r="J400" s="1"/>
      <c r="K400" s="1"/>
      <c r="L400" s="1"/>
      <c r="M400" s="39"/>
      <c r="N400" s="39"/>
      <c r="O400" s="39"/>
      <c r="P400" s="39"/>
      <c r="Q400" s="39"/>
      <c r="R400" s="39"/>
      <c r="S400" s="39"/>
    </row>
    <row r="401" spans="1:19" x14ac:dyDescent="0.25">
      <c r="A401" s="39"/>
      <c r="B401" s="39"/>
      <c r="C401" s="39"/>
      <c r="D401" s="1"/>
      <c r="E401" s="1"/>
      <c r="F401" s="1"/>
      <c r="G401" s="1"/>
      <c r="H401" s="1"/>
      <c r="I401" s="1"/>
      <c r="J401" s="1"/>
      <c r="K401" s="1"/>
      <c r="L401" s="1"/>
      <c r="M401" s="39"/>
      <c r="N401" s="39"/>
      <c r="O401" s="39"/>
      <c r="P401" s="39"/>
      <c r="Q401" s="39"/>
      <c r="R401" s="39"/>
      <c r="S401" s="39"/>
    </row>
    <row r="402" spans="1:19" x14ac:dyDescent="0.25">
      <c r="A402" s="39"/>
      <c r="B402" s="39"/>
      <c r="C402" s="39"/>
      <c r="D402" s="1"/>
      <c r="E402" s="1"/>
      <c r="F402" s="1"/>
      <c r="G402" s="1"/>
      <c r="H402" s="1"/>
      <c r="I402" s="1"/>
      <c r="J402" s="1"/>
      <c r="K402" s="1"/>
      <c r="L402" s="1"/>
      <c r="M402" s="39"/>
      <c r="N402" s="39"/>
      <c r="O402" s="39"/>
      <c r="P402" s="39"/>
      <c r="Q402" s="39"/>
      <c r="R402" s="39"/>
      <c r="S402" s="39"/>
    </row>
    <row r="403" spans="1:19" x14ac:dyDescent="0.25">
      <c r="A403" s="39"/>
      <c r="B403" s="39"/>
      <c r="C403" s="39"/>
      <c r="D403" s="1"/>
      <c r="E403" s="1"/>
      <c r="F403" s="1"/>
      <c r="G403" s="1"/>
      <c r="H403" s="1"/>
      <c r="I403" s="1"/>
      <c r="J403" s="1"/>
      <c r="K403" s="1"/>
      <c r="L403" s="1"/>
      <c r="M403" s="39"/>
      <c r="N403" s="39"/>
      <c r="O403" s="39"/>
      <c r="P403" s="39"/>
      <c r="Q403" s="39"/>
      <c r="R403" s="39"/>
      <c r="S403" s="39"/>
    </row>
    <row r="404" spans="1:19" x14ac:dyDescent="0.25">
      <c r="A404" s="39"/>
      <c r="B404" s="39"/>
      <c r="C404" s="39"/>
      <c r="D404" s="1"/>
      <c r="E404" s="1"/>
      <c r="F404" s="1"/>
      <c r="G404" s="1"/>
      <c r="H404" s="1"/>
      <c r="I404" s="1"/>
      <c r="J404" s="1"/>
      <c r="K404" s="1"/>
      <c r="L404" s="1"/>
      <c r="M404" s="39"/>
      <c r="N404" s="39"/>
      <c r="O404" s="39"/>
      <c r="P404" s="39"/>
      <c r="Q404" s="39"/>
      <c r="R404" s="39"/>
      <c r="S404" s="39"/>
    </row>
    <row r="405" spans="1:19" x14ac:dyDescent="0.25">
      <c r="A405" s="39"/>
      <c r="B405" s="39"/>
      <c r="C405" s="39"/>
      <c r="D405" s="1"/>
      <c r="E405" s="1"/>
      <c r="F405" s="1"/>
      <c r="G405" s="1"/>
      <c r="H405" s="1"/>
      <c r="I405" s="1"/>
      <c r="J405" s="1"/>
      <c r="K405" s="1"/>
      <c r="L405" s="1"/>
      <c r="M405" s="39"/>
      <c r="N405" s="39"/>
      <c r="O405" s="39"/>
      <c r="P405" s="39"/>
      <c r="Q405" s="39"/>
      <c r="R405" s="39"/>
      <c r="S405" s="39"/>
    </row>
    <row r="406" spans="1:19" x14ac:dyDescent="0.25">
      <c r="A406" s="39"/>
      <c r="B406" s="39"/>
      <c r="C406" s="39"/>
      <c r="D406" s="1"/>
      <c r="E406" s="1"/>
      <c r="F406" s="1"/>
      <c r="G406" s="1"/>
      <c r="H406" s="1"/>
      <c r="I406" s="1"/>
      <c r="J406" s="1"/>
      <c r="K406" s="1"/>
      <c r="L406" s="1"/>
      <c r="M406" s="39"/>
      <c r="N406" s="39"/>
      <c r="O406" s="39"/>
      <c r="P406" s="39"/>
      <c r="Q406" s="39"/>
      <c r="R406" s="39"/>
      <c r="S406" s="39"/>
    </row>
    <row r="407" spans="1:19" x14ac:dyDescent="0.25">
      <c r="A407" s="39"/>
      <c r="B407" s="39"/>
      <c r="C407" s="39"/>
      <c r="D407" s="1"/>
      <c r="E407" s="1"/>
      <c r="F407" s="1"/>
      <c r="G407" s="1"/>
      <c r="H407" s="1"/>
      <c r="I407" s="1"/>
      <c r="J407" s="1"/>
      <c r="K407" s="1"/>
      <c r="L407" s="1"/>
      <c r="M407" s="39"/>
      <c r="N407" s="39"/>
      <c r="O407" s="39"/>
      <c r="P407" s="39"/>
      <c r="Q407" s="39"/>
      <c r="R407" s="39"/>
      <c r="S407" s="39"/>
    </row>
    <row r="408" spans="1:19" x14ac:dyDescent="0.25">
      <c r="A408" s="39"/>
      <c r="B408" s="39"/>
      <c r="C408" s="39"/>
      <c r="D408" s="1"/>
      <c r="E408" s="1"/>
      <c r="F408" s="1"/>
      <c r="G408" s="1"/>
      <c r="H408" s="1"/>
      <c r="I408" s="1"/>
      <c r="J408" s="1"/>
      <c r="K408" s="1"/>
      <c r="L408" s="1"/>
      <c r="M408" s="39"/>
      <c r="N408" s="39"/>
      <c r="O408" s="39"/>
      <c r="P408" s="39"/>
      <c r="Q408" s="39"/>
      <c r="R408" s="39"/>
      <c r="S408" s="39"/>
    </row>
    <row r="409" spans="1:19" x14ac:dyDescent="0.25">
      <c r="A409" s="39"/>
      <c r="B409" s="39"/>
      <c r="C409" s="39"/>
      <c r="D409" s="1"/>
      <c r="E409" s="1"/>
      <c r="F409" s="1"/>
      <c r="G409" s="1"/>
      <c r="H409" s="1"/>
      <c r="I409" s="1"/>
      <c r="J409" s="1"/>
      <c r="K409" s="1"/>
      <c r="L409" s="1"/>
      <c r="M409" s="39"/>
      <c r="N409" s="39"/>
      <c r="O409" s="39"/>
      <c r="P409" s="39"/>
      <c r="Q409" s="39"/>
      <c r="R409" s="39"/>
      <c r="S409" s="39"/>
    </row>
    <row r="410" spans="1:19" x14ac:dyDescent="0.25">
      <c r="A410" s="39"/>
      <c r="B410" s="39"/>
      <c r="C410" s="39"/>
      <c r="D410" s="1"/>
      <c r="E410" s="1"/>
      <c r="F410" s="1"/>
      <c r="G410" s="1"/>
      <c r="H410" s="1"/>
      <c r="I410" s="1"/>
      <c r="J410" s="1"/>
      <c r="K410" s="1"/>
      <c r="L410" s="1"/>
      <c r="M410" s="39"/>
      <c r="N410" s="39"/>
      <c r="O410" s="39"/>
      <c r="P410" s="39"/>
      <c r="Q410" s="39"/>
      <c r="R410" s="39"/>
      <c r="S410" s="39"/>
    </row>
    <row r="411" spans="1:19" x14ac:dyDescent="0.25">
      <c r="A411" s="39"/>
      <c r="B411" s="39"/>
      <c r="C411" s="39"/>
      <c r="D411" s="1"/>
      <c r="E411" s="1"/>
      <c r="F411" s="1"/>
      <c r="G411" s="1"/>
      <c r="H411" s="1"/>
      <c r="I411" s="1"/>
      <c r="J411" s="1"/>
      <c r="K411" s="1"/>
      <c r="L411" s="1"/>
      <c r="M411" s="39"/>
      <c r="N411" s="39"/>
      <c r="O411" s="39"/>
      <c r="P411" s="39"/>
      <c r="Q411" s="39"/>
      <c r="R411" s="39"/>
      <c r="S411" s="39"/>
    </row>
    <row r="412" spans="1:19" x14ac:dyDescent="0.25">
      <c r="A412" s="39"/>
      <c r="B412" s="39"/>
      <c r="C412" s="39"/>
      <c r="D412" s="1"/>
      <c r="E412" s="1"/>
      <c r="F412" s="1"/>
      <c r="G412" s="1"/>
      <c r="H412" s="1"/>
      <c r="I412" s="1"/>
      <c r="J412" s="1"/>
      <c r="K412" s="1"/>
      <c r="L412" s="1"/>
      <c r="M412" s="39"/>
      <c r="N412" s="39"/>
      <c r="O412" s="39"/>
      <c r="P412" s="39"/>
      <c r="Q412" s="39"/>
      <c r="R412" s="39"/>
      <c r="S412" s="39"/>
    </row>
    <row r="413" spans="1:19" x14ac:dyDescent="0.25">
      <c r="A413" s="39"/>
      <c r="B413" s="39"/>
      <c r="C413" s="39"/>
      <c r="D413" s="1"/>
      <c r="E413" s="1"/>
      <c r="F413" s="1"/>
      <c r="G413" s="1"/>
      <c r="H413" s="1"/>
      <c r="I413" s="1"/>
      <c r="J413" s="1"/>
      <c r="K413" s="1"/>
      <c r="L413" s="1"/>
      <c r="M413" s="39"/>
      <c r="N413" s="39"/>
      <c r="O413" s="39"/>
      <c r="P413" s="39"/>
      <c r="Q413" s="39"/>
      <c r="R413" s="39"/>
      <c r="S413" s="39"/>
    </row>
    <row r="414" spans="1:19" x14ac:dyDescent="0.25">
      <c r="A414" s="39"/>
      <c r="B414" s="39"/>
      <c r="C414" s="39"/>
      <c r="D414" s="1"/>
      <c r="E414" s="1"/>
      <c r="F414" s="1"/>
      <c r="G414" s="1"/>
      <c r="H414" s="1"/>
      <c r="I414" s="1"/>
      <c r="J414" s="1"/>
      <c r="K414" s="1"/>
      <c r="L414" s="1"/>
      <c r="M414" s="39"/>
      <c r="N414" s="39"/>
      <c r="O414" s="39"/>
      <c r="P414" s="39"/>
      <c r="Q414" s="39"/>
      <c r="R414" s="39"/>
      <c r="S414" s="39"/>
    </row>
    <row r="415" spans="1:19" x14ac:dyDescent="0.25">
      <c r="A415" s="39"/>
      <c r="B415" s="39"/>
      <c r="C415" s="39"/>
      <c r="D415" s="1"/>
      <c r="E415" s="1"/>
      <c r="F415" s="1"/>
      <c r="G415" s="1"/>
      <c r="H415" s="1"/>
      <c r="I415" s="1"/>
      <c r="J415" s="1"/>
      <c r="K415" s="1"/>
      <c r="L415" s="1"/>
      <c r="M415" s="39"/>
      <c r="N415" s="39"/>
      <c r="O415" s="39"/>
      <c r="P415" s="39"/>
      <c r="Q415" s="39"/>
      <c r="R415" s="39"/>
      <c r="S415" s="39"/>
    </row>
    <row r="416" spans="1:19" x14ac:dyDescent="0.25">
      <c r="A416" s="39"/>
      <c r="B416" s="39"/>
      <c r="C416" s="39"/>
      <c r="D416" s="1"/>
      <c r="E416" s="1"/>
      <c r="F416" s="1"/>
      <c r="G416" s="1"/>
      <c r="H416" s="1"/>
      <c r="I416" s="1"/>
      <c r="J416" s="1"/>
      <c r="K416" s="1"/>
      <c r="L416" s="1"/>
      <c r="M416" s="39"/>
      <c r="N416" s="39"/>
      <c r="O416" s="39"/>
      <c r="P416" s="39"/>
      <c r="Q416" s="39"/>
      <c r="R416" s="39"/>
      <c r="S416" s="39"/>
    </row>
    <row r="417" spans="1:19" x14ac:dyDescent="0.25">
      <c r="A417" s="39"/>
      <c r="B417" s="39"/>
      <c r="C417" s="39"/>
      <c r="D417" s="1"/>
      <c r="E417" s="1"/>
      <c r="F417" s="1"/>
      <c r="G417" s="1"/>
      <c r="H417" s="1"/>
      <c r="I417" s="1"/>
      <c r="J417" s="1"/>
      <c r="K417" s="1"/>
      <c r="L417" s="1"/>
      <c r="M417" s="39"/>
      <c r="N417" s="39"/>
      <c r="O417" s="39"/>
      <c r="P417" s="39"/>
      <c r="Q417" s="39"/>
      <c r="R417" s="39"/>
      <c r="S417" s="39"/>
    </row>
    <row r="418" spans="1:19" x14ac:dyDescent="0.25">
      <c r="A418" s="39"/>
      <c r="B418" s="39"/>
      <c r="C418" s="39"/>
      <c r="D418" s="1"/>
      <c r="E418" s="1"/>
      <c r="F418" s="1"/>
      <c r="G418" s="1"/>
      <c r="H418" s="1"/>
      <c r="I418" s="1"/>
      <c r="J418" s="1"/>
      <c r="K418" s="1"/>
      <c r="L418" s="1"/>
      <c r="M418" s="39"/>
      <c r="N418" s="39"/>
      <c r="O418" s="39"/>
      <c r="P418" s="39"/>
      <c r="Q418" s="39"/>
      <c r="R418" s="39"/>
      <c r="S418" s="39"/>
    </row>
    <row r="419" spans="1:19" x14ac:dyDescent="0.25">
      <c r="A419" s="39"/>
      <c r="B419" s="39"/>
      <c r="C419" s="39"/>
      <c r="D419" s="1"/>
      <c r="E419" s="1"/>
      <c r="F419" s="1"/>
      <c r="G419" s="1"/>
      <c r="H419" s="1"/>
      <c r="I419" s="1"/>
      <c r="J419" s="1"/>
      <c r="K419" s="1"/>
      <c r="L419" s="1"/>
      <c r="M419" s="39"/>
      <c r="N419" s="39"/>
      <c r="O419" s="39"/>
      <c r="P419" s="39"/>
      <c r="Q419" s="39"/>
      <c r="R419" s="39"/>
      <c r="S419" s="39"/>
    </row>
    <row r="420" spans="1:19" x14ac:dyDescent="0.25">
      <c r="A420" s="39"/>
      <c r="B420" s="39"/>
      <c r="C420" s="39"/>
      <c r="D420" s="1"/>
      <c r="E420" s="1"/>
      <c r="F420" s="1"/>
      <c r="G420" s="1"/>
      <c r="H420" s="1"/>
      <c r="I420" s="1"/>
      <c r="J420" s="1"/>
      <c r="K420" s="1"/>
      <c r="L420" s="1"/>
      <c r="M420" s="39"/>
      <c r="N420" s="39"/>
      <c r="O420" s="39"/>
      <c r="P420" s="39"/>
      <c r="Q420" s="39"/>
      <c r="R420" s="39"/>
      <c r="S420" s="39"/>
    </row>
    <row r="421" spans="1:19" x14ac:dyDescent="0.25">
      <c r="A421" s="39"/>
      <c r="B421" s="39"/>
      <c r="C421" s="39"/>
      <c r="D421" s="1"/>
      <c r="E421" s="1"/>
      <c r="F421" s="1"/>
      <c r="G421" s="1"/>
      <c r="H421" s="1"/>
      <c r="I421" s="1"/>
      <c r="J421" s="1"/>
      <c r="K421" s="1"/>
      <c r="L421" s="1"/>
      <c r="M421" s="39"/>
      <c r="N421" s="39"/>
      <c r="O421" s="39"/>
      <c r="P421" s="39"/>
      <c r="Q421" s="39"/>
      <c r="R421" s="39"/>
      <c r="S421" s="39"/>
    </row>
    <row r="422" spans="1:19" x14ac:dyDescent="0.25">
      <c r="A422" s="39"/>
      <c r="B422" s="39"/>
      <c r="C422" s="39"/>
      <c r="D422" s="1"/>
      <c r="E422" s="1"/>
      <c r="F422" s="1"/>
      <c r="G422" s="1"/>
      <c r="H422" s="1"/>
      <c r="I422" s="1"/>
      <c r="J422" s="1"/>
      <c r="K422" s="1"/>
      <c r="L422" s="1"/>
      <c r="M422" s="39"/>
      <c r="N422" s="39"/>
      <c r="O422" s="39"/>
      <c r="P422" s="39"/>
      <c r="Q422" s="39"/>
      <c r="R422" s="39"/>
      <c r="S422" s="39"/>
    </row>
    <row r="423" spans="1:19" x14ac:dyDescent="0.25">
      <c r="A423" s="39"/>
      <c r="B423" s="39"/>
      <c r="C423" s="39"/>
      <c r="D423" s="1"/>
      <c r="E423" s="1"/>
      <c r="F423" s="1"/>
      <c r="G423" s="1"/>
      <c r="H423" s="1"/>
      <c r="I423" s="1"/>
      <c r="J423" s="1"/>
      <c r="K423" s="1"/>
      <c r="L423" s="1"/>
      <c r="M423" s="39"/>
      <c r="N423" s="39"/>
      <c r="O423" s="39"/>
      <c r="P423" s="39"/>
      <c r="Q423" s="39"/>
      <c r="R423" s="39"/>
      <c r="S423" s="39"/>
    </row>
    <row r="424" spans="1:19" x14ac:dyDescent="0.25">
      <c r="A424" s="39"/>
      <c r="B424" s="39"/>
      <c r="C424" s="39"/>
      <c r="D424" s="1"/>
      <c r="E424" s="1"/>
      <c r="F424" s="1"/>
      <c r="G424" s="1"/>
      <c r="H424" s="1"/>
      <c r="I424" s="1"/>
      <c r="J424" s="1"/>
      <c r="K424" s="1"/>
      <c r="L424" s="1"/>
      <c r="M424" s="39"/>
      <c r="N424" s="39"/>
      <c r="O424" s="39"/>
      <c r="P424" s="39"/>
      <c r="Q424" s="39"/>
      <c r="R424" s="39"/>
      <c r="S424" s="39"/>
    </row>
    <row r="425" spans="1:19" x14ac:dyDescent="0.25">
      <c r="A425" s="39"/>
      <c r="B425" s="39"/>
      <c r="C425" s="39"/>
      <c r="D425" s="1"/>
      <c r="E425" s="1"/>
      <c r="F425" s="1"/>
      <c r="G425" s="1"/>
      <c r="H425" s="1"/>
      <c r="I425" s="1"/>
      <c r="J425" s="1"/>
      <c r="K425" s="1"/>
      <c r="L425" s="1"/>
      <c r="M425" s="39"/>
      <c r="N425" s="39"/>
      <c r="O425" s="39"/>
      <c r="P425" s="39"/>
      <c r="Q425" s="39"/>
      <c r="R425" s="39"/>
      <c r="S425" s="39"/>
    </row>
    <row r="426" spans="1:19" x14ac:dyDescent="0.25">
      <c r="A426" s="39"/>
      <c r="B426" s="39"/>
      <c r="C426" s="39"/>
      <c r="D426" s="1"/>
      <c r="E426" s="1"/>
      <c r="F426" s="1"/>
      <c r="G426" s="1"/>
      <c r="H426" s="1"/>
      <c r="I426" s="1"/>
      <c r="J426" s="1"/>
      <c r="K426" s="1"/>
      <c r="L426" s="1"/>
      <c r="M426" s="39"/>
      <c r="N426" s="39"/>
      <c r="O426" s="39"/>
      <c r="P426" s="39"/>
      <c r="Q426" s="39"/>
      <c r="R426" s="39"/>
      <c r="S426" s="39"/>
    </row>
    <row r="427" spans="1:19" x14ac:dyDescent="0.25">
      <c r="A427" s="39"/>
      <c r="B427" s="39"/>
      <c r="C427" s="39"/>
      <c r="D427" s="1"/>
      <c r="E427" s="1"/>
      <c r="F427" s="1"/>
      <c r="G427" s="1"/>
      <c r="H427" s="1"/>
      <c r="I427" s="1"/>
      <c r="J427" s="1"/>
      <c r="K427" s="1"/>
      <c r="L427" s="1"/>
      <c r="M427" s="39"/>
      <c r="N427" s="39"/>
      <c r="O427" s="39"/>
      <c r="P427" s="39"/>
      <c r="Q427" s="39"/>
      <c r="R427" s="39"/>
      <c r="S427" s="39"/>
    </row>
    <row r="428" spans="1:19" x14ac:dyDescent="0.25">
      <c r="A428" s="39"/>
      <c r="B428" s="39"/>
      <c r="C428" s="39"/>
      <c r="D428" s="1"/>
      <c r="E428" s="1"/>
      <c r="F428" s="1"/>
      <c r="G428" s="1"/>
      <c r="H428" s="1"/>
      <c r="I428" s="1"/>
      <c r="J428" s="1"/>
      <c r="K428" s="1"/>
      <c r="L428" s="1"/>
      <c r="M428" s="39"/>
      <c r="N428" s="39"/>
      <c r="O428" s="39"/>
      <c r="P428" s="39"/>
      <c r="Q428" s="39"/>
      <c r="R428" s="39"/>
      <c r="S428" s="39"/>
    </row>
    <row r="429" spans="1:19" x14ac:dyDescent="0.25">
      <c r="A429" s="39"/>
      <c r="B429" s="39"/>
      <c r="C429" s="39"/>
      <c r="D429" s="1"/>
      <c r="E429" s="1"/>
      <c r="F429" s="1"/>
      <c r="G429" s="1"/>
      <c r="H429" s="1"/>
      <c r="I429" s="1"/>
      <c r="J429" s="1"/>
      <c r="K429" s="1"/>
      <c r="L429" s="1"/>
      <c r="M429" s="39"/>
      <c r="N429" s="39"/>
      <c r="O429" s="39"/>
      <c r="P429" s="39"/>
      <c r="Q429" s="39"/>
      <c r="R429" s="39"/>
      <c r="S429" s="39"/>
    </row>
    <row r="430" spans="1:19" x14ac:dyDescent="0.25">
      <c r="A430" s="39"/>
      <c r="B430" s="39"/>
      <c r="C430" s="39"/>
      <c r="D430" s="1"/>
      <c r="E430" s="1"/>
      <c r="F430" s="1"/>
      <c r="G430" s="1"/>
      <c r="H430" s="1"/>
      <c r="I430" s="1"/>
      <c r="J430" s="1"/>
      <c r="K430" s="1"/>
      <c r="L430" s="1"/>
      <c r="M430" s="39"/>
      <c r="N430" s="39"/>
      <c r="O430" s="39"/>
      <c r="P430" s="39"/>
      <c r="Q430" s="39"/>
      <c r="R430" s="39"/>
      <c r="S430" s="39"/>
    </row>
    <row r="431" spans="1:19" x14ac:dyDescent="0.25">
      <c r="A431" s="39"/>
      <c r="B431" s="39"/>
      <c r="C431" s="39"/>
      <c r="D431" s="1"/>
      <c r="E431" s="1"/>
      <c r="F431" s="1"/>
      <c r="G431" s="1"/>
      <c r="H431" s="1"/>
      <c r="I431" s="1"/>
      <c r="J431" s="1"/>
      <c r="K431" s="1"/>
      <c r="L431" s="1"/>
      <c r="M431" s="39"/>
      <c r="N431" s="39"/>
      <c r="O431" s="39"/>
      <c r="P431" s="39"/>
      <c r="Q431" s="39"/>
      <c r="R431" s="39"/>
      <c r="S431" s="39"/>
    </row>
    <row r="432" spans="1:19" x14ac:dyDescent="0.25">
      <c r="A432" s="39"/>
      <c r="B432" s="39"/>
      <c r="C432" s="39"/>
      <c r="D432" s="1"/>
      <c r="E432" s="1"/>
      <c r="F432" s="1"/>
      <c r="G432" s="1"/>
      <c r="H432" s="1"/>
      <c r="I432" s="1"/>
      <c r="J432" s="1"/>
      <c r="K432" s="1"/>
      <c r="L432" s="1"/>
      <c r="M432" s="39"/>
      <c r="N432" s="39"/>
      <c r="O432" s="39"/>
      <c r="P432" s="39"/>
      <c r="Q432" s="39"/>
      <c r="R432" s="39"/>
      <c r="S432" s="39"/>
    </row>
    <row r="433" spans="1:19" x14ac:dyDescent="0.25">
      <c r="A433" s="39"/>
      <c r="B433" s="39"/>
      <c r="C433" s="39"/>
      <c r="D433" s="1"/>
      <c r="E433" s="1"/>
      <c r="F433" s="1"/>
      <c r="G433" s="1"/>
      <c r="H433" s="1"/>
      <c r="I433" s="1"/>
      <c r="J433" s="1"/>
      <c r="K433" s="1"/>
      <c r="L433" s="1"/>
      <c r="M433" s="39"/>
      <c r="N433" s="39"/>
      <c r="O433" s="39"/>
      <c r="P433" s="39"/>
      <c r="Q433" s="39"/>
      <c r="R433" s="39"/>
      <c r="S433" s="39"/>
    </row>
    <row r="434" spans="1:19" x14ac:dyDescent="0.25">
      <c r="A434" s="39"/>
      <c r="B434" s="39"/>
      <c r="C434" s="39"/>
      <c r="D434" s="1"/>
      <c r="E434" s="1"/>
      <c r="F434" s="1"/>
      <c r="G434" s="1"/>
      <c r="H434" s="1"/>
      <c r="I434" s="1"/>
      <c r="J434" s="1"/>
      <c r="K434" s="1"/>
      <c r="L434" s="1"/>
      <c r="M434" s="39"/>
      <c r="N434" s="39"/>
      <c r="O434" s="39"/>
      <c r="P434" s="39"/>
      <c r="Q434" s="39"/>
      <c r="R434" s="39"/>
      <c r="S434" s="39"/>
    </row>
    <row r="435" spans="1:19" x14ac:dyDescent="0.25">
      <c r="A435" s="39"/>
      <c r="B435" s="39"/>
      <c r="C435" s="39"/>
      <c r="D435" s="1"/>
      <c r="E435" s="1"/>
      <c r="F435" s="1"/>
      <c r="G435" s="1"/>
      <c r="H435" s="1"/>
      <c r="I435" s="1"/>
      <c r="J435" s="1"/>
      <c r="K435" s="1"/>
      <c r="L435" s="1"/>
      <c r="M435" s="39"/>
      <c r="N435" s="39"/>
      <c r="O435" s="39"/>
      <c r="P435" s="39"/>
      <c r="Q435" s="39"/>
      <c r="R435" s="39"/>
      <c r="S435" s="39"/>
    </row>
    <row r="436" spans="1:19" x14ac:dyDescent="0.25">
      <c r="A436" s="39"/>
      <c r="B436" s="39"/>
      <c r="C436" s="39"/>
      <c r="D436" s="1"/>
      <c r="E436" s="1"/>
      <c r="F436" s="1"/>
      <c r="G436" s="1"/>
      <c r="H436" s="1"/>
      <c r="I436" s="1"/>
      <c r="J436" s="1"/>
      <c r="K436" s="1"/>
      <c r="L436" s="1"/>
      <c r="M436" s="39"/>
      <c r="N436" s="39"/>
      <c r="O436" s="39"/>
      <c r="P436" s="39"/>
      <c r="Q436" s="39"/>
      <c r="R436" s="39"/>
      <c r="S436" s="39"/>
    </row>
    <row r="437" spans="1:19" x14ac:dyDescent="0.25">
      <c r="A437" s="39"/>
      <c r="B437" s="39"/>
      <c r="C437" s="39"/>
      <c r="D437" s="1"/>
      <c r="E437" s="1"/>
      <c r="F437" s="1"/>
      <c r="G437" s="1"/>
      <c r="H437" s="1"/>
      <c r="I437" s="1"/>
      <c r="J437" s="1"/>
      <c r="K437" s="1"/>
      <c r="L437" s="1"/>
      <c r="M437" s="39"/>
      <c r="N437" s="39"/>
      <c r="O437" s="39"/>
      <c r="P437" s="39"/>
      <c r="Q437" s="39"/>
      <c r="R437" s="39"/>
      <c r="S437" s="39"/>
    </row>
    <row r="438" spans="1:19" x14ac:dyDescent="0.25">
      <c r="A438" s="39"/>
      <c r="B438" s="39"/>
      <c r="C438" s="39"/>
      <c r="D438" s="1"/>
      <c r="E438" s="1"/>
      <c r="F438" s="1"/>
      <c r="G438" s="1"/>
      <c r="H438" s="1"/>
      <c r="I438" s="1"/>
      <c r="J438" s="1"/>
      <c r="K438" s="1"/>
      <c r="L438" s="1"/>
      <c r="M438" s="39"/>
      <c r="N438" s="39"/>
      <c r="O438" s="39"/>
      <c r="P438" s="39"/>
      <c r="Q438" s="39"/>
      <c r="R438" s="39"/>
      <c r="S438" s="39"/>
    </row>
    <row r="439" spans="1:19" x14ac:dyDescent="0.25">
      <c r="A439" s="39"/>
      <c r="B439" s="39"/>
      <c r="C439" s="39"/>
      <c r="D439" s="1"/>
      <c r="E439" s="1"/>
      <c r="F439" s="1"/>
      <c r="G439" s="1"/>
      <c r="H439" s="1"/>
      <c r="I439" s="1"/>
      <c r="J439" s="1"/>
      <c r="K439" s="1"/>
      <c r="L439" s="1"/>
      <c r="M439" s="39"/>
      <c r="N439" s="39"/>
      <c r="O439" s="39"/>
      <c r="P439" s="39"/>
      <c r="Q439" s="39"/>
      <c r="R439" s="39"/>
      <c r="S439" s="39"/>
    </row>
  </sheetData>
  <mergeCells count="44">
    <mergeCell ref="F18:L18"/>
    <mergeCell ref="F19:L19"/>
    <mergeCell ref="F20:L20"/>
    <mergeCell ref="D7:L7"/>
    <mergeCell ref="D24:L24"/>
    <mergeCell ref="D18:E18"/>
    <mergeCell ref="D35:L35"/>
    <mergeCell ref="D8:F8"/>
    <mergeCell ref="H8:L8"/>
    <mergeCell ref="D9:F9"/>
    <mergeCell ref="H9:L9"/>
    <mergeCell ref="D10:F10"/>
    <mergeCell ref="H10:L10"/>
    <mergeCell ref="D11:F11"/>
    <mergeCell ref="H11:L11"/>
    <mergeCell ref="D12:F12"/>
    <mergeCell ref="H12:L12"/>
    <mergeCell ref="D13:F13"/>
    <mergeCell ref="D21:E21"/>
    <mergeCell ref="D33:F33"/>
    <mergeCell ref="D32:F32"/>
    <mergeCell ref="H32:L32"/>
    <mergeCell ref="D20:E20"/>
    <mergeCell ref="M1:P1"/>
    <mergeCell ref="D5:L5"/>
    <mergeCell ref="D6:L6"/>
    <mergeCell ref="D27:F27"/>
    <mergeCell ref="D26:F26"/>
    <mergeCell ref="H26:L26"/>
    <mergeCell ref="D15:F15"/>
    <mergeCell ref="H15:L15"/>
    <mergeCell ref="D17:L17"/>
    <mergeCell ref="H13:L13"/>
    <mergeCell ref="D14:F14"/>
    <mergeCell ref="H14:L14"/>
    <mergeCell ref="D19:E19"/>
    <mergeCell ref="D31:L31"/>
    <mergeCell ref="D23:L23"/>
    <mergeCell ref="H27:L27"/>
    <mergeCell ref="D28:L28"/>
    <mergeCell ref="D29:L29"/>
    <mergeCell ref="D30:L30"/>
    <mergeCell ref="F21:L21"/>
    <mergeCell ref="D25:L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17243-9590-4EC2-80CF-D137738FCBA7}">
  <sheetPr>
    <tabColor theme="4" tint="-0.499984740745262"/>
  </sheetPr>
  <dimension ref="B2:K20"/>
  <sheetViews>
    <sheetView tabSelected="1" zoomScale="115" zoomScaleNormal="115" workbookViewId="0">
      <selection activeCell="B2" sqref="B2:K20"/>
    </sheetView>
  </sheetViews>
  <sheetFormatPr baseColWidth="10" defaultRowHeight="15" x14ac:dyDescent="0.25"/>
  <cols>
    <col min="1" max="16384" width="11.42578125" style="3"/>
  </cols>
  <sheetData>
    <row r="2" spans="2:11" ht="15" customHeight="1" x14ac:dyDescent="0.25">
      <c r="B2" s="100" t="s">
        <v>132</v>
      </c>
      <c r="C2" s="100"/>
      <c r="D2" s="100"/>
      <c r="E2" s="100"/>
      <c r="F2" s="100"/>
      <c r="G2" s="100"/>
      <c r="H2" s="100"/>
      <c r="I2" s="100"/>
      <c r="J2" s="100"/>
      <c r="K2" s="100"/>
    </row>
    <row r="3" spans="2:11" ht="15" customHeight="1" x14ac:dyDescent="0.25">
      <c r="B3" s="100"/>
      <c r="C3" s="100"/>
      <c r="D3" s="100"/>
      <c r="E3" s="100"/>
      <c r="F3" s="100"/>
      <c r="G3" s="100"/>
      <c r="H3" s="100"/>
      <c r="I3" s="100"/>
      <c r="J3" s="100"/>
      <c r="K3" s="100"/>
    </row>
    <row r="4" spans="2:11" ht="15" customHeight="1" x14ac:dyDescent="0.25">
      <c r="B4" s="100"/>
      <c r="C4" s="100"/>
      <c r="D4" s="100"/>
      <c r="E4" s="100"/>
      <c r="F4" s="100"/>
      <c r="G4" s="100"/>
      <c r="H4" s="100"/>
      <c r="I4" s="100"/>
      <c r="J4" s="100"/>
      <c r="K4" s="100"/>
    </row>
    <row r="5" spans="2:11" ht="15" customHeight="1" x14ac:dyDescent="0.25">
      <c r="B5" s="100"/>
      <c r="C5" s="100"/>
      <c r="D5" s="100"/>
      <c r="E5" s="100"/>
      <c r="F5" s="100"/>
      <c r="G5" s="100"/>
      <c r="H5" s="100"/>
      <c r="I5" s="100"/>
      <c r="J5" s="100"/>
      <c r="K5" s="100"/>
    </row>
    <row r="6" spans="2:11" ht="15" customHeight="1" x14ac:dyDescent="0.25">
      <c r="B6" s="100"/>
      <c r="C6" s="100"/>
      <c r="D6" s="100"/>
      <c r="E6" s="100"/>
      <c r="F6" s="100"/>
      <c r="G6" s="100"/>
      <c r="H6" s="100"/>
      <c r="I6" s="100"/>
      <c r="J6" s="100"/>
      <c r="K6" s="100"/>
    </row>
    <row r="7" spans="2:11" ht="15" customHeight="1" x14ac:dyDescent="0.25">
      <c r="B7" s="100"/>
      <c r="C7" s="100"/>
      <c r="D7" s="100"/>
      <c r="E7" s="100"/>
      <c r="F7" s="100"/>
      <c r="G7" s="100"/>
      <c r="H7" s="100"/>
      <c r="I7" s="100"/>
      <c r="J7" s="100"/>
      <c r="K7" s="100"/>
    </row>
    <row r="8" spans="2:11" ht="15" customHeight="1" x14ac:dyDescent="0.25">
      <c r="B8" s="100"/>
      <c r="C8" s="100"/>
      <c r="D8" s="100"/>
      <c r="E8" s="100"/>
      <c r="F8" s="100"/>
      <c r="G8" s="100"/>
      <c r="H8" s="100"/>
      <c r="I8" s="100"/>
      <c r="J8" s="100"/>
      <c r="K8" s="100"/>
    </row>
    <row r="9" spans="2:11" ht="15" customHeight="1" x14ac:dyDescent="0.25">
      <c r="B9" s="100"/>
      <c r="C9" s="100"/>
      <c r="D9" s="100"/>
      <c r="E9" s="100"/>
      <c r="F9" s="100"/>
      <c r="G9" s="100"/>
      <c r="H9" s="100"/>
      <c r="I9" s="100"/>
      <c r="J9" s="100"/>
      <c r="K9" s="100"/>
    </row>
    <row r="10" spans="2:11" ht="15" customHeight="1" x14ac:dyDescent="0.25">
      <c r="B10" s="100"/>
      <c r="C10" s="100"/>
      <c r="D10" s="100"/>
      <c r="E10" s="100"/>
      <c r="F10" s="100"/>
      <c r="G10" s="100"/>
      <c r="H10" s="100"/>
      <c r="I10" s="100"/>
      <c r="J10" s="100"/>
      <c r="K10" s="100"/>
    </row>
    <row r="11" spans="2:11" ht="15" customHeight="1" x14ac:dyDescent="0.25">
      <c r="B11" s="100"/>
      <c r="C11" s="100"/>
      <c r="D11" s="100"/>
      <c r="E11" s="100"/>
      <c r="F11" s="100"/>
      <c r="G11" s="100"/>
      <c r="H11" s="100"/>
      <c r="I11" s="100"/>
      <c r="J11" s="100"/>
      <c r="K11" s="100"/>
    </row>
    <row r="12" spans="2:11" ht="15" customHeight="1" x14ac:dyDescent="0.25">
      <c r="B12" s="100"/>
      <c r="C12" s="100"/>
      <c r="D12" s="100"/>
      <c r="E12" s="100"/>
      <c r="F12" s="100"/>
      <c r="G12" s="100"/>
      <c r="H12" s="100"/>
      <c r="I12" s="100"/>
      <c r="J12" s="100"/>
      <c r="K12" s="100"/>
    </row>
    <row r="13" spans="2:11" ht="15" customHeight="1" x14ac:dyDescent="0.25">
      <c r="B13" s="100"/>
      <c r="C13" s="100"/>
      <c r="D13" s="100"/>
      <c r="E13" s="100"/>
      <c r="F13" s="100"/>
      <c r="G13" s="100"/>
      <c r="H13" s="100"/>
      <c r="I13" s="100"/>
      <c r="J13" s="100"/>
      <c r="K13" s="100"/>
    </row>
    <row r="14" spans="2:11" ht="15" customHeight="1" x14ac:dyDescent="0.25">
      <c r="B14" s="100"/>
      <c r="C14" s="100"/>
      <c r="D14" s="100"/>
      <c r="E14" s="100"/>
      <c r="F14" s="100"/>
      <c r="G14" s="100"/>
      <c r="H14" s="100"/>
      <c r="I14" s="100"/>
      <c r="J14" s="100"/>
      <c r="K14" s="100"/>
    </row>
    <row r="15" spans="2:11" ht="15" customHeight="1" x14ac:dyDescent="0.25">
      <c r="B15" s="100"/>
      <c r="C15" s="100"/>
      <c r="D15" s="100"/>
      <c r="E15" s="100"/>
      <c r="F15" s="100"/>
      <c r="G15" s="100"/>
      <c r="H15" s="100"/>
      <c r="I15" s="100"/>
      <c r="J15" s="100"/>
      <c r="K15" s="100"/>
    </row>
    <row r="16" spans="2:11" ht="15" customHeight="1" x14ac:dyDescent="0.25">
      <c r="B16" s="100"/>
      <c r="C16" s="100"/>
      <c r="D16" s="100"/>
      <c r="E16" s="100"/>
      <c r="F16" s="100"/>
      <c r="G16" s="100"/>
      <c r="H16" s="100"/>
      <c r="I16" s="100"/>
      <c r="J16" s="100"/>
      <c r="K16" s="100"/>
    </row>
    <row r="17" spans="2:11" ht="15" customHeight="1" x14ac:dyDescent="0.25">
      <c r="B17" s="100"/>
      <c r="C17" s="100"/>
      <c r="D17" s="100"/>
      <c r="E17" s="100"/>
      <c r="F17" s="100"/>
      <c r="G17" s="100"/>
      <c r="H17" s="100"/>
      <c r="I17" s="100"/>
      <c r="J17" s="100"/>
      <c r="K17" s="100"/>
    </row>
    <row r="18" spans="2:11" ht="15" customHeight="1" x14ac:dyDescent="0.25">
      <c r="B18" s="100"/>
      <c r="C18" s="100"/>
      <c r="D18" s="100"/>
      <c r="E18" s="100"/>
      <c r="F18" s="100"/>
      <c r="G18" s="100"/>
      <c r="H18" s="100"/>
      <c r="I18" s="100"/>
      <c r="J18" s="100"/>
      <c r="K18" s="100"/>
    </row>
    <row r="19" spans="2:11" x14ac:dyDescent="0.25">
      <c r="B19" s="100"/>
      <c r="C19" s="100"/>
      <c r="D19" s="100"/>
      <c r="E19" s="100"/>
      <c r="F19" s="100"/>
      <c r="G19" s="100"/>
      <c r="H19" s="100"/>
      <c r="I19" s="100"/>
      <c r="J19" s="100"/>
      <c r="K19" s="100"/>
    </row>
    <row r="20" spans="2:11" x14ac:dyDescent="0.25">
      <c r="B20" s="100"/>
      <c r="C20" s="100"/>
      <c r="D20" s="100"/>
      <c r="E20" s="100"/>
      <c r="F20" s="100"/>
      <c r="G20" s="100"/>
      <c r="H20" s="100"/>
      <c r="I20" s="100"/>
      <c r="J20" s="100"/>
      <c r="K20" s="100"/>
    </row>
  </sheetData>
  <mergeCells count="1">
    <mergeCell ref="B2:K2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CF0A6-E78F-4C53-99E8-DCE9593BE3C2}">
  <sheetPr>
    <tabColor theme="8"/>
  </sheetPr>
  <dimension ref="A2:O170"/>
  <sheetViews>
    <sheetView topLeftCell="A19" zoomScaleNormal="100" workbookViewId="0">
      <selection activeCell="C17" sqref="C17"/>
    </sheetView>
  </sheetViews>
  <sheetFormatPr baseColWidth="10" defaultRowHeight="15" x14ac:dyDescent="0.25"/>
  <cols>
    <col min="1" max="1" width="12.28515625" style="3" customWidth="1"/>
    <col min="2" max="2" width="14.7109375" style="3" customWidth="1"/>
    <col min="3" max="3" width="13" style="3" bestFit="1" customWidth="1"/>
    <col min="4" max="4" width="14.85546875" style="3" customWidth="1"/>
    <col min="5" max="5" width="18.7109375" style="3" customWidth="1"/>
    <col min="6" max="6" width="17.28515625" style="3" customWidth="1"/>
    <col min="7" max="7" width="14.140625" style="3" customWidth="1"/>
    <col min="8" max="8" width="12.140625" style="3" customWidth="1"/>
    <col min="9" max="9" width="13.7109375" style="3" customWidth="1"/>
    <col min="10" max="10" width="11.42578125" style="3"/>
    <col min="11" max="11" width="13.85546875" style="3" customWidth="1"/>
    <col min="12" max="16384" width="11.42578125" style="3"/>
  </cols>
  <sheetData>
    <row r="2" spans="1:9" x14ac:dyDescent="0.25">
      <c r="B2" s="101" t="s">
        <v>89</v>
      </c>
      <c r="C2" s="101"/>
    </row>
    <row r="3" spans="1:9" x14ac:dyDescent="0.25">
      <c r="B3" s="2" t="s">
        <v>79</v>
      </c>
      <c r="C3" s="40"/>
    </row>
    <row r="4" spans="1:9" x14ac:dyDescent="0.25">
      <c r="B4" s="2" t="s">
        <v>80</v>
      </c>
      <c r="C4" s="40"/>
    </row>
    <row r="5" spans="1:9" x14ac:dyDescent="0.25">
      <c r="B5" s="2" t="s">
        <v>83</v>
      </c>
      <c r="C5" s="41"/>
    </row>
    <row r="7" spans="1:9" x14ac:dyDescent="0.25">
      <c r="A7" s="4"/>
    </row>
    <row r="8" spans="1:9" x14ac:dyDescent="0.25">
      <c r="E8" s="3" t="s">
        <v>87</v>
      </c>
      <c r="F8" s="3" t="s">
        <v>87</v>
      </c>
      <c r="G8" s="3" t="s">
        <v>88</v>
      </c>
      <c r="H8" s="3" t="s">
        <v>88</v>
      </c>
      <c r="I8" s="3" t="s">
        <v>88</v>
      </c>
    </row>
    <row r="9" spans="1:9" x14ac:dyDescent="0.25">
      <c r="A9" s="38"/>
      <c r="B9" s="2" t="s">
        <v>79</v>
      </c>
      <c r="C9" s="2" t="s">
        <v>80</v>
      </c>
      <c r="D9" s="2" t="s">
        <v>83</v>
      </c>
      <c r="E9" s="2" t="s">
        <v>81</v>
      </c>
      <c r="F9" s="2" t="s">
        <v>82</v>
      </c>
      <c r="G9" s="2" t="s">
        <v>84</v>
      </c>
      <c r="H9" s="2" t="s">
        <v>86</v>
      </c>
      <c r="I9" s="2" t="s">
        <v>85</v>
      </c>
    </row>
    <row r="10" spans="1:9" x14ac:dyDescent="0.25">
      <c r="A10" s="34"/>
      <c r="B10" s="40">
        <v>45478</v>
      </c>
      <c r="C10" s="40">
        <v>45509</v>
      </c>
      <c r="D10" s="41">
        <v>5000</v>
      </c>
      <c r="E10" s="35">
        <v>56662.38</v>
      </c>
      <c r="F10" s="35">
        <v>53991.46</v>
      </c>
      <c r="G10" s="35">
        <f t="shared" ref="G10" si="0">(D10*F10)/E10</f>
        <v>4764.3127591887251</v>
      </c>
      <c r="H10" s="35">
        <f t="shared" ref="H10" si="1">G10-D10</f>
        <v>-235.68724081127493</v>
      </c>
      <c r="I10" s="36">
        <f t="shared" ref="I10" si="2">(H10*100)/D10</f>
        <v>-4.7137448162254989</v>
      </c>
    </row>
    <row r="11" spans="1:9" x14ac:dyDescent="0.25">
      <c r="A11" s="34"/>
      <c r="B11" s="40">
        <v>45478</v>
      </c>
      <c r="C11" s="40">
        <v>45512</v>
      </c>
      <c r="D11" s="41">
        <v>500</v>
      </c>
      <c r="E11" s="35">
        <v>56662.38</v>
      </c>
      <c r="F11" s="35">
        <v>53991.46</v>
      </c>
      <c r="G11" s="35">
        <f t="shared" ref="G11" si="3">(D11*F11)/E11</f>
        <v>476.43127591887247</v>
      </c>
      <c r="H11" s="35">
        <f t="shared" ref="H11" si="4">G11-D11</f>
        <v>-23.568724081127527</v>
      </c>
      <c r="I11" s="36">
        <f t="shared" ref="I11" si="5">(H11*100)/D11</f>
        <v>-4.713744816225506</v>
      </c>
    </row>
    <row r="12" spans="1:9" x14ac:dyDescent="0.25">
      <c r="A12" s="34"/>
      <c r="B12" s="40">
        <v>44750</v>
      </c>
      <c r="C12" s="40">
        <v>44781</v>
      </c>
      <c r="D12" s="41">
        <v>160598</v>
      </c>
      <c r="E12" s="35">
        <v>21731.119999999999</v>
      </c>
      <c r="F12" s="35">
        <v>23809.49</v>
      </c>
      <c r="G12" s="35">
        <f t="shared" ref="G12" si="6">(D12*F12)/E12</f>
        <v>175957.6347201617</v>
      </c>
      <c r="H12" s="35">
        <f t="shared" ref="H12" si="7">G12-D12</f>
        <v>15359.634720161703</v>
      </c>
      <c r="I12" s="36">
        <f t="shared" ref="I12" si="8">(H12*100)/D12</f>
        <v>9.5640261523566306</v>
      </c>
    </row>
    <row r="13" spans="1:9" x14ac:dyDescent="0.25">
      <c r="A13" s="34"/>
      <c r="B13" s="40">
        <v>45386</v>
      </c>
      <c r="C13" s="40">
        <v>45387</v>
      </c>
      <c r="D13" s="41">
        <v>60589</v>
      </c>
      <c r="E13" s="35">
        <v>68508.84</v>
      </c>
      <c r="F13" s="35">
        <v>67837.64</v>
      </c>
      <c r="G13" s="35">
        <f t="shared" ref="G13" si="9">(D13*F13)/E13</f>
        <v>59995.392856746665</v>
      </c>
      <c r="H13" s="35">
        <f t="shared" ref="H13" si="10">G13-D13</f>
        <v>-593.60714325333538</v>
      </c>
      <c r="I13" s="36">
        <f t="shared" ref="I13" si="11">(H13*100)/D13</f>
        <v>-0.97972757968168378</v>
      </c>
    </row>
    <row r="14" spans="1:9" x14ac:dyDescent="0.25">
      <c r="A14" s="34"/>
      <c r="B14" s="40">
        <v>45510</v>
      </c>
      <c r="C14" s="40">
        <v>45513</v>
      </c>
      <c r="D14" s="41">
        <v>35</v>
      </c>
      <c r="E14" s="35">
        <v>56034.32</v>
      </c>
      <c r="F14" s="35">
        <v>60880.11</v>
      </c>
      <c r="G14" s="35">
        <f t="shared" ref="G14" si="12">(D14*F14)/E14</f>
        <v>38.026763776200013</v>
      </c>
      <c r="H14" s="35">
        <f t="shared" ref="H14" si="13">G14-D14</f>
        <v>3.0267637762000135</v>
      </c>
      <c r="I14" s="36">
        <f t="shared" ref="I14" si="14">(H14*100)/D14</f>
        <v>8.6478965034286102</v>
      </c>
    </row>
    <row r="15" spans="1:9" x14ac:dyDescent="0.25">
      <c r="A15" s="34"/>
      <c r="B15" s="40">
        <v>44777</v>
      </c>
      <c r="C15" s="40">
        <v>44778</v>
      </c>
      <c r="D15" s="41">
        <v>500</v>
      </c>
      <c r="E15" s="35">
        <v>22630.959999999999</v>
      </c>
      <c r="F15" s="35">
        <v>23289.31</v>
      </c>
      <c r="G15" s="35">
        <f t="shared" ref="G15" si="15">(D15*F15)/E15</f>
        <v>514.54533965859162</v>
      </c>
      <c r="H15" s="35">
        <f t="shared" ref="H15" si="16">G15-D15</f>
        <v>14.545339658591615</v>
      </c>
      <c r="I15" s="36">
        <f t="shared" ref="I15" si="17">(H15*100)/D15</f>
        <v>2.9090679317183232</v>
      </c>
    </row>
    <row r="16" spans="1:9" x14ac:dyDescent="0.25">
      <c r="A16" s="34"/>
      <c r="B16" s="40">
        <v>44746</v>
      </c>
      <c r="C16" s="40">
        <v>45143</v>
      </c>
      <c r="D16" s="41">
        <v>188</v>
      </c>
      <c r="E16" s="35">
        <v>20231.259999999998</v>
      </c>
      <c r="F16" s="35">
        <v>29042.13</v>
      </c>
      <c r="G16" s="35">
        <f t="shared" ref="G16" si="18">(D16*F16)/E16</f>
        <v>269.87545214682626</v>
      </c>
      <c r="H16" s="35">
        <f t="shared" ref="H16" si="19">G16-D16</f>
        <v>81.875452146826262</v>
      </c>
      <c r="I16" s="36">
        <f t="shared" ref="I16" si="20">(H16*100)/D16</f>
        <v>43.550772418524609</v>
      </c>
    </row>
    <row r="17" spans="1:9" x14ac:dyDescent="0.25">
      <c r="A17" s="34"/>
      <c r="B17" s="40"/>
      <c r="C17" s="40"/>
      <c r="D17" s="41"/>
      <c r="E17" s="35"/>
      <c r="F17" s="35"/>
      <c r="G17" s="35"/>
      <c r="H17" s="35"/>
      <c r="I17" s="36"/>
    </row>
    <row r="18" spans="1:9" x14ac:dyDescent="0.25">
      <c r="A18" s="34"/>
      <c r="B18" s="40"/>
      <c r="C18" s="40"/>
      <c r="D18" s="41"/>
      <c r="E18" s="35"/>
      <c r="F18" s="35"/>
      <c r="G18" s="35"/>
      <c r="H18" s="35"/>
      <c r="I18" s="36"/>
    </row>
    <row r="19" spans="1:9" x14ac:dyDescent="0.25">
      <c r="A19" s="34"/>
      <c r="B19" s="40"/>
      <c r="C19" s="40"/>
      <c r="D19" s="41"/>
      <c r="E19" s="35"/>
      <c r="F19" s="35"/>
      <c r="G19" s="35"/>
      <c r="H19" s="35"/>
      <c r="I19" s="36"/>
    </row>
    <row r="20" spans="1:9" x14ac:dyDescent="0.25">
      <c r="A20" s="34"/>
      <c r="B20" s="40"/>
      <c r="C20" s="40"/>
      <c r="D20" s="41"/>
      <c r="E20" s="35"/>
      <c r="F20" s="35"/>
      <c r="G20" s="35"/>
      <c r="H20" s="35"/>
      <c r="I20" s="36"/>
    </row>
    <row r="21" spans="1:9" x14ac:dyDescent="0.25">
      <c r="A21" s="34"/>
      <c r="B21" s="40"/>
      <c r="C21" s="40"/>
      <c r="D21" s="41"/>
      <c r="E21" s="35"/>
      <c r="F21" s="35"/>
      <c r="G21" s="35"/>
      <c r="H21" s="35"/>
      <c r="I21" s="36"/>
    </row>
    <row r="22" spans="1:9" x14ac:dyDescent="0.25">
      <c r="A22" s="34"/>
      <c r="B22" s="40"/>
      <c r="C22" s="40"/>
      <c r="D22" s="41"/>
      <c r="E22" s="35"/>
      <c r="F22" s="35"/>
      <c r="G22" s="35"/>
      <c r="H22" s="35"/>
      <c r="I22" s="36"/>
    </row>
    <row r="23" spans="1:9" x14ac:dyDescent="0.25">
      <c r="A23" s="34"/>
      <c r="B23" s="40"/>
      <c r="C23" s="40"/>
      <c r="D23" s="41"/>
      <c r="E23" s="35"/>
      <c r="F23" s="35"/>
      <c r="G23" s="35"/>
      <c r="H23" s="35"/>
      <c r="I23" s="36"/>
    </row>
    <row r="24" spans="1:9" x14ac:dyDescent="0.25">
      <c r="A24" s="34"/>
      <c r="B24" s="40"/>
      <c r="C24" s="40"/>
      <c r="D24" s="41"/>
      <c r="E24" s="35"/>
      <c r="F24" s="35"/>
      <c r="G24" s="35"/>
      <c r="H24" s="35"/>
      <c r="I24" s="36"/>
    </row>
    <row r="25" spans="1:9" x14ac:dyDescent="0.25">
      <c r="A25" s="34"/>
      <c r="B25" s="40"/>
      <c r="C25" s="40"/>
      <c r="D25" s="41"/>
      <c r="E25" s="35"/>
      <c r="F25" s="35"/>
      <c r="G25" s="35"/>
      <c r="H25" s="35"/>
      <c r="I25" s="36"/>
    </row>
    <row r="26" spans="1:9" x14ac:dyDescent="0.25">
      <c r="A26" s="34"/>
      <c r="B26" s="40"/>
      <c r="C26" s="40"/>
      <c r="D26" s="41"/>
      <c r="E26" s="35"/>
      <c r="F26" s="35"/>
      <c r="G26" s="35"/>
      <c r="H26" s="35"/>
      <c r="I26" s="36"/>
    </row>
    <row r="27" spans="1:9" x14ac:dyDescent="0.25">
      <c r="A27" s="34"/>
      <c r="B27" s="40"/>
      <c r="C27" s="40"/>
      <c r="D27" s="41"/>
      <c r="E27" s="35"/>
      <c r="F27" s="35"/>
      <c r="G27" s="35"/>
      <c r="H27" s="35"/>
      <c r="I27" s="36"/>
    </row>
    <row r="28" spans="1:9" x14ac:dyDescent="0.25">
      <c r="A28" s="34"/>
      <c r="B28" s="40"/>
      <c r="C28" s="40"/>
      <c r="D28" s="41"/>
      <c r="E28" s="35"/>
      <c r="F28" s="35"/>
      <c r="G28" s="35"/>
      <c r="H28" s="35"/>
      <c r="I28" s="36"/>
    </row>
    <row r="29" spans="1:9" x14ac:dyDescent="0.25">
      <c r="A29" s="34"/>
      <c r="B29" s="40"/>
      <c r="C29" s="40"/>
      <c r="D29" s="41"/>
      <c r="E29" s="35"/>
      <c r="F29" s="35"/>
      <c r="G29" s="35"/>
      <c r="H29" s="35"/>
      <c r="I29" s="36"/>
    </row>
    <row r="30" spans="1:9" x14ac:dyDescent="0.25">
      <c r="A30" s="34"/>
      <c r="B30" s="40"/>
      <c r="C30" s="40"/>
      <c r="D30" s="41"/>
      <c r="E30" s="35"/>
      <c r="F30" s="35"/>
      <c r="G30" s="35"/>
      <c r="H30" s="35"/>
      <c r="I30" s="36"/>
    </row>
    <row r="31" spans="1:9" x14ac:dyDescent="0.25">
      <c r="A31" s="34"/>
      <c r="B31" s="40"/>
      <c r="C31" s="40"/>
      <c r="D31" s="41"/>
      <c r="E31" s="35"/>
      <c r="F31" s="35"/>
      <c r="G31" s="35"/>
      <c r="H31" s="35"/>
      <c r="I31" s="36"/>
    </row>
    <row r="32" spans="1:9" x14ac:dyDescent="0.25">
      <c r="A32" s="34"/>
      <c r="B32" s="40"/>
      <c r="C32" s="40"/>
      <c r="D32" s="41"/>
      <c r="E32" s="35"/>
      <c r="F32" s="35"/>
      <c r="G32" s="35"/>
      <c r="H32" s="35"/>
      <c r="I32" s="36"/>
    </row>
    <row r="33" spans="1:9" x14ac:dyDescent="0.25">
      <c r="A33" s="34"/>
      <c r="B33" s="40"/>
      <c r="C33" s="40"/>
      <c r="D33" s="41"/>
      <c r="E33" s="35"/>
      <c r="F33" s="35"/>
      <c r="G33" s="35"/>
      <c r="H33" s="35"/>
      <c r="I33" s="36"/>
    </row>
    <row r="34" spans="1:9" x14ac:dyDescent="0.25">
      <c r="A34" s="35"/>
      <c r="B34" s="34"/>
      <c r="C34" s="35"/>
      <c r="D34" s="34"/>
      <c r="E34" s="34"/>
      <c r="F34" s="34"/>
      <c r="G34" s="34"/>
      <c r="H34" s="34"/>
      <c r="I34" s="34"/>
    </row>
    <row r="35" spans="1:9" x14ac:dyDescent="0.25">
      <c r="A35" s="35"/>
      <c r="B35" s="34"/>
      <c r="C35" s="35"/>
      <c r="D35" s="34"/>
      <c r="E35" s="34"/>
      <c r="F35" s="34"/>
      <c r="G35" s="34"/>
      <c r="H35" s="34"/>
      <c r="I35" s="34"/>
    </row>
    <row r="36" spans="1:9" x14ac:dyDescent="0.25">
      <c r="A36" s="35"/>
      <c r="B36" s="34"/>
      <c r="C36" s="35"/>
      <c r="D36" s="34"/>
      <c r="E36" s="34"/>
      <c r="F36" s="34"/>
      <c r="G36" s="34"/>
      <c r="H36" s="34"/>
      <c r="I36" s="34"/>
    </row>
    <row r="37" spans="1:9" x14ac:dyDescent="0.25">
      <c r="A37" s="35"/>
      <c r="B37" s="34"/>
      <c r="C37" s="35"/>
      <c r="D37" s="34"/>
      <c r="E37" s="34"/>
      <c r="F37" s="34"/>
      <c r="G37" s="34"/>
      <c r="H37" s="34"/>
      <c r="I37" s="34"/>
    </row>
    <row r="38" spans="1:9" x14ac:dyDescent="0.25">
      <c r="A38" s="35"/>
      <c r="B38" s="34"/>
      <c r="C38" s="35"/>
      <c r="D38" s="34"/>
      <c r="E38" s="34"/>
      <c r="F38" s="34"/>
      <c r="G38" s="34"/>
      <c r="H38" s="34"/>
      <c r="I38" s="34"/>
    </row>
    <row r="39" spans="1:9" x14ac:dyDescent="0.25">
      <c r="A39" s="35"/>
      <c r="B39" s="34"/>
      <c r="C39" s="35"/>
      <c r="D39" s="34"/>
      <c r="E39" s="34"/>
      <c r="F39" s="34"/>
      <c r="G39" s="34"/>
      <c r="H39" s="34"/>
      <c r="I39" s="34"/>
    </row>
    <row r="40" spans="1:9" x14ac:dyDescent="0.25">
      <c r="A40" s="35"/>
      <c r="B40" s="34"/>
      <c r="C40" s="35"/>
      <c r="D40" s="34"/>
      <c r="E40" s="34"/>
      <c r="F40" s="34"/>
      <c r="G40" s="34"/>
      <c r="H40" s="34"/>
      <c r="I40" s="34"/>
    </row>
    <row r="41" spans="1:9" x14ac:dyDescent="0.25">
      <c r="A41" s="35"/>
      <c r="B41" s="34"/>
      <c r="C41" s="35"/>
      <c r="D41" s="34"/>
      <c r="E41" s="34"/>
      <c r="F41" s="34"/>
      <c r="G41" s="34"/>
      <c r="H41" s="34"/>
      <c r="I41" s="34"/>
    </row>
    <row r="42" spans="1:9" x14ac:dyDescent="0.25">
      <c r="A42" s="35"/>
      <c r="B42" s="34"/>
      <c r="C42" s="35"/>
      <c r="D42" s="34"/>
      <c r="E42" s="34"/>
      <c r="F42" s="34"/>
      <c r="G42" s="34"/>
      <c r="H42" s="34"/>
      <c r="I42" s="34"/>
    </row>
    <row r="43" spans="1:9" x14ac:dyDescent="0.25">
      <c r="A43" s="35"/>
      <c r="B43" s="34"/>
      <c r="C43" s="35"/>
      <c r="D43" s="34"/>
      <c r="E43" s="34"/>
      <c r="F43" s="34"/>
      <c r="G43" s="34"/>
      <c r="H43" s="34"/>
      <c r="I43" s="34"/>
    </row>
    <row r="44" spans="1:9" x14ac:dyDescent="0.25">
      <c r="A44" s="35"/>
      <c r="B44" s="34"/>
      <c r="C44" s="35"/>
      <c r="D44" s="34"/>
      <c r="E44" s="34"/>
      <c r="F44" s="34"/>
      <c r="G44" s="34"/>
      <c r="H44" s="34"/>
      <c r="I44" s="34"/>
    </row>
    <row r="45" spans="1:9" x14ac:dyDescent="0.25">
      <c r="A45" s="35"/>
      <c r="B45" s="34"/>
      <c r="C45" s="35"/>
      <c r="D45" s="34"/>
      <c r="E45" s="34"/>
      <c r="F45" s="34"/>
      <c r="G45" s="34"/>
      <c r="H45" s="34"/>
      <c r="I45" s="34"/>
    </row>
    <row r="46" spans="1:9" x14ac:dyDescent="0.25">
      <c r="A46" s="35"/>
      <c r="B46" s="34"/>
      <c r="C46" s="35"/>
      <c r="D46" s="34"/>
      <c r="E46" s="34"/>
      <c r="F46" s="34"/>
      <c r="G46" s="34"/>
      <c r="H46" s="34"/>
      <c r="I46" s="34"/>
    </row>
    <row r="47" spans="1:9" x14ac:dyDescent="0.25">
      <c r="A47" s="35"/>
      <c r="B47" s="34"/>
      <c r="C47" s="35"/>
      <c r="D47" s="34"/>
      <c r="E47" s="34"/>
      <c r="F47" s="34"/>
      <c r="G47" s="34"/>
      <c r="H47" s="34"/>
      <c r="I47" s="34"/>
    </row>
    <row r="48" spans="1:9" x14ac:dyDescent="0.25">
      <c r="A48" s="4"/>
      <c r="C48" s="4"/>
    </row>
    <row r="49" spans="1:12" ht="15" customHeight="1" x14ac:dyDescent="0.25">
      <c r="A49" s="4"/>
      <c r="B49" s="102" t="s">
        <v>121</v>
      </c>
      <c r="C49" s="102"/>
      <c r="D49" s="102"/>
      <c r="E49" s="102"/>
      <c r="F49" s="102"/>
      <c r="G49" s="102"/>
      <c r="H49" s="102"/>
      <c r="I49" s="102"/>
      <c r="J49" s="102"/>
      <c r="K49" s="50"/>
    </row>
    <row r="50" spans="1:12" ht="15" customHeight="1" x14ac:dyDescent="0.25">
      <c r="A50" s="4"/>
      <c r="B50" s="102" t="s">
        <v>120</v>
      </c>
      <c r="C50" s="102"/>
      <c r="D50" s="102"/>
      <c r="E50" s="102"/>
      <c r="F50" s="102"/>
      <c r="G50" s="102"/>
      <c r="H50" s="102"/>
      <c r="I50" s="102"/>
      <c r="J50" s="102"/>
      <c r="K50" s="50"/>
    </row>
    <row r="51" spans="1:12" ht="15" customHeight="1" x14ac:dyDescent="0.25">
      <c r="B51" s="102" t="s">
        <v>127</v>
      </c>
      <c r="C51" s="102"/>
      <c r="D51" s="102"/>
      <c r="E51" s="102"/>
      <c r="F51" s="102"/>
      <c r="G51" s="102"/>
      <c r="H51" s="102"/>
      <c r="I51" s="102"/>
      <c r="J51" s="102"/>
      <c r="K51" s="50"/>
      <c r="L51" s="4"/>
    </row>
    <row r="52" spans="1:12" ht="15" customHeight="1" x14ac:dyDescent="0.25">
      <c r="B52" s="52"/>
      <c r="C52" s="52"/>
      <c r="D52" s="52"/>
      <c r="E52" s="52"/>
      <c r="F52" s="52"/>
      <c r="G52" s="52"/>
      <c r="H52" s="52"/>
      <c r="I52" s="52"/>
      <c r="J52" s="52"/>
      <c r="K52" s="51"/>
      <c r="L52" s="4"/>
    </row>
    <row r="53" spans="1:12" ht="15" customHeight="1" x14ac:dyDescent="0.25">
      <c r="B53" s="49"/>
      <c r="C53" s="49"/>
      <c r="D53" s="49"/>
      <c r="E53" s="49"/>
      <c r="F53" s="49"/>
      <c r="G53" s="49"/>
      <c r="H53" s="49"/>
      <c r="I53" s="49"/>
      <c r="J53" s="49"/>
      <c r="K53" s="49"/>
      <c r="L53" s="4"/>
    </row>
    <row r="54" spans="1:12" ht="15" customHeight="1" x14ac:dyDescent="0.25">
      <c r="B54" s="49"/>
      <c r="C54" s="49"/>
      <c r="D54" s="49"/>
      <c r="E54" s="49"/>
      <c r="F54" s="49"/>
      <c r="G54" s="49"/>
      <c r="H54" s="49"/>
      <c r="I54" s="49"/>
      <c r="J54" s="49"/>
      <c r="K54" s="49"/>
      <c r="L54" s="4"/>
    </row>
    <row r="55" spans="1:12" ht="15" customHeight="1" x14ac:dyDescent="0.25">
      <c r="B55" s="49"/>
      <c r="C55" s="49"/>
      <c r="D55" s="49"/>
      <c r="E55" s="49"/>
      <c r="F55" s="49"/>
      <c r="G55" s="49"/>
      <c r="H55" s="49"/>
      <c r="I55" s="49"/>
      <c r="J55" s="49"/>
      <c r="K55" s="49"/>
      <c r="L55" s="4"/>
    </row>
    <row r="56" spans="1:12" ht="15" customHeight="1" x14ac:dyDescent="0.25">
      <c r="B56" s="49"/>
      <c r="C56" s="49"/>
      <c r="D56" s="49"/>
      <c r="E56" s="49"/>
      <c r="F56" s="49"/>
      <c r="G56" s="49"/>
      <c r="H56" s="49"/>
      <c r="I56" s="49"/>
      <c r="J56" s="49"/>
      <c r="K56" s="49"/>
      <c r="L56" s="4"/>
    </row>
    <row r="57" spans="1:12" ht="15" customHeight="1" x14ac:dyDescent="0.25">
      <c r="B57" s="49"/>
      <c r="C57" s="49"/>
      <c r="D57" s="49"/>
      <c r="E57" s="49"/>
      <c r="F57" s="49"/>
      <c r="G57" s="49"/>
      <c r="H57" s="49"/>
      <c r="I57" s="49"/>
      <c r="J57" s="49"/>
      <c r="K57" s="49"/>
      <c r="L57" s="4"/>
    </row>
    <row r="58" spans="1:12" ht="15" customHeight="1" x14ac:dyDescent="0.25">
      <c r="B58" s="49"/>
      <c r="C58" s="49"/>
      <c r="D58" s="49"/>
      <c r="E58" s="49"/>
      <c r="F58" s="49"/>
      <c r="G58" s="49"/>
      <c r="H58" s="49"/>
      <c r="I58" s="49"/>
      <c r="J58" s="49"/>
      <c r="K58" s="49"/>
      <c r="L58" s="4"/>
    </row>
    <row r="59" spans="1:12" ht="15" customHeight="1" x14ac:dyDescent="0.25">
      <c r="B59" s="49"/>
      <c r="C59" s="49"/>
      <c r="D59" s="49"/>
      <c r="E59" s="49"/>
      <c r="F59" s="49"/>
      <c r="G59" s="49"/>
      <c r="H59" s="49"/>
      <c r="I59" s="49"/>
      <c r="J59" s="49"/>
      <c r="K59" s="49"/>
      <c r="L59" s="4"/>
    </row>
    <row r="60" spans="1:12" ht="15" customHeight="1" x14ac:dyDescent="0.25">
      <c r="B60" s="49"/>
      <c r="C60" s="49"/>
      <c r="D60" s="49"/>
      <c r="E60" s="49"/>
      <c r="F60" s="49"/>
      <c r="G60" s="49"/>
      <c r="H60" s="49"/>
      <c r="I60" s="49"/>
      <c r="J60" s="49"/>
      <c r="K60" s="49"/>
      <c r="L60" s="4"/>
    </row>
    <row r="61" spans="1:12" ht="15" customHeight="1" x14ac:dyDescent="0.25">
      <c r="B61" s="49"/>
      <c r="C61" s="49"/>
      <c r="D61" s="49"/>
      <c r="E61" s="49"/>
      <c r="F61" s="49"/>
      <c r="G61" s="49"/>
      <c r="H61" s="49"/>
      <c r="I61" s="49"/>
      <c r="J61" s="49"/>
      <c r="K61" s="49"/>
      <c r="L61" s="4"/>
    </row>
    <row r="62" spans="1:12" x14ac:dyDescent="0.25">
      <c r="B62" s="33"/>
      <c r="C62" s="33"/>
      <c r="D62" s="4"/>
      <c r="E62" s="4"/>
      <c r="F62" s="4"/>
      <c r="G62" s="4"/>
      <c r="H62" s="4"/>
      <c r="I62" s="23"/>
      <c r="J62" s="4"/>
      <c r="L62" s="4"/>
    </row>
    <row r="63" spans="1:12" x14ac:dyDescent="0.25">
      <c r="B63" s="33"/>
      <c r="C63" s="33"/>
      <c r="D63" s="4"/>
      <c r="E63" s="4"/>
      <c r="F63" s="4"/>
      <c r="G63" s="4"/>
      <c r="H63" s="4"/>
      <c r="I63" s="23"/>
      <c r="J63" s="4"/>
      <c r="L63" s="4"/>
    </row>
    <row r="64" spans="1:12" x14ac:dyDescent="0.25">
      <c r="B64" s="33"/>
      <c r="C64" s="33"/>
      <c r="D64" s="4"/>
      <c r="E64" s="4"/>
      <c r="F64" s="4"/>
      <c r="G64" s="4"/>
      <c r="H64" s="4"/>
      <c r="I64" s="23"/>
      <c r="J64" s="4"/>
      <c r="L64" s="4"/>
    </row>
    <row r="65" spans="2:15" x14ac:dyDescent="0.25">
      <c r="B65" s="33"/>
      <c r="C65" s="33"/>
      <c r="D65" s="4"/>
      <c r="E65" s="4"/>
      <c r="F65" s="4"/>
      <c r="G65" s="4"/>
      <c r="H65" s="4"/>
      <c r="I65" s="23"/>
      <c r="J65" s="4"/>
      <c r="L65" s="4"/>
    </row>
    <row r="66" spans="2:15" x14ac:dyDescent="0.25">
      <c r="B66" s="33"/>
      <c r="C66" s="33"/>
      <c r="D66" s="4"/>
      <c r="E66" s="4"/>
      <c r="F66" s="4"/>
      <c r="G66" s="4"/>
      <c r="H66" s="4"/>
      <c r="I66" s="23"/>
      <c r="J66" s="4"/>
      <c r="L66" s="4"/>
    </row>
    <row r="67" spans="2:15" x14ac:dyDescent="0.25">
      <c r="B67" s="33"/>
      <c r="C67" s="33"/>
      <c r="D67" s="4"/>
      <c r="E67" s="4"/>
      <c r="F67" s="4"/>
      <c r="G67" s="4"/>
      <c r="H67" s="4"/>
      <c r="I67" s="23"/>
      <c r="J67" s="4"/>
      <c r="L67" s="4"/>
    </row>
    <row r="68" spans="2:15" x14ac:dyDescent="0.25">
      <c r="F68" s="4"/>
      <c r="G68" s="4"/>
      <c r="H68" s="4"/>
      <c r="I68" s="4"/>
      <c r="J68" s="23"/>
      <c r="L68" s="4"/>
    </row>
    <row r="69" spans="2:15" x14ac:dyDescent="0.25">
      <c r="B69" s="33"/>
      <c r="C69" s="33"/>
      <c r="D69" s="4"/>
      <c r="E69" s="4"/>
      <c r="F69" s="4"/>
      <c r="G69" s="4"/>
      <c r="H69" s="4"/>
      <c r="I69" s="23"/>
      <c r="J69" s="4"/>
      <c r="L69" s="4"/>
    </row>
    <row r="70" spans="2:15" x14ac:dyDescent="0.25">
      <c r="B70" s="33"/>
      <c r="C70" s="33"/>
      <c r="D70" s="4"/>
      <c r="E70" s="4"/>
      <c r="F70" s="4"/>
      <c r="G70" s="4"/>
      <c r="H70" s="4"/>
      <c r="I70" s="23"/>
      <c r="J70" s="4"/>
      <c r="L70" s="4"/>
    </row>
    <row r="71" spans="2:15" x14ac:dyDescent="0.25">
      <c r="B71" s="33"/>
      <c r="C71" s="33"/>
      <c r="D71" s="4"/>
      <c r="E71" s="4"/>
      <c r="F71" s="4"/>
      <c r="G71" s="4"/>
      <c r="H71" s="4"/>
      <c r="I71" s="23"/>
      <c r="J71" s="4"/>
      <c r="L71" s="4"/>
    </row>
    <row r="72" spans="2:15" x14ac:dyDescent="0.25">
      <c r="B72" s="33"/>
      <c r="C72" s="33"/>
      <c r="D72" s="4"/>
      <c r="E72" s="4"/>
      <c r="F72" s="4"/>
      <c r="G72" s="4"/>
      <c r="H72" s="4"/>
      <c r="I72" s="23"/>
      <c r="J72" s="4"/>
      <c r="L72" s="4"/>
    </row>
    <row r="73" spans="2:15" x14ac:dyDescent="0.25">
      <c r="B73" s="33"/>
      <c r="C73" s="33"/>
      <c r="D73" s="4"/>
      <c r="E73" s="4"/>
      <c r="F73" s="4"/>
      <c r="G73" s="4"/>
      <c r="H73" s="4"/>
      <c r="I73" s="23"/>
      <c r="J73" s="4"/>
      <c r="L73" s="4"/>
    </row>
    <row r="74" spans="2:15" x14ac:dyDescent="0.25">
      <c r="B74" s="33"/>
      <c r="C74" s="33"/>
      <c r="D74" s="4"/>
      <c r="E74" s="4"/>
      <c r="F74" s="4"/>
      <c r="G74" s="4"/>
      <c r="H74" s="4"/>
      <c r="I74" s="23"/>
      <c r="J74" s="4"/>
      <c r="L74" s="4"/>
    </row>
    <row r="75" spans="2:15" x14ac:dyDescent="0.25">
      <c r="B75" s="33"/>
      <c r="C75" s="33"/>
      <c r="D75" s="4"/>
      <c r="E75" s="4"/>
      <c r="F75" s="4"/>
      <c r="G75" s="4"/>
      <c r="H75" s="4"/>
      <c r="I75" s="23"/>
      <c r="J75" s="4"/>
      <c r="L75" s="4"/>
    </row>
    <row r="76" spans="2:15" x14ac:dyDescent="0.25">
      <c r="B76" s="33"/>
      <c r="C76" s="33"/>
      <c r="D76" s="4"/>
      <c r="E76" s="4"/>
      <c r="F76" s="4"/>
      <c r="G76" s="4"/>
      <c r="H76" s="37"/>
      <c r="I76" s="23"/>
      <c r="K76" s="4"/>
      <c r="L76" s="4"/>
      <c r="M76" s="4"/>
      <c r="N76" s="37"/>
      <c r="O76" s="23"/>
    </row>
    <row r="77" spans="2:15" x14ac:dyDescent="0.25">
      <c r="B77" s="33"/>
      <c r="C77" s="33"/>
      <c r="D77" s="4"/>
      <c r="E77" s="4"/>
      <c r="F77" s="4"/>
      <c r="G77" s="4"/>
      <c r="H77" s="37"/>
      <c r="I77" s="23"/>
    </row>
    <row r="78" spans="2:15" x14ac:dyDescent="0.25">
      <c r="B78" s="33"/>
      <c r="C78" s="33"/>
      <c r="D78" s="4"/>
      <c r="E78" s="4"/>
      <c r="F78" s="4"/>
      <c r="G78" s="4"/>
      <c r="H78" s="37"/>
      <c r="I78" s="23"/>
    </row>
    <row r="79" spans="2:15" x14ac:dyDescent="0.25">
      <c r="B79" s="33"/>
      <c r="C79" s="33"/>
      <c r="D79" s="4"/>
      <c r="E79" s="4"/>
      <c r="F79" s="4"/>
      <c r="G79" s="4"/>
      <c r="H79" s="37"/>
      <c r="I79" s="23"/>
    </row>
    <row r="80" spans="2:15" x14ac:dyDescent="0.25">
      <c r="B80" s="33"/>
      <c r="C80" s="33"/>
      <c r="D80" s="4"/>
      <c r="E80" s="4"/>
      <c r="F80" s="4"/>
      <c r="G80" s="4"/>
      <c r="H80" s="37"/>
      <c r="I80" s="23"/>
    </row>
    <row r="81" spans="2:12" x14ac:dyDescent="0.25">
      <c r="B81" s="33"/>
      <c r="C81" s="33"/>
      <c r="D81" s="4"/>
      <c r="E81" s="4"/>
      <c r="F81" s="4"/>
      <c r="G81" s="4"/>
      <c r="H81" s="37"/>
      <c r="I81" s="23"/>
    </row>
    <row r="82" spans="2:12" x14ac:dyDescent="0.25">
      <c r="B82" s="33"/>
      <c r="C82" s="33"/>
      <c r="D82" s="4"/>
      <c r="E82" s="4"/>
      <c r="F82" s="4"/>
      <c r="G82" s="4"/>
      <c r="H82" s="37"/>
      <c r="I82" s="23"/>
    </row>
    <row r="83" spans="2:12" x14ac:dyDescent="0.25">
      <c r="B83" s="33"/>
      <c r="C83" s="33"/>
      <c r="D83" s="4"/>
      <c r="E83" s="4"/>
      <c r="F83" s="4"/>
      <c r="G83" s="4"/>
      <c r="H83" s="37"/>
      <c r="I83" s="23"/>
    </row>
    <row r="84" spans="2:12" x14ac:dyDescent="0.25">
      <c r="B84" s="33"/>
      <c r="C84" s="33"/>
      <c r="D84" s="4"/>
      <c r="E84" s="4"/>
      <c r="F84" s="4"/>
      <c r="G84" s="4"/>
      <c r="H84" s="37"/>
      <c r="I84" s="23"/>
    </row>
    <row r="85" spans="2:12" x14ac:dyDescent="0.25">
      <c r="B85" s="33"/>
      <c r="C85" s="33"/>
      <c r="D85" s="4"/>
      <c r="E85" s="4"/>
      <c r="F85" s="4"/>
      <c r="G85" s="4"/>
      <c r="H85" s="37"/>
      <c r="I85" s="23"/>
    </row>
    <row r="86" spans="2:12" x14ac:dyDescent="0.25">
      <c r="B86" s="33"/>
      <c r="C86" s="33"/>
      <c r="D86" s="4"/>
      <c r="E86" s="4"/>
      <c r="F86" s="4"/>
      <c r="G86" s="4"/>
      <c r="H86" s="37"/>
      <c r="I86" s="23"/>
    </row>
    <row r="87" spans="2:12" x14ac:dyDescent="0.25">
      <c r="B87" s="33"/>
      <c r="C87" s="33"/>
      <c r="D87" s="4"/>
      <c r="E87" s="4"/>
      <c r="F87" s="4"/>
      <c r="G87" s="4"/>
      <c r="H87" s="37"/>
      <c r="I87" s="23"/>
    </row>
    <row r="88" spans="2:12" x14ac:dyDescent="0.25">
      <c r="B88" s="33"/>
      <c r="C88" s="33"/>
      <c r="D88" s="4"/>
      <c r="E88" s="4"/>
      <c r="F88" s="4"/>
      <c r="G88" s="4"/>
      <c r="H88" s="37"/>
      <c r="I88" s="23"/>
    </row>
    <row r="89" spans="2:12" x14ac:dyDescent="0.25">
      <c r="D89" s="4"/>
      <c r="E89" s="4"/>
      <c r="F89" s="4"/>
      <c r="G89" s="4"/>
      <c r="H89" s="37"/>
      <c r="I89" s="23"/>
      <c r="J89" s="4"/>
    </row>
    <row r="90" spans="2:12" x14ac:dyDescent="0.25">
      <c r="D90" s="4"/>
      <c r="E90" s="4"/>
      <c r="F90" s="4"/>
      <c r="G90" s="4"/>
      <c r="H90" s="37"/>
      <c r="I90" s="23"/>
      <c r="L90" s="4"/>
    </row>
    <row r="91" spans="2:12" x14ac:dyDescent="0.25">
      <c r="D91" s="4"/>
      <c r="E91" s="4"/>
      <c r="F91" s="4"/>
      <c r="G91" s="4"/>
      <c r="H91" s="37"/>
      <c r="I91" s="23"/>
    </row>
    <row r="92" spans="2:12" x14ac:dyDescent="0.25">
      <c r="D92" s="4"/>
      <c r="E92" s="4"/>
      <c r="F92" s="4"/>
      <c r="G92" s="4"/>
      <c r="H92" s="37"/>
      <c r="I92" s="23"/>
    </row>
    <row r="93" spans="2:12" x14ac:dyDescent="0.25">
      <c r="D93" s="4"/>
      <c r="E93" s="4"/>
      <c r="F93" s="4"/>
      <c r="G93" s="4"/>
      <c r="H93" s="37"/>
      <c r="I93" s="23"/>
    </row>
    <row r="94" spans="2:12" x14ac:dyDescent="0.25">
      <c r="D94" s="4"/>
      <c r="E94" s="4"/>
      <c r="F94" s="4"/>
      <c r="G94" s="4"/>
      <c r="H94" s="37"/>
      <c r="I94" s="23"/>
    </row>
    <row r="95" spans="2:12" x14ac:dyDescent="0.25">
      <c r="D95" s="4"/>
      <c r="E95" s="4"/>
      <c r="F95" s="4"/>
      <c r="G95" s="4"/>
      <c r="H95" s="37"/>
      <c r="I95" s="23"/>
    </row>
    <row r="96" spans="2:12" x14ac:dyDescent="0.25">
      <c r="D96" s="4"/>
      <c r="E96" s="4"/>
      <c r="F96" s="4"/>
      <c r="G96" s="4"/>
      <c r="H96" s="37"/>
      <c r="I96" s="23"/>
    </row>
    <row r="97" spans="4:9" x14ac:dyDescent="0.25">
      <c r="D97" s="4"/>
      <c r="E97" s="4"/>
      <c r="F97" s="4"/>
      <c r="G97" s="4"/>
      <c r="H97" s="37"/>
      <c r="I97" s="23"/>
    </row>
    <row r="98" spans="4:9" x14ac:dyDescent="0.25">
      <c r="D98" s="4"/>
      <c r="E98" s="4"/>
      <c r="F98" s="4"/>
      <c r="G98" s="4"/>
      <c r="H98" s="37"/>
      <c r="I98" s="23"/>
    </row>
    <row r="99" spans="4:9" x14ac:dyDescent="0.25">
      <c r="D99" s="4"/>
      <c r="E99" s="4"/>
      <c r="F99" s="4"/>
      <c r="G99" s="4"/>
      <c r="H99" s="37"/>
      <c r="I99" s="23"/>
    </row>
    <row r="100" spans="4:9" x14ac:dyDescent="0.25">
      <c r="D100" s="4"/>
      <c r="E100" s="4"/>
      <c r="F100" s="4"/>
      <c r="G100" s="4"/>
      <c r="H100" s="37"/>
      <c r="I100" s="23"/>
    </row>
    <row r="101" spans="4:9" x14ac:dyDescent="0.25">
      <c r="D101" s="4"/>
      <c r="E101" s="4"/>
      <c r="F101" s="4"/>
      <c r="G101" s="4"/>
      <c r="H101" s="37"/>
      <c r="I101" s="23"/>
    </row>
    <row r="102" spans="4:9" x14ac:dyDescent="0.25">
      <c r="D102" s="4"/>
      <c r="E102" s="4"/>
      <c r="F102" s="4"/>
      <c r="G102" s="4"/>
      <c r="H102" s="37"/>
      <c r="I102" s="23"/>
    </row>
    <row r="103" spans="4:9" x14ac:dyDescent="0.25">
      <c r="D103" s="4"/>
      <c r="E103" s="4"/>
      <c r="F103" s="4"/>
      <c r="G103" s="4"/>
      <c r="H103" s="37"/>
      <c r="I103" s="23"/>
    </row>
    <row r="104" spans="4:9" x14ac:dyDescent="0.25">
      <c r="D104" s="4"/>
      <c r="E104" s="4"/>
      <c r="F104" s="4"/>
      <c r="G104" s="4"/>
      <c r="H104" s="37"/>
      <c r="I104" s="23"/>
    </row>
    <row r="105" spans="4:9" x14ac:dyDescent="0.25">
      <c r="D105" s="4"/>
      <c r="E105" s="4"/>
      <c r="F105" s="4"/>
      <c r="G105" s="4"/>
      <c r="H105" s="37"/>
      <c r="I105" s="23"/>
    </row>
    <row r="106" spans="4:9" x14ac:dyDescent="0.25">
      <c r="D106" s="4"/>
      <c r="E106" s="4"/>
      <c r="F106" s="4"/>
      <c r="G106" s="4"/>
      <c r="H106" s="37"/>
      <c r="I106" s="23"/>
    </row>
    <row r="107" spans="4:9" x14ac:dyDescent="0.25">
      <c r="D107" s="4"/>
      <c r="E107" s="4"/>
      <c r="F107" s="4"/>
    </row>
    <row r="108" spans="4:9" x14ac:dyDescent="0.25">
      <c r="D108" s="4"/>
      <c r="E108" s="4"/>
      <c r="F108" s="4"/>
    </row>
    <row r="109" spans="4:9" x14ac:dyDescent="0.25">
      <c r="D109" s="4"/>
      <c r="E109" s="4"/>
      <c r="F109" s="4"/>
    </row>
    <row r="110" spans="4:9" x14ac:dyDescent="0.25">
      <c r="D110" s="4"/>
      <c r="E110" s="4"/>
      <c r="F110" s="4"/>
    </row>
    <row r="111" spans="4:9" x14ac:dyDescent="0.25">
      <c r="D111" s="4"/>
      <c r="E111" s="4"/>
      <c r="F111" s="4"/>
    </row>
    <row r="112" spans="4:9" x14ac:dyDescent="0.25">
      <c r="D112" s="4"/>
      <c r="E112" s="4"/>
      <c r="F112" s="4"/>
    </row>
    <row r="113" spans="4:6" x14ac:dyDescent="0.25">
      <c r="D113" s="4"/>
      <c r="E113" s="4"/>
      <c r="F113" s="4"/>
    </row>
    <row r="114" spans="4:6" x14ac:dyDescent="0.25">
      <c r="D114" s="4"/>
      <c r="E114" s="4"/>
      <c r="F114" s="4"/>
    </row>
    <row r="115" spans="4:6" x14ac:dyDescent="0.25">
      <c r="D115" s="4"/>
      <c r="E115" s="4"/>
      <c r="F115" s="4"/>
    </row>
    <row r="116" spans="4:6" x14ac:dyDescent="0.25">
      <c r="D116" s="4"/>
      <c r="E116" s="4"/>
      <c r="F116" s="4"/>
    </row>
    <row r="117" spans="4:6" x14ac:dyDescent="0.25">
      <c r="D117" s="4"/>
      <c r="E117" s="4"/>
      <c r="F117" s="4"/>
    </row>
    <row r="118" spans="4:6" x14ac:dyDescent="0.25">
      <c r="D118" s="4"/>
      <c r="E118" s="4"/>
      <c r="F118" s="4"/>
    </row>
    <row r="119" spans="4:6" x14ac:dyDescent="0.25">
      <c r="D119" s="4"/>
      <c r="E119" s="4"/>
      <c r="F119" s="4"/>
    </row>
    <row r="120" spans="4:6" x14ac:dyDescent="0.25">
      <c r="D120" s="4"/>
      <c r="E120" s="4"/>
      <c r="F120" s="4"/>
    </row>
    <row r="121" spans="4:6" x14ac:dyDescent="0.25">
      <c r="D121" s="4"/>
      <c r="E121" s="4"/>
      <c r="F121" s="4"/>
    </row>
    <row r="122" spans="4:6" x14ac:dyDescent="0.25">
      <c r="D122" s="4"/>
      <c r="E122" s="4"/>
      <c r="F122" s="4"/>
    </row>
    <row r="123" spans="4:6" x14ac:dyDescent="0.25">
      <c r="D123" s="4"/>
      <c r="E123" s="4"/>
      <c r="F123" s="4"/>
    </row>
    <row r="124" spans="4:6" x14ac:dyDescent="0.25">
      <c r="D124" s="4"/>
      <c r="E124" s="4"/>
      <c r="F124" s="4"/>
    </row>
    <row r="125" spans="4:6" x14ac:dyDescent="0.25">
      <c r="D125" s="4"/>
      <c r="E125" s="4"/>
      <c r="F125" s="4"/>
    </row>
    <row r="126" spans="4:6" x14ac:dyDescent="0.25">
      <c r="D126" s="4"/>
      <c r="E126" s="4"/>
      <c r="F126" s="4"/>
    </row>
    <row r="127" spans="4:6" x14ac:dyDescent="0.25">
      <c r="D127" s="4"/>
      <c r="E127" s="4"/>
      <c r="F127" s="4"/>
    </row>
    <row r="128" spans="4:6" x14ac:dyDescent="0.25">
      <c r="D128" s="4"/>
      <c r="E128" s="4"/>
      <c r="F128" s="4"/>
    </row>
    <row r="129" spans="4:6" x14ac:dyDescent="0.25">
      <c r="D129" s="4"/>
      <c r="E129" s="4"/>
      <c r="F129" s="4"/>
    </row>
    <row r="130" spans="4:6" x14ac:dyDescent="0.25">
      <c r="D130" s="4"/>
      <c r="E130" s="4"/>
      <c r="F130" s="4"/>
    </row>
    <row r="131" spans="4:6" x14ac:dyDescent="0.25">
      <c r="D131" s="4"/>
      <c r="E131" s="4"/>
      <c r="F131" s="4"/>
    </row>
    <row r="132" spans="4:6" x14ac:dyDescent="0.25">
      <c r="D132" s="4"/>
      <c r="E132" s="4"/>
      <c r="F132" s="4"/>
    </row>
    <row r="133" spans="4:6" x14ac:dyDescent="0.25">
      <c r="D133" s="4"/>
      <c r="E133" s="4"/>
      <c r="F133" s="4"/>
    </row>
    <row r="134" spans="4:6" x14ac:dyDescent="0.25">
      <c r="D134" s="4"/>
      <c r="E134" s="4"/>
      <c r="F134" s="4"/>
    </row>
    <row r="135" spans="4:6" x14ac:dyDescent="0.25">
      <c r="D135" s="4"/>
      <c r="E135" s="4"/>
      <c r="F135" s="4"/>
    </row>
    <row r="136" spans="4:6" x14ac:dyDescent="0.25">
      <c r="D136" s="4"/>
      <c r="E136" s="4"/>
      <c r="F136" s="4"/>
    </row>
    <row r="137" spans="4:6" x14ac:dyDescent="0.25">
      <c r="D137" s="4"/>
      <c r="E137" s="4"/>
      <c r="F137" s="4"/>
    </row>
    <row r="138" spans="4:6" x14ac:dyDescent="0.25">
      <c r="D138" s="4"/>
      <c r="E138" s="4"/>
      <c r="F138" s="4"/>
    </row>
    <row r="139" spans="4:6" x14ac:dyDescent="0.25">
      <c r="D139" s="4"/>
      <c r="E139" s="4"/>
      <c r="F139" s="4"/>
    </row>
    <row r="140" spans="4:6" x14ac:dyDescent="0.25">
      <c r="D140" s="4"/>
      <c r="E140" s="4"/>
      <c r="F140" s="4"/>
    </row>
    <row r="141" spans="4:6" x14ac:dyDescent="0.25">
      <c r="D141" s="4"/>
      <c r="E141" s="4"/>
      <c r="F141" s="4"/>
    </row>
    <row r="142" spans="4:6" x14ac:dyDescent="0.25">
      <c r="D142" s="4"/>
      <c r="E142" s="4"/>
      <c r="F142" s="4"/>
    </row>
    <row r="143" spans="4:6" x14ac:dyDescent="0.25">
      <c r="D143" s="4"/>
      <c r="E143" s="4"/>
      <c r="F143" s="4"/>
    </row>
    <row r="144" spans="4:6" x14ac:dyDescent="0.25">
      <c r="D144" s="4"/>
      <c r="E144" s="4"/>
      <c r="F144" s="4"/>
    </row>
    <row r="145" spans="4:6" x14ac:dyDescent="0.25">
      <c r="D145" s="4"/>
      <c r="E145" s="4"/>
      <c r="F145" s="4"/>
    </row>
    <row r="146" spans="4:6" x14ac:dyDescent="0.25">
      <c r="D146" s="4"/>
      <c r="E146" s="4"/>
      <c r="F146" s="4"/>
    </row>
    <row r="147" spans="4:6" x14ac:dyDescent="0.25">
      <c r="D147" s="4"/>
      <c r="E147" s="4"/>
      <c r="F147" s="4"/>
    </row>
    <row r="148" spans="4:6" x14ac:dyDescent="0.25">
      <c r="D148" s="4"/>
      <c r="E148" s="4"/>
      <c r="F148" s="4"/>
    </row>
    <row r="149" spans="4:6" x14ac:dyDescent="0.25">
      <c r="D149" s="4"/>
      <c r="E149" s="4"/>
      <c r="F149" s="4"/>
    </row>
    <row r="150" spans="4:6" x14ac:dyDescent="0.25">
      <c r="D150" s="4"/>
      <c r="E150" s="4"/>
      <c r="F150" s="4"/>
    </row>
    <row r="151" spans="4:6" x14ac:dyDescent="0.25">
      <c r="D151" s="4"/>
      <c r="E151" s="4"/>
      <c r="F151" s="4"/>
    </row>
    <row r="152" spans="4:6" x14ac:dyDescent="0.25">
      <c r="D152" s="4"/>
      <c r="E152" s="4"/>
      <c r="F152" s="4"/>
    </row>
    <row r="153" spans="4:6" x14ac:dyDescent="0.25">
      <c r="D153" s="4"/>
      <c r="E153" s="4"/>
      <c r="F153" s="4"/>
    </row>
    <row r="154" spans="4:6" x14ac:dyDescent="0.25">
      <c r="D154" s="4"/>
      <c r="E154" s="4"/>
      <c r="F154" s="4"/>
    </row>
    <row r="155" spans="4:6" x14ac:dyDescent="0.25">
      <c r="D155" s="4"/>
      <c r="E155" s="4"/>
      <c r="F155" s="4"/>
    </row>
    <row r="156" spans="4:6" x14ac:dyDescent="0.25">
      <c r="D156" s="4"/>
      <c r="E156" s="4"/>
      <c r="F156" s="4"/>
    </row>
    <row r="157" spans="4:6" x14ac:dyDescent="0.25">
      <c r="D157" s="4"/>
      <c r="E157" s="4"/>
      <c r="F157" s="4"/>
    </row>
    <row r="158" spans="4:6" x14ac:dyDescent="0.25">
      <c r="E158" s="4"/>
      <c r="F158" s="4"/>
    </row>
    <row r="159" spans="4:6" x14ac:dyDescent="0.25">
      <c r="E159" s="4"/>
      <c r="F159" s="4"/>
    </row>
    <row r="160" spans="4:6" x14ac:dyDescent="0.25">
      <c r="E160" s="4"/>
      <c r="F160" s="4"/>
    </row>
    <row r="161" spans="5:6" x14ac:dyDescent="0.25">
      <c r="E161" s="4"/>
      <c r="F161" s="4"/>
    </row>
    <row r="162" spans="5:6" x14ac:dyDescent="0.25">
      <c r="E162" s="4"/>
      <c r="F162" s="4"/>
    </row>
    <row r="163" spans="5:6" x14ac:dyDescent="0.25">
      <c r="E163" s="4"/>
      <c r="F163" s="4"/>
    </row>
    <row r="164" spans="5:6" x14ac:dyDescent="0.25">
      <c r="E164" s="4"/>
      <c r="F164" s="4"/>
    </row>
    <row r="165" spans="5:6" x14ac:dyDescent="0.25">
      <c r="E165" s="4"/>
      <c r="F165" s="4"/>
    </row>
    <row r="166" spans="5:6" x14ac:dyDescent="0.25">
      <c r="E166" s="4"/>
      <c r="F166" s="4"/>
    </row>
    <row r="167" spans="5:6" x14ac:dyDescent="0.25">
      <c r="E167" s="4"/>
      <c r="F167" s="4"/>
    </row>
    <row r="168" spans="5:6" x14ac:dyDescent="0.25">
      <c r="E168" s="4"/>
      <c r="F168" s="4"/>
    </row>
    <row r="169" spans="5:6" x14ac:dyDescent="0.25">
      <c r="E169" s="4"/>
      <c r="F169" s="4"/>
    </row>
    <row r="170" spans="5:6" x14ac:dyDescent="0.25">
      <c r="E170" s="4"/>
      <c r="F170" s="4"/>
    </row>
  </sheetData>
  <mergeCells count="4">
    <mergeCell ref="B2:C2"/>
    <mergeCell ref="B49:J49"/>
    <mergeCell ref="B50:J50"/>
    <mergeCell ref="B51:J51"/>
  </mergeCells>
  <conditionalFormatting sqref="I1:I7 I62:I1048576">
    <cfRule type="cellIs" dxfId="265" priority="3" operator="lessThan">
      <formula>0</formula>
    </cfRule>
  </conditionalFormatting>
  <conditionalFormatting sqref="I1:I7">
    <cfRule type="cellIs" dxfId="264" priority="2" operator="greaterThan">
      <formula>0</formula>
    </cfRule>
  </conditionalFormatting>
  <conditionalFormatting sqref="I62:I1048576">
    <cfRule type="cellIs" dxfId="263" priority="1" operator="greaterThan">
      <formula>0</formula>
    </cfRule>
  </conditionalFormatting>
  <dataValidations count="1">
    <dataValidation type="whole" operator="greaterThan" allowBlank="1" showInputMessage="1" showErrorMessage="1" error="no es entero mayor a 0" prompt="entero mayor a 0" sqref="C5" xr:uid="{2F2C1812-B89C-42F1-94B1-35887C90EACF}">
      <formula1>0</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date" allowBlank="1" showInputMessage="1" showErrorMessage="1" errorTitle="error" error="fuera del rango" promptTitle="solo dentro del rango" prompt="ingrese fecha inicial dentro del rango_x000a_" xr:uid="{A3AC3A86-8705-4E32-A108-3B489B9A2E4A}">
          <x14:formula1>
            <xm:f>'Tabla Base'!C2</xm:f>
          </x14:formula1>
          <x14:formula2>
            <xm:f>'Tabla Base'!C1002</xm:f>
          </x14:formula2>
          <xm:sqref>C3</xm:sqref>
        </x14:dataValidation>
        <x14:dataValidation type="date" allowBlank="1" showInputMessage="1" showErrorMessage="1" errorTitle="error" error="fuera de rango" promptTitle="ingrese fecha final" prompt="dentro del rango aceptado_x000a_" xr:uid="{C9754DA8-4561-4CC0-A792-A88CA050FF3A}">
          <x14:formula1>
            <xm:f>'Tabla Base'!C3</xm:f>
          </x14:formula1>
          <x14:formula2>
            <xm:f>'Tabla Base'!C1002</xm:f>
          </x14:formula2>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2D4E-5054-4A3E-B0F1-7C3D3A6BD4FD}">
  <sheetPr>
    <tabColor rgb="FFFFC000"/>
  </sheetPr>
  <dimension ref="A1:M1002"/>
  <sheetViews>
    <sheetView topLeftCell="B10" zoomScale="115" zoomScaleNormal="115" workbookViewId="0">
      <selection activeCell="F16" sqref="F16"/>
    </sheetView>
  </sheetViews>
  <sheetFormatPr baseColWidth="10" defaultRowHeight="15" x14ac:dyDescent="0.25"/>
  <cols>
    <col min="1" max="1" width="11.42578125" style="3"/>
    <col min="2" max="2" width="11.42578125" style="33"/>
    <col min="3" max="3" width="11.42578125" style="3"/>
    <col min="4" max="4" width="14" style="3" customWidth="1"/>
    <col min="5" max="5" width="18.140625" style="3" customWidth="1"/>
    <col min="6" max="6" width="16.140625" style="3" customWidth="1"/>
    <col min="7" max="7" width="11.42578125" style="3"/>
    <col min="8" max="8" width="11.85546875" style="23" customWidth="1"/>
    <col min="9" max="9" width="11.5703125" style="4" bestFit="1" customWidth="1"/>
    <col min="10" max="10" width="14.85546875" style="4" customWidth="1"/>
    <col min="11" max="11" width="19" style="4" customWidth="1"/>
    <col min="12" max="12" width="20.7109375" style="3" customWidth="1"/>
    <col min="13" max="13" width="13.42578125" style="3" customWidth="1"/>
    <col min="14" max="16384" width="11.42578125" style="3"/>
  </cols>
  <sheetData>
    <row r="1" spans="1:13" x14ac:dyDescent="0.25">
      <c r="A1" s="3" t="s">
        <v>0</v>
      </c>
      <c r="B1" s="3" t="s">
        <v>26</v>
      </c>
      <c r="C1" s="33" t="s">
        <v>1</v>
      </c>
      <c r="D1" s="3" t="s">
        <v>2</v>
      </c>
      <c r="E1" s="3" t="s">
        <v>3</v>
      </c>
      <c r="F1" s="3" t="s">
        <v>4</v>
      </c>
      <c r="G1" s="3" t="s">
        <v>5</v>
      </c>
      <c r="H1" s="3" t="s">
        <v>6</v>
      </c>
      <c r="I1" s="23" t="s">
        <v>7</v>
      </c>
      <c r="J1" s="4" t="s">
        <v>8</v>
      </c>
      <c r="K1" s="4" t="s">
        <v>9</v>
      </c>
      <c r="L1" s="4" t="s">
        <v>10</v>
      </c>
      <c r="M1" s="3" t="s">
        <v>11</v>
      </c>
    </row>
    <row r="2" spans="1:13" x14ac:dyDescent="0.25">
      <c r="A2" s="3">
        <v>1</v>
      </c>
      <c r="B2" s="3" t="s">
        <v>27</v>
      </c>
      <c r="C2" s="33">
        <v>44746</v>
      </c>
      <c r="D2" s="3" t="s">
        <v>12</v>
      </c>
      <c r="E2" s="3" t="s">
        <v>13</v>
      </c>
      <c r="F2" s="3" t="s">
        <v>14</v>
      </c>
      <c r="G2" s="3">
        <v>14</v>
      </c>
      <c r="H2" s="3">
        <v>1</v>
      </c>
      <c r="I2" s="23">
        <v>1.62999999523162</v>
      </c>
      <c r="J2" s="4">
        <v>1761.80004882812</v>
      </c>
      <c r="K2" s="4">
        <v>20231.259999999998</v>
      </c>
      <c r="L2" s="4">
        <v>21594638208</v>
      </c>
      <c r="M2" s="3">
        <v>0.34</v>
      </c>
    </row>
    <row r="3" spans="1:13" x14ac:dyDescent="0.25">
      <c r="A3" s="3">
        <v>2</v>
      </c>
      <c r="B3" s="3" t="s">
        <v>27</v>
      </c>
      <c r="C3" s="33">
        <v>44747</v>
      </c>
      <c r="D3" s="3" t="s">
        <v>15</v>
      </c>
      <c r="E3" s="3" t="s">
        <v>16</v>
      </c>
      <c r="F3" s="3" t="s">
        <v>14</v>
      </c>
      <c r="G3" s="3">
        <v>19</v>
      </c>
      <c r="H3" s="3" t="s">
        <v>17</v>
      </c>
      <c r="I3" s="23">
        <v>1.62999999523162</v>
      </c>
      <c r="J3" s="4">
        <v>1761.80004882812</v>
      </c>
      <c r="K3" s="4">
        <v>20190.12</v>
      </c>
      <c r="L3" s="4">
        <v>26715546990</v>
      </c>
      <c r="M3" s="3">
        <v>-0.2</v>
      </c>
    </row>
    <row r="4" spans="1:13" x14ac:dyDescent="0.25">
      <c r="A4" s="3">
        <v>3</v>
      </c>
      <c r="B4" s="3" t="s">
        <v>27</v>
      </c>
      <c r="C4" s="33">
        <v>44748</v>
      </c>
      <c r="D4" s="3" t="s">
        <v>18</v>
      </c>
      <c r="E4" s="3" t="s">
        <v>16</v>
      </c>
      <c r="F4" s="3" t="s">
        <v>14</v>
      </c>
      <c r="G4" s="3">
        <v>18</v>
      </c>
      <c r="H4" s="3" t="s">
        <v>17</v>
      </c>
      <c r="I4" s="23">
        <v>1.8400000333786</v>
      </c>
      <c r="J4" s="4">
        <v>1761.80004882812</v>
      </c>
      <c r="K4" s="4">
        <v>20548.25</v>
      </c>
      <c r="L4" s="4">
        <v>24598943708</v>
      </c>
      <c r="M4" s="3">
        <v>1.77</v>
      </c>
    </row>
    <row r="5" spans="1:13" x14ac:dyDescent="0.25">
      <c r="A5" s="3">
        <v>4</v>
      </c>
      <c r="B5" s="3" t="s">
        <v>27</v>
      </c>
      <c r="C5" s="33">
        <v>44749</v>
      </c>
      <c r="D5" s="3" t="s">
        <v>19</v>
      </c>
      <c r="E5" s="3" t="s">
        <v>16</v>
      </c>
      <c r="F5" s="3" t="s">
        <v>14</v>
      </c>
      <c r="G5" s="3">
        <v>18</v>
      </c>
      <c r="H5" s="3" t="s">
        <v>17</v>
      </c>
      <c r="I5" s="23">
        <v>1.85300004482269</v>
      </c>
      <c r="J5" s="4">
        <v>1734.90002441406</v>
      </c>
      <c r="K5" s="4">
        <v>21637.59</v>
      </c>
      <c r="L5" s="4">
        <v>25814972520</v>
      </c>
      <c r="M5" s="3">
        <v>5.3</v>
      </c>
    </row>
    <row r="6" spans="1:13" x14ac:dyDescent="0.25">
      <c r="A6" s="3">
        <v>5</v>
      </c>
      <c r="B6" s="3" t="s">
        <v>27</v>
      </c>
      <c r="C6" s="33">
        <v>44750</v>
      </c>
      <c r="D6" s="3" t="s">
        <v>20</v>
      </c>
      <c r="E6" s="3" t="s">
        <v>16</v>
      </c>
      <c r="F6" s="3" t="s">
        <v>14</v>
      </c>
      <c r="G6" s="3">
        <v>20</v>
      </c>
      <c r="H6" s="3" t="s">
        <v>17</v>
      </c>
      <c r="I6" s="23">
        <v>1.84300005435943</v>
      </c>
      <c r="J6" s="4">
        <v>1737.90002441406</v>
      </c>
      <c r="K6" s="4">
        <v>21731.119999999999</v>
      </c>
      <c r="L6" s="4">
        <v>49899834488</v>
      </c>
      <c r="M6" s="3">
        <v>0.43</v>
      </c>
    </row>
    <row r="7" spans="1:13" x14ac:dyDescent="0.25">
      <c r="A7" s="3">
        <v>6</v>
      </c>
      <c r="B7" s="3" t="s">
        <v>27</v>
      </c>
      <c r="C7" s="33">
        <v>44751</v>
      </c>
      <c r="D7" s="3" t="s">
        <v>21</v>
      </c>
      <c r="E7" s="3" t="s">
        <v>13</v>
      </c>
      <c r="F7" s="3" t="s">
        <v>14</v>
      </c>
      <c r="G7" s="3">
        <v>24</v>
      </c>
      <c r="H7" s="3" t="s">
        <v>17</v>
      </c>
      <c r="I7" s="23">
        <v>1.84300005435943</v>
      </c>
      <c r="J7" s="4">
        <v>1740.59997558593</v>
      </c>
      <c r="K7" s="4">
        <v>21592.21</v>
      </c>
      <c r="L7" s="4">
        <v>29641127858</v>
      </c>
      <c r="M7" s="3">
        <v>-0.64</v>
      </c>
    </row>
    <row r="8" spans="1:13" x14ac:dyDescent="0.25">
      <c r="A8" s="3">
        <v>7</v>
      </c>
      <c r="B8" s="3" t="s">
        <v>27</v>
      </c>
      <c r="C8" s="33">
        <v>44752</v>
      </c>
      <c r="D8" s="3" t="s">
        <v>22</v>
      </c>
      <c r="E8" s="3" t="s">
        <v>13</v>
      </c>
      <c r="F8" s="3" t="s">
        <v>14</v>
      </c>
      <c r="G8" s="3">
        <v>24</v>
      </c>
      <c r="H8" s="3" t="s">
        <v>17</v>
      </c>
      <c r="I8" s="23">
        <v>1.84300005435943</v>
      </c>
      <c r="J8" s="4">
        <v>1737.90002441406</v>
      </c>
      <c r="K8" s="4">
        <v>20860.45</v>
      </c>
      <c r="L8" s="4">
        <v>28688807249</v>
      </c>
      <c r="M8" s="3">
        <v>-3.39</v>
      </c>
    </row>
    <row r="9" spans="1:13" x14ac:dyDescent="0.25">
      <c r="A9" s="3">
        <v>8</v>
      </c>
      <c r="B9" s="3" t="s">
        <v>27</v>
      </c>
      <c r="C9" s="33">
        <v>44753</v>
      </c>
      <c r="D9" s="3" t="s">
        <v>12</v>
      </c>
      <c r="E9" s="3" t="s">
        <v>16</v>
      </c>
      <c r="F9" s="3" t="s">
        <v>14</v>
      </c>
      <c r="G9" s="3">
        <v>22</v>
      </c>
      <c r="H9" s="3" t="s">
        <v>17</v>
      </c>
      <c r="I9" s="23">
        <v>1.9529999494552599</v>
      </c>
      <c r="J9" s="4">
        <v>1740.59997558593</v>
      </c>
      <c r="K9" s="4">
        <v>19970.560000000001</v>
      </c>
      <c r="L9" s="4">
        <v>24150249025</v>
      </c>
      <c r="M9" s="3">
        <v>-4.2699999999999996</v>
      </c>
    </row>
    <row r="10" spans="1:13" x14ac:dyDescent="0.25">
      <c r="A10" s="3">
        <v>9</v>
      </c>
      <c r="B10" s="3" t="s">
        <v>27</v>
      </c>
      <c r="C10" s="33">
        <v>44754</v>
      </c>
      <c r="D10" s="3" t="s">
        <v>15</v>
      </c>
      <c r="E10" s="3" t="s">
        <v>16</v>
      </c>
      <c r="F10" s="3" t="s">
        <v>14</v>
      </c>
      <c r="G10" s="3">
        <v>16</v>
      </c>
      <c r="H10" s="3" t="s">
        <v>17</v>
      </c>
      <c r="I10" s="23">
        <v>2.1129999160766602</v>
      </c>
      <c r="J10" s="4">
        <v>1730</v>
      </c>
      <c r="K10" s="4">
        <v>19323.91</v>
      </c>
      <c r="L10" s="4">
        <v>25810220018</v>
      </c>
      <c r="M10" s="3">
        <v>-3.24</v>
      </c>
    </row>
    <row r="11" spans="1:13" x14ac:dyDescent="0.25">
      <c r="A11" s="3">
        <v>10</v>
      </c>
      <c r="B11" s="3" t="s">
        <v>27</v>
      </c>
      <c r="C11" s="33">
        <v>44755</v>
      </c>
      <c r="D11" s="3" t="s">
        <v>18</v>
      </c>
      <c r="E11" s="3" t="s">
        <v>16</v>
      </c>
      <c r="F11" s="3" t="s">
        <v>14</v>
      </c>
      <c r="G11" s="3">
        <v>15</v>
      </c>
      <c r="H11" s="3" t="s">
        <v>17</v>
      </c>
      <c r="I11" s="23">
        <v>2.3229999542236301</v>
      </c>
      <c r="J11" s="4">
        <v>1723.30004882812</v>
      </c>
      <c r="K11" s="4">
        <v>20212.07</v>
      </c>
      <c r="L11" s="4">
        <v>33042430345</v>
      </c>
      <c r="M11" s="3">
        <v>4.5999999999999996</v>
      </c>
    </row>
    <row r="12" spans="1:13" x14ac:dyDescent="0.25">
      <c r="A12" s="3">
        <v>11</v>
      </c>
      <c r="B12" s="3" t="s">
        <v>27</v>
      </c>
      <c r="C12" s="33">
        <v>44756</v>
      </c>
      <c r="D12" s="3" t="s">
        <v>19</v>
      </c>
      <c r="E12" s="3" t="s">
        <v>16</v>
      </c>
      <c r="F12" s="3" t="s">
        <v>14</v>
      </c>
      <c r="G12" s="3">
        <v>18</v>
      </c>
      <c r="H12" s="3" t="s">
        <v>17</v>
      </c>
      <c r="I12" s="23">
        <v>2.2730000019073402</v>
      </c>
      <c r="J12" s="4">
        <v>1734.19995117187</v>
      </c>
      <c r="K12" s="4">
        <v>20569.919999999998</v>
      </c>
      <c r="L12" s="4">
        <v>31158743333</v>
      </c>
      <c r="M12" s="3">
        <v>1.77</v>
      </c>
    </row>
    <row r="13" spans="1:13" x14ac:dyDescent="0.25">
      <c r="A13" s="3">
        <v>12</v>
      </c>
      <c r="B13" s="3" t="s">
        <v>27</v>
      </c>
      <c r="C13" s="33">
        <v>44757</v>
      </c>
      <c r="D13" s="3" t="s">
        <v>20</v>
      </c>
      <c r="E13" s="3" t="s">
        <v>16</v>
      </c>
      <c r="F13" s="3" t="s">
        <v>14</v>
      </c>
      <c r="G13" s="3">
        <v>15</v>
      </c>
      <c r="H13" s="3" t="s">
        <v>17</v>
      </c>
      <c r="I13" s="23">
        <v>2.2400000095367401</v>
      </c>
      <c r="J13" s="4">
        <v>1704.5</v>
      </c>
      <c r="K13" s="4">
        <v>20836.330000000002</v>
      </c>
      <c r="L13" s="4">
        <v>25905575359</v>
      </c>
      <c r="M13" s="3">
        <v>1.3</v>
      </c>
    </row>
    <row r="14" spans="1:13" x14ac:dyDescent="0.25">
      <c r="A14" s="3">
        <v>13</v>
      </c>
      <c r="B14" s="3" t="s">
        <v>27</v>
      </c>
      <c r="C14" s="33">
        <v>44758</v>
      </c>
      <c r="D14" s="3" t="s">
        <v>21</v>
      </c>
      <c r="E14" s="3" t="s">
        <v>13</v>
      </c>
      <c r="F14" s="3" t="s">
        <v>14</v>
      </c>
      <c r="G14" s="3">
        <v>21</v>
      </c>
      <c r="H14" s="3" t="s">
        <v>17</v>
      </c>
      <c r="I14" s="23">
        <v>2.2400000095367401</v>
      </c>
      <c r="J14" s="4">
        <v>1702.40002441406</v>
      </c>
      <c r="K14" s="4">
        <v>21190.32</v>
      </c>
      <c r="L14" s="4">
        <v>24302954056</v>
      </c>
      <c r="M14" s="3">
        <v>1.7</v>
      </c>
    </row>
    <row r="15" spans="1:13" x14ac:dyDescent="0.25">
      <c r="A15" s="3">
        <v>14</v>
      </c>
      <c r="B15" s="3" t="s">
        <v>27</v>
      </c>
      <c r="C15" s="33">
        <v>44759</v>
      </c>
      <c r="D15" s="3" t="s">
        <v>22</v>
      </c>
      <c r="E15" s="3" t="s">
        <v>13</v>
      </c>
      <c r="F15" s="3" t="s">
        <v>14</v>
      </c>
      <c r="G15" s="3">
        <v>24</v>
      </c>
      <c r="H15" s="3" t="s">
        <v>17</v>
      </c>
      <c r="I15" s="23">
        <v>2.2400000095367401</v>
      </c>
      <c r="J15" s="4">
        <v>1704.5</v>
      </c>
      <c r="K15" s="4">
        <v>20779.34</v>
      </c>
      <c r="L15" s="4">
        <v>22927802083</v>
      </c>
      <c r="M15" s="3">
        <v>-1.94</v>
      </c>
    </row>
    <row r="16" spans="1:13" x14ac:dyDescent="0.25">
      <c r="A16" s="3">
        <v>15</v>
      </c>
      <c r="B16" s="3" t="s">
        <v>27</v>
      </c>
      <c r="C16" s="33">
        <v>44760</v>
      </c>
      <c r="D16" s="3" t="s">
        <v>12</v>
      </c>
      <c r="E16" s="3" t="s">
        <v>16</v>
      </c>
      <c r="F16" s="3" t="s">
        <v>14</v>
      </c>
      <c r="G16" s="3">
        <v>20</v>
      </c>
      <c r="H16" s="3" t="s">
        <v>17</v>
      </c>
      <c r="I16" s="23">
        <v>2.2599999904632502</v>
      </c>
      <c r="J16" s="4">
        <v>1702.40002441406</v>
      </c>
      <c r="K16" s="4">
        <v>22485.69</v>
      </c>
      <c r="L16" s="4">
        <v>39974475562</v>
      </c>
      <c r="M16" s="3">
        <v>8.2100000000000009</v>
      </c>
    </row>
    <row r="17" spans="1:13" x14ac:dyDescent="0.25">
      <c r="A17" s="3">
        <v>16</v>
      </c>
      <c r="B17" s="3" t="s">
        <v>27</v>
      </c>
      <c r="C17" s="33">
        <v>44761</v>
      </c>
      <c r="D17" s="3" t="s">
        <v>15</v>
      </c>
      <c r="E17" s="3" t="s">
        <v>16</v>
      </c>
      <c r="F17" s="3" t="s">
        <v>23</v>
      </c>
      <c r="G17" s="3">
        <v>30</v>
      </c>
      <c r="H17" s="3" t="s">
        <v>17</v>
      </c>
      <c r="I17" s="23">
        <v>2.45000004768371</v>
      </c>
      <c r="J17" s="4">
        <v>1709.19995117187</v>
      </c>
      <c r="K17" s="4">
        <v>23389.43</v>
      </c>
      <c r="L17" s="4">
        <v>48765202697</v>
      </c>
      <c r="M17" s="3">
        <v>4.0199999999999996</v>
      </c>
    </row>
    <row r="18" spans="1:13" x14ac:dyDescent="0.25">
      <c r="A18" s="3">
        <v>17</v>
      </c>
      <c r="B18" s="3" t="s">
        <v>27</v>
      </c>
      <c r="C18" s="33">
        <v>44762</v>
      </c>
      <c r="D18" s="3" t="s">
        <v>18</v>
      </c>
      <c r="E18" s="3" t="s">
        <v>16</v>
      </c>
      <c r="F18" s="3" t="s">
        <v>23</v>
      </c>
      <c r="G18" s="3">
        <v>31</v>
      </c>
      <c r="H18" s="3" t="s">
        <v>17</v>
      </c>
      <c r="I18" s="23">
        <v>2.3780000209808301</v>
      </c>
      <c r="J18" s="4">
        <v>1710</v>
      </c>
      <c r="K18" s="4">
        <v>23231.73</v>
      </c>
      <c r="L18" s="4">
        <v>42932549127</v>
      </c>
      <c r="M18" s="3">
        <v>-0.67</v>
      </c>
    </row>
    <row r="19" spans="1:13" x14ac:dyDescent="0.25">
      <c r="A19" s="3">
        <v>18</v>
      </c>
      <c r="B19" s="3" t="s">
        <v>27</v>
      </c>
      <c r="C19" s="33">
        <v>44763</v>
      </c>
      <c r="D19" s="3" t="s">
        <v>19</v>
      </c>
      <c r="E19" s="3" t="s">
        <v>16</v>
      </c>
      <c r="F19" s="3" t="s">
        <v>23</v>
      </c>
      <c r="G19" s="3">
        <v>34</v>
      </c>
      <c r="H19" s="3" t="s">
        <v>17</v>
      </c>
      <c r="I19" s="23">
        <v>2.3599998950958199</v>
      </c>
      <c r="J19" s="4">
        <v>1699.5</v>
      </c>
      <c r="K19" s="4">
        <v>23164.63</v>
      </c>
      <c r="L19" s="4">
        <v>33631012204</v>
      </c>
      <c r="M19" s="3">
        <v>-0.28999999999999998</v>
      </c>
    </row>
    <row r="20" spans="1:13" x14ac:dyDescent="0.25">
      <c r="A20" s="3">
        <v>19</v>
      </c>
      <c r="B20" s="3" t="s">
        <v>27</v>
      </c>
      <c r="C20" s="33">
        <v>44764</v>
      </c>
      <c r="D20" s="3" t="s">
        <v>20</v>
      </c>
      <c r="E20" s="3" t="s">
        <v>16</v>
      </c>
      <c r="F20" s="3" t="s">
        <v>23</v>
      </c>
      <c r="G20" s="3">
        <v>33</v>
      </c>
      <c r="H20" s="3" t="s">
        <v>17</v>
      </c>
      <c r="I20" s="23">
        <v>2.3550000190734801</v>
      </c>
      <c r="J20" s="4">
        <v>1712.69995117187</v>
      </c>
      <c r="K20" s="4">
        <v>22714.98</v>
      </c>
      <c r="L20" s="4">
        <v>31421555646</v>
      </c>
      <c r="M20" s="3">
        <v>-1.94</v>
      </c>
    </row>
    <row r="21" spans="1:13" x14ac:dyDescent="0.25">
      <c r="A21" s="3">
        <v>20</v>
      </c>
      <c r="B21" s="3" t="s">
        <v>27</v>
      </c>
      <c r="C21" s="33">
        <v>44765</v>
      </c>
      <c r="D21" s="3" t="s">
        <v>21</v>
      </c>
      <c r="E21" s="3" t="s">
        <v>13</v>
      </c>
      <c r="F21" s="3" t="s">
        <v>23</v>
      </c>
      <c r="G21" s="3">
        <v>31</v>
      </c>
      <c r="H21" s="3" t="s">
        <v>17</v>
      </c>
      <c r="I21" s="23">
        <v>2.3550000190734801</v>
      </c>
      <c r="J21" s="4">
        <v>1727.09997558593</v>
      </c>
      <c r="K21" s="4">
        <v>22465.48</v>
      </c>
      <c r="L21" s="4">
        <v>24021799169</v>
      </c>
      <c r="M21" s="3">
        <v>-1.1000000000000001</v>
      </c>
    </row>
    <row r="22" spans="1:13" x14ac:dyDescent="0.25">
      <c r="A22" s="3">
        <v>21</v>
      </c>
      <c r="B22" s="3" t="s">
        <v>27</v>
      </c>
      <c r="C22" s="33">
        <v>44766</v>
      </c>
      <c r="D22" s="3" t="s">
        <v>22</v>
      </c>
      <c r="E22" s="3" t="s">
        <v>13</v>
      </c>
      <c r="F22" s="3" t="s">
        <v>23</v>
      </c>
      <c r="G22" s="3">
        <v>30</v>
      </c>
      <c r="H22" s="3" t="s">
        <v>17</v>
      </c>
      <c r="I22" s="23">
        <v>2.3550000190734801</v>
      </c>
      <c r="J22" s="4">
        <v>1712.69995117187</v>
      </c>
      <c r="K22" s="4">
        <v>22609.16</v>
      </c>
      <c r="L22" s="4">
        <v>23565495303</v>
      </c>
      <c r="M22" s="3">
        <v>0.64</v>
      </c>
    </row>
    <row r="23" spans="1:13" x14ac:dyDescent="0.25">
      <c r="A23" s="3">
        <v>22</v>
      </c>
      <c r="B23" s="3" t="s">
        <v>27</v>
      </c>
      <c r="C23" s="33">
        <v>44767</v>
      </c>
      <c r="D23" s="3" t="s">
        <v>12</v>
      </c>
      <c r="E23" s="3" t="s">
        <v>16</v>
      </c>
      <c r="F23" s="3" t="s">
        <v>23</v>
      </c>
      <c r="G23" s="3">
        <v>30</v>
      </c>
      <c r="H23" s="3" t="s">
        <v>17</v>
      </c>
      <c r="I23" s="23">
        <v>2.3929998874664302</v>
      </c>
      <c r="J23" s="4">
        <v>1727.09997558593</v>
      </c>
      <c r="K23" s="4">
        <v>21361.7</v>
      </c>
      <c r="L23" s="4">
        <v>35574561406</v>
      </c>
      <c r="M23" s="3">
        <v>-5.52</v>
      </c>
    </row>
    <row r="24" spans="1:13" x14ac:dyDescent="0.25">
      <c r="A24" s="3">
        <v>23</v>
      </c>
      <c r="B24" s="3" t="s">
        <v>27</v>
      </c>
      <c r="C24" s="33">
        <v>44768</v>
      </c>
      <c r="D24" s="3" t="s">
        <v>15</v>
      </c>
      <c r="E24" s="3" t="s">
        <v>16</v>
      </c>
      <c r="F24" s="3" t="s">
        <v>23</v>
      </c>
      <c r="G24" s="3">
        <v>26</v>
      </c>
      <c r="H24" s="3" t="s">
        <v>17</v>
      </c>
      <c r="I24" s="23">
        <v>2.4749999046325599</v>
      </c>
      <c r="J24" s="4">
        <v>1719</v>
      </c>
      <c r="K24" s="4">
        <v>21239.75</v>
      </c>
      <c r="L24" s="4">
        <v>28624673855</v>
      </c>
      <c r="M24" s="3">
        <v>-0.56999999999999995</v>
      </c>
    </row>
    <row r="25" spans="1:13" x14ac:dyDescent="0.25">
      <c r="A25" s="3">
        <v>24</v>
      </c>
      <c r="B25" s="3" t="s">
        <v>27</v>
      </c>
      <c r="C25" s="33">
        <v>44769</v>
      </c>
      <c r="D25" s="3" t="s">
        <v>18</v>
      </c>
      <c r="E25" s="3" t="s">
        <v>16</v>
      </c>
      <c r="F25" s="3" t="s">
        <v>23</v>
      </c>
      <c r="G25" s="3">
        <v>28</v>
      </c>
      <c r="H25" s="3" t="s">
        <v>17</v>
      </c>
      <c r="I25" s="23">
        <v>2.3829998970031698</v>
      </c>
      <c r="J25" s="4">
        <v>1717.69995117187</v>
      </c>
      <c r="K25" s="4">
        <v>22930.55</v>
      </c>
      <c r="L25" s="4">
        <v>31758955233</v>
      </c>
      <c r="M25" s="3">
        <v>7.96</v>
      </c>
    </row>
    <row r="26" spans="1:13" x14ac:dyDescent="0.25">
      <c r="A26" s="3">
        <v>25</v>
      </c>
      <c r="B26" s="3" t="s">
        <v>27</v>
      </c>
      <c r="C26" s="33">
        <v>44770</v>
      </c>
      <c r="D26" s="3" t="s">
        <v>19</v>
      </c>
      <c r="E26" s="3" t="s">
        <v>16</v>
      </c>
      <c r="F26" s="3" t="s">
        <v>23</v>
      </c>
      <c r="G26" s="3">
        <v>32</v>
      </c>
      <c r="H26" s="3" t="s">
        <v>17</v>
      </c>
      <c r="I26" s="23">
        <v>2.30800008773803</v>
      </c>
      <c r="J26" s="4">
        <v>1719.09997558593</v>
      </c>
      <c r="K26" s="4">
        <v>23843.89</v>
      </c>
      <c r="L26" s="4">
        <v>40212386158</v>
      </c>
      <c r="M26" s="3">
        <v>3.98</v>
      </c>
    </row>
    <row r="27" spans="1:13" x14ac:dyDescent="0.25">
      <c r="A27" s="3">
        <v>26</v>
      </c>
      <c r="B27" s="3" t="s">
        <v>27</v>
      </c>
      <c r="C27" s="33">
        <v>44771</v>
      </c>
      <c r="D27" s="3" t="s">
        <v>20</v>
      </c>
      <c r="E27" s="3" t="s">
        <v>16</v>
      </c>
      <c r="F27" s="3" t="s">
        <v>23</v>
      </c>
      <c r="G27" s="3">
        <v>39</v>
      </c>
      <c r="H27" s="3" t="s">
        <v>17</v>
      </c>
      <c r="I27" s="23">
        <v>2.2980000972747798</v>
      </c>
      <c r="J27" s="4">
        <v>1750.30004882812</v>
      </c>
      <c r="K27" s="4">
        <v>23804.63</v>
      </c>
      <c r="L27" s="4">
        <v>35887249746</v>
      </c>
      <c r="M27" s="3">
        <v>-0.16</v>
      </c>
    </row>
    <row r="28" spans="1:13" x14ac:dyDescent="0.25">
      <c r="A28" s="3">
        <v>27</v>
      </c>
      <c r="B28" s="3" t="s">
        <v>27</v>
      </c>
      <c r="C28" s="33">
        <v>44772</v>
      </c>
      <c r="D28" s="3" t="s">
        <v>21</v>
      </c>
      <c r="E28" s="3" t="s">
        <v>13</v>
      </c>
      <c r="F28" s="3" t="s">
        <v>23</v>
      </c>
      <c r="G28" s="3">
        <v>42</v>
      </c>
      <c r="H28" s="3" t="s">
        <v>17</v>
      </c>
      <c r="I28" s="23">
        <v>2.2980000972747798</v>
      </c>
      <c r="J28" s="4">
        <v>1762.90002441406</v>
      </c>
      <c r="K28" s="4">
        <v>23656.21</v>
      </c>
      <c r="L28" s="4">
        <v>28148218301</v>
      </c>
      <c r="M28" s="3">
        <v>-0.62</v>
      </c>
    </row>
    <row r="29" spans="1:13" x14ac:dyDescent="0.25">
      <c r="A29" s="3">
        <v>28</v>
      </c>
      <c r="B29" s="3" t="s">
        <v>27</v>
      </c>
      <c r="C29" s="33">
        <v>44773</v>
      </c>
      <c r="D29" s="3" t="s">
        <v>22</v>
      </c>
      <c r="E29" s="3" t="s">
        <v>13</v>
      </c>
      <c r="F29" s="3" t="s">
        <v>23</v>
      </c>
      <c r="G29" s="3">
        <v>39</v>
      </c>
      <c r="H29" s="3" t="s">
        <v>17</v>
      </c>
      <c r="I29" s="23">
        <v>2.2980000972747798</v>
      </c>
      <c r="J29" s="4">
        <v>1750.30004882812</v>
      </c>
      <c r="K29" s="4">
        <v>23336.9</v>
      </c>
      <c r="L29" s="4">
        <v>23553591896</v>
      </c>
      <c r="M29" s="3">
        <v>-1.35</v>
      </c>
    </row>
    <row r="30" spans="1:13" x14ac:dyDescent="0.25">
      <c r="A30" s="3">
        <v>29</v>
      </c>
      <c r="B30" s="3" t="s">
        <v>28</v>
      </c>
      <c r="C30" s="33">
        <v>44774</v>
      </c>
      <c r="D30" s="3" t="s">
        <v>12</v>
      </c>
      <c r="E30" s="3" t="s">
        <v>16</v>
      </c>
      <c r="F30" s="3" t="s">
        <v>23</v>
      </c>
      <c r="G30" s="3">
        <v>33</v>
      </c>
      <c r="H30" s="3" t="s">
        <v>17</v>
      </c>
      <c r="I30" s="23">
        <v>2.2650001049041699</v>
      </c>
      <c r="J30" s="4">
        <v>1762.90002441406</v>
      </c>
      <c r="K30" s="4">
        <v>23314.2</v>
      </c>
      <c r="L30" s="4">
        <v>25849159141</v>
      </c>
      <c r="M30" s="3">
        <v>-0.1</v>
      </c>
    </row>
    <row r="31" spans="1:13" x14ac:dyDescent="0.25">
      <c r="A31" s="3">
        <v>30</v>
      </c>
      <c r="B31" s="3" t="s">
        <v>28</v>
      </c>
      <c r="C31" s="33">
        <v>44775</v>
      </c>
      <c r="D31" s="3" t="s">
        <v>15</v>
      </c>
      <c r="E31" s="3" t="s">
        <v>16</v>
      </c>
      <c r="F31" s="3" t="s">
        <v>23</v>
      </c>
      <c r="G31" s="3">
        <v>31</v>
      </c>
      <c r="H31" s="3" t="s">
        <v>17</v>
      </c>
      <c r="I31" s="23">
        <v>2.4630000591278001</v>
      </c>
      <c r="J31" s="4">
        <v>1769</v>
      </c>
      <c r="K31" s="4">
        <v>22978.12</v>
      </c>
      <c r="L31" s="4">
        <v>28389250717</v>
      </c>
      <c r="M31" s="3">
        <v>-1.44</v>
      </c>
    </row>
    <row r="32" spans="1:13" x14ac:dyDescent="0.25">
      <c r="A32" s="3">
        <v>31</v>
      </c>
      <c r="B32" s="3" t="s">
        <v>28</v>
      </c>
      <c r="C32" s="33">
        <v>44776</v>
      </c>
      <c r="D32" s="3" t="s">
        <v>18</v>
      </c>
      <c r="E32" s="3" t="s">
        <v>16</v>
      </c>
      <c r="F32" s="3" t="s">
        <v>23</v>
      </c>
      <c r="G32" s="3">
        <v>34</v>
      </c>
      <c r="H32" s="3" t="s">
        <v>17</v>
      </c>
      <c r="I32" s="23">
        <v>2.4279999732971098</v>
      </c>
      <c r="J32" s="4">
        <v>1771.09997558593</v>
      </c>
      <c r="K32" s="4">
        <v>22846.51</v>
      </c>
      <c r="L32" s="4">
        <v>26288169966</v>
      </c>
      <c r="M32" s="3">
        <v>-0.56999999999999995</v>
      </c>
    </row>
    <row r="33" spans="1:13" x14ac:dyDescent="0.25">
      <c r="A33" s="3">
        <v>32</v>
      </c>
      <c r="B33" s="3" t="s">
        <v>28</v>
      </c>
      <c r="C33" s="33">
        <v>44777</v>
      </c>
      <c r="D33" s="3" t="s">
        <v>19</v>
      </c>
      <c r="E33" s="3" t="s">
        <v>16</v>
      </c>
      <c r="F33" s="3" t="s">
        <v>23</v>
      </c>
      <c r="G33" s="3">
        <v>30</v>
      </c>
      <c r="H33" s="3" t="s">
        <v>17</v>
      </c>
      <c r="I33" s="23">
        <v>2.3780000209808301</v>
      </c>
      <c r="J33" s="4">
        <v>1758</v>
      </c>
      <c r="K33" s="4">
        <v>22630.959999999999</v>
      </c>
      <c r="L33" s="4">
        <v>25120229769</v>
      </c>
      <c r="M33" s="3">
        <v>-0.94</v>
      </c>
    </row>
    <row r="34" spans="1:13" x14ac:dyDescent="0.25">
      <c r="A34" s="3">
        <v>33</v>
      </c>
      <c r="B34" s="3" t="s">
        <v>28</v>
      </c>
      <c r="C34" s="33">
        <v>44778</v>
      </c>
      <c r="D34" s="3" t="s">
        <v>20</v>
      </c>
      <c r="E34" s="3" t="s">
        <v>16</v>
      </c>
      <c r="F34" s="3" t="s">
        <v>23</v>
      </c>
      <c r="G34" s="3">
        <v>31</v>
      </c>
      <c r="H34" s="3" t="s">
        <v>17</v>
      </c>
      <c r="I34" s="23">
        <v>2.41000008583068</v>
      </c>
      <c r="J34" s="4">
        <v>1788.5</v>
      </c>
      <c r="K34" s="4">
        <v>23289.31</v>
      </c>
      <c r="L34" s="4">
        <v>28881249043</v>
      </c>
      <c r="M34" s="3">
        <v>2.91</v>
      </c>
    </row>
    <row r="35" spans="1:13" x14ac:dyDescent="0.25">
      <c r="A35" s="3">
        <v>34</v>
      </c>
      <c r="B35" s="3" t="s">
        <v>28</v>
      </c>
      <c r="C35" s="33">
        <v>44779</v>
      </c>
      <c r="D35" s="3" t="s">
        <v>21</v>
      </c>
      <c r="E35" s="3" t="s">
        <v>13</v>
      </c>
      <c r="F35" s="3" t="s">
        <v>23</v>
      </c>
      <c r="G35" s="3">
        <v>31</v>
      </c>
      <c r="H35" s="3" t="s">
        <v>17</v>
      </c>
      <c r="I35" s="23">
        <v>2.41000008583068</v>
      </c>
      <c r="J35" s="4">
        <v>1772.90002441406</v>
      </c>
      <c r="K35" s="4">
        <v>22961.279999999999</v>
      </c>
      <c r="L35" s="4">
        <v>15978259885</v>
      </c>
      <c r="M35" s="3">
        <v>-1.41</v>
      </c>
    </row>
    <row r="36" spans="1:13" x14ac:dyDescent="0.25">
      <c r="A36" s="3">
        <v>35</v>
      </c>
      <c r="B36" s="3" t="s">
        <v>28</v>
      </c>
      <c r="C36" s="33">
        <v>44780</v>
      </c>
      <c r="D36" s="3" t="s">
        <v>22</v>
      </c>
      <c r="E36" s="3" t="s">
        <v>13</v>
      </c>
      <c r="F36" s="3" t="s">
        <v>23</v>
      </c>
      <c r="G36" s="3">
        <v>30</v>
      </c>
      <c r="H36" s="3" t="s">
        <v>17</v>
      </c>
      <c r="I36" s="23">
        <v>2.41000008583068</v>
      </c>
      <c r="J36" s="4">
        <v>1788.5</v>
      </c>
      <c r="K36" s="4">
        <v>23175.89</v>
      </c>
      <c r="L36" s="4">
        <v>15886817043</v>
      </c>
      <c r="M36" s="3">
        <v>0.93</v>
      </c>
    </row>
    <row r="37" spans="1:13" x14ac:dyDescent="0.25">
      <c r="A37" s="3">
        <v>36</v>
      </c>
      <c r="B37" s="3" t="s">
        <v>28</v>
      </c>
      <c r="C37" s="33">
        <v>44781</v>
      </c>
      <c r="D37" s="3" t="s">
        <v>12</v>
      </c>
      <c r="E37" s="3" t="s">
        <v>16</v>
      </c>
      <c r="F37" s="3" t="s">
        <v>23</v>
      </c>
      <c r="G37" s="3">
        <v>30</v>
      </c>
      <c r="H37" s="3" t="s">
        <v>17</v>
      </c>
      <c r="I37" s="23">
        <v>2.46000003814697</v>
      </c>
      <c r="J37" s="4">
        <v>1772.90002441406</v>
      </c>
      <c r="K37" s="4">
        <v>23809.49</v>
      </c>
      <c r="L37" s="4">
        <v>28575544847</v>
      </c>
      <c r="M37" s="3">
        <v>2.73</v>
      </c>
    </row>
    <row r="38" spans="1:13" x14ac:dyDescent="0.25">
      <c r="A38" s="3">
        <v>37</v>
      </c>
      <c r="B38" s="3" t="s">
        <v>28</v>
      </c>
      <c r="C38" s="33">
        <v>44782</v>
      </c>
      <c r="D38" s="3" t="s">
        <v>15</v>
      </c>
      <c r="E38" s="3" t="s">
        <v>16</v>
      </c>
      <c r="F38" s="3" t="s">
        <v>23</v>
      </c>
      <c r="G38" s="3">
        <v>42</v>
      </c>
      <c r="H38" s="3" t="s">
        <v>17</v>
      </c>
      <c r="I38" s="23">
        <v>2.5699999332427899</v>
      </c>
      <c r="J38" s="4">
        <v>1786.80004882812</v>
      </c>
      <c r="K38" s="4">
        <v>23164.32</v>
      </c>
      <c r="L38" s="4">
        <v>23555719219</v>
      </c>
      <c r="M38" s="3">
        <v>-2.71</v>
      </c>
    </row>
    <row r="39" spans="1:13" x14ac:dyDescent="0.25">
      <c r="A39" s="3">
        <v>38</v>
      </c>
      <c r="B39" s="3" t="s">
        <v>28</v>
      </c>
      <c r="C39" s="33">
        <v>44783</v>
      </c>
      <c r="D39" s="3" t="s">
        <v>18</v>
      </c>
      <c r="E39" s="3" t="s">
        <v>16</v>
      </c>
      <c r="F39" s="3" t="s">
        <v>23</v>
      </c>
      <c r="G39" s="3">
        <v>31</v>
      </c>
      <c r="H39" s="3" t="s">
        <v>17</v>
      </c>
      <c r="I39" s="23">
        <v>2.53500008583068</v>
      </c>
      <c r="J39" s="4">
        <v>1794</v>
      </c>
      <c r="K39" s="4">
        <v>23947.64</v>
      </c>
      <c r="L39" s="4">
        <v>32837431722</v>
      </c>
      <c r="M39" s="3">
        <v>3.38</v>
      </c>
    </row>
    <row r="40" spans="1:13" x14ac:dyDescent="0.25">
      <c r="A40" s="3">
        <v>39</v>
      </c>
      <c r="B40" s="3" t="s">
        <v>28</v>
      </c>
      <c r="C40" s="33">
        <v>44784</v>
      </c>
      <c r="D40" s="3" t="s">
        <v>19</v>
      </c>
      <c r="E40" s="3" t="s">
        <v>16</v>
      </c>
      <c r="F40" s="3" t="s">
        <v>23</v>
      </c>
      <c r="G40" s="3">
        <v>41</v>
      </c>
      <c r="H40" s="3" t="s">
        <v>17</v>
      </c>
      <c r="I40" s="23">
        <v>2.4900000095367401</v>
      </c>
      <c r="J40" s="4">
        <v>1795.59997558593</v>
      </c>
      <c r="K40" s="4">
        <v>23957.53</v>
      </c>
      <c r="L40" s="4">
        <v>37127036580</v>
      </c>
      <c r="M40" s="3">
        <v>0.04</v>
      </c>
    </row>
    <row r="41" spans="1:13" x14ac:dyDescent="0.25">
      <c r="A41" s="3">
        <v>40</v>
      </c>
      <c r="B41" s="3" t="s">
        <v>28</v>
      </c>
      <c r="C41" s="33">
        <v>44785</v>
      </c>
      <c r="D41" s="3" t="s">
        <v>20</v>
      </c>
      <c r="E41" s="3" t="s">
        <v>16</v>
      </c>
      <c r="F41" s="3" t="s">
        <v>23</v>
      </c>
      <c r="G41" s="3">
        <v>42</v>
      </c>
      <c r="H41" s="3">
        <v>2</v>
      </c>
      <c r="I41" s="23">
        <v>2.5</v>
      </c>
      <c r="J41" s="4">
        <v>1789.69995117187</v>
      </c>
      <c r="K41" s="4">
        <v>24402.82</v>
      </c>
      <c r="L41" s="4">
        <v>27265804688</v>
      </c>
      <c r="M41" s="3">
        <v>1.86</v>
      </c>
    </row>
    <row r="42" spans="1:13" x14ac:dyDescent="0.25">
      <c r="A42" s="3">
        <v>41</v>
      </c>
      <c r="B42" s="3" t="s">
        <v>28</v>
      </c>
      <c r="C42" s="33">
        <v>44786</v>
      </c>
      <c r="D42" s="3" t="s">
        <v>21</v>
      </c>
      <c r="E42" s="3" t="s">
        <v>13</v>
      </c>
      <c r="F42" s="3" t="s">
        <v>23</v>
      </c>
      <c r="G42" s="3">
        <v>46</v>
      </c>
      <c r="H42" s="3" t="s">
        <v>17</v>
      </c>
      <c r="I42" s="23">
        <v>2.5</v>
      </c>
      <c r="J42" s="4">
        <v>1798.59997558593</v>
      </c>
      <c r="K42" s="4">
        <v>24424.07</v>
      </c>
      <c r="L42" s="4">
        <v>22987346289</v>
      </c>
      <c r="M42" s="3">
        <v>0.09</v>
      </c>
    </row>
    <row r="43" spans="1:13" x14ac:dyDescent="0.25">
      <c r="A43" s="3">
        <v>42</v>
      </c>
      <c r="B43" s="3" t="s">
        <v>28</v>
      </c>
      <c r="C43" s="33">
        <v>44787</v>
      </c>
      <c r="D43" s="3" t="s">
        <v>22</v>
      </c>
      <c r="E43" s="3" t="s">
        <v>13</v>
      </c>
      <c r="F43" s="3" t="s">
        <v>23</v>
      </c>
      <c r="G43" s="3">
        <v>47</v>
      </c>
      <c r="H43" s="3" t="s">
        <v>17</v>
      </c>
      <c r="I43" s="23">
        <v>2.5</v>
      </c>
      <c r="J43" s="4">
        <v>1789.69995117187</v>
      </c>
      <c r="K43" s="4">
        <v>24319.33</v>
      </c>
      <c r="L43" s="4">
        <v>22994133555</v>
      </c>
      <c r="M43" s="3">
        <v>-0.43</v>
      </c>
    </row>
    <row r="44" spans="1:13" x14ac:dyDescent="0.25">
      <c r="A44" s="3">
        <v>43</v>
      </c>
      <c r="B44" s="3" t="s">
        <v>28</v>
      </c>
      <c r="C44" s="33">
        <v>44788</v>
      </c>
      <c r="D44" s="3" t="s">
        <v>12</v>
      </c>
      <c r="E44" s="3" t="s">
        <v>16</v>
      </c>
      <c r="F44" s="3" t="s">
        <v>23</v>
      </c>
      <c r="G44" s="3">
        <v>45</v>
      </c>
      <c r="H44" s="3" t="s">
        <v>17</v>
      </c>
      <c r="I44" s="23">
        <v>2.51300001144409</v>
      </c>
      <c r="J44" s="4">
        <v>1798.59997558593</v>
      </c>
      <c r="K44" s="4">
        <v>24136.97</v>
      </c>
      <c r="L44" s="4">
        <v>35123501685</v>
      </c>
      <c r="M44" s="3">
        <v>-0.75</v>
      </c>
    </row>
    <row r="45" spans="1:13" x14ac:dyDescent="0.25">
      <c r="A45" s="3">
        <v>44</v>
      </c>
      <c r="B45" s="3" t="s">
        <v>28</v>
      </c>
      <c r="C45" s="33">
        <v>44789</v>
      </c>
      <c r="D45" s="3" t="s">
        <v>15</v>
      </c>
      <c r="E45" s="3" t="s">
        <v>16</v>
      </c>
      <c r="F45" s="3" t="s">
        <v>23</v>
      </c>
      <c r="G45" s="3">
        <v>44</v>
      </c>
      <c r="H45" s="3" t="s">
        <v>17</v>
      </c>
      <c r="I45" s="23">
        <v>2.59800004959106</v>
      </c>
      <c r="J45" s="4">
        <v>1781.40002441406</v>
      </c>
      <c r="K45" s="4">
        <v>23883.29</v>
      </c>
      <c r="L45" s="4">
        <v>27753685646</v>
      </c>
      <c r="M45" s="3">
        <v>-1.05</v>
      </c>
    </row>
    <row r="46" spans="1:13" x14ac:dyDescent="0.25">
      <c r="A46" s="3">
        <v>45</v>
      </c>
      <c r="B46" s="3" t="s">
        <v>28</v>
      </c>
      <c r="C46" s="33">
        <v>44790</v>
      </c>
      <c r="D46" s="3" t="s">
        <v>18</v>
      </c>
      <c r="E46" s="3" t="s">
        <v>16</v>
      </c>
      <c r="F46" s="3" t="s">
        <v>23</v>
      </c>
      <c r="G46" s="3">
        <v>41</v>
      </c>
      <c r="H46" s="3" t="s">
        <v>17</v>
      </c>
      <c r="I46" s="23">
        <v>2.5680000782012899</v>
      </c>
      <c r="J46" s="4">
        <v>1773.19995117187</v>
      </c>
      <c r="K46" s="4">
        <v>23336</v>
      </c>
      <c r="L46" s="4">
        <v>30931623076</v>
      </c>
      <c r="M46" s="3">
        <v>-2.29</v>
      </c>
    </row>
    <row r="47" spans="1:13" x14ac:dyDescent="0.25">
      <c r="A47" s="3">
        <v>46</v>
      </c>
      <c r="B47" s="3" t="s">
        <v>28</v>
      </c>
      <c r="C47" s="33">
        <v>44791</v>
      </c>
      <c r="D47" s="3" t="s">
        <v>19</v>
      </c>
      <c r="E47" s="3" t="s">
        <v>16</v>
      </c>
      <c r="F47" s="3" t="s">
        <v>23</v>
      </c>
      <c r="G47" s="3">
        <v>30</v>
      </c>
      <c r="H47" s="3" t="s">
        <v>17</v>
      </c>
      <c r="I47" s="23">
        <v>2.5650000572204501</v>
      </c>
      <c r="J47" s="4">
        <v>1760.30004882812</v>
      </c>
      <c r="K47" s="4">
        <v>23212.74</v>
      </c>
      <c r="L47" s="4">
        <v>23747613147</v>
      </c>
      <c r="M47" s="3">
        <v>-0.53</v>
      </c>
    </row>
    <row r="48" spans="1:13" x14ac:dyDescent="0.25">
      <c r="A48" s="3">
        <v>47</v>
      </c>
      <c r="B48" s="3" t="s">
        <v>28</v>
      </c>
      <c r="C48" s="33">
        <v>44792</v>
      </c>
      <c r="D48" s="3" t="s">
        <v>20</v>
      </c>
      <c r="E48" s="3" t="s">
        <v>16</v>
      </c>
      <c r="F48" s="3" t="s">
        <v>23</v>
      </c>
      <c r="G48" s="3">
        <v>33</v>
      </c>
      <c r="H48" s="3" t="s">
        <v>17</v>
      </c>
      <c r="I48" s="23">
        <v>2.5799999237060498</v>
      </c>
      <c r="J48" s="4">
        <v>1755.30004882812</v>
      </c>
      <c r="K48" s="4">
        <v>20877.55</v>
      </c>
      <c r="L48" s="4">
        <v>40509610260</v>
      </c>
      <c r="M48" s="3">
        <v>-10.06</v>
      </c>
    </row>
    <row r="49" spans="1:13" x14ac:dyDescent="0.25">
      <c r="A49" s="3">
        <v>48</v>
      </c>
      <c r="B49" s="3" t="s">
        <v>28</v>
      </c>
      <c r="C49" s="33">
        <v>44793</v>
      </c>
      <c r="D49" s="3" t="s">
        <v>21</v>
      </c>
      <c r="E49" s="3" t="s">
        <v>13</v>
      </c>
      <c r="F49" s="3" t="s">
        <v>23</v>
      </c>
      <c r="G49" s="3">
        <v>29</v>
      </c>
      <c r="H49" s="3" t="s">
        <v>17</v>
      </c>
      <c r="I49" s="23">
        <v>2.5799999237060498</v>
      </c>
      <c r="J49" s="4">
        <v>1747.59997558593</v>
      </c>
      <c r="K49" s="4">
        <v>21166.06</v>
      </c>
      <c r="L49" s="4">
        <v>27595671000</v>
      </c>
      <c r="M49" s="3">
        <v>1.38</v>
      </c>
    </row>
    <row r="50" spans="1:13" x14ac:dyDescent="0.25">
      <c r="A50" s="3">
        <v>49</v>
      </c>
      <c r="B50" s="3" t="s">
        <v>28</v>
      </c>
      <c r="C50" s="33">
        <v>44794</v>
      </c>
      <c r="D50" s="3" t="s">
        <v>22</v>
      </c>
      <c r="E50" s="3" t="s">
        <v>13</v>
      </c>
      <c r="F50" s="3" t="s">
        <v>23</v>
      </c>
      <c r="G50" s="3">
        <v>27</v>
      </c>
      <c r="H50" s="3" t="s">
        <v>17</v>
      </c>
      <c r="I50" s="23">
        <v>2.5799999237060498</v>
      </c>
      <c r="J50" s="4">
        <v>1755.30004882812</v>
      </c>
      <c r="K50" s="4">
        <v>21534.12</v>
      </c>
      <c r="L50" s="4">
        <v>23102307723</v>
      </c>
      <c r="M50" s="3">
        <v>1.74</v>
      </c>
    </row>
    <row r="51" spans="1:13" x14ac:dyDescent="0.25">
      <c r="A51" s="3">
        <v>50</v>
      </c>
      <c r="B51" s="3" t="s">
        <v>28</v>
      </c>
      <c r="C51" s="33">
        <v>44795</v>
      </c>
      <c r="D51" s="3" t="s">
        <v>12</v>
      </c>
      <c r="E51" s="3" t="s">
        <v>16</v>
      </c>
      <c r="F51" s="3" t="s">
        <v>23</v>
      </c>
      <c r="G51" s="3">
        <v>29</v>
      </c>
      <c r="H51" s="3" t="s">
        <v>17</v>
      </c>
      <c r="I51" s="23">
        <v>2.6480000019073402</v>
      </c>
      <c r="J51" s="4">
        <v>1747.59997558593</v>
      </c>
      <c r="K51" s="4">
        <v>21398.91</v>
      </c>
      <c r="L51" s="4">
        <v>31666498758</v>
      </c>
      <c r="M51" s="3">
        <v>-0.63</v>
      </c>
    </row>
    <row r="52" spans="1:13" x14ac:dyDescent="0.25">
      <c r="A52" s="3">
        <v>51</v>
      </c>
      <c r="B52" s="3" t="s">
        <v>28</v>
      </c>
      <c r="C52" s="33">
        <v>44796</v>
      </c>
      <c r="D52" s="3" t="s">
        <v>15</v>
      </c>
      <c r="E52" s="3" t="s">
        <v>16</v>
      </c>
      <c r="F52" s="3" t="s">
        <v>23</v>
      </c>
      <c r="G52" s="3">
        <v>28</v>
      </c>
      <c r="H52" s="3" t="s">
        <v>17</v>
      </c>
      <c r="I52" s="23">
        <v>2.7030000686645499</v>
      </c>
      <c r="J52" s="4">
        <v>1734</v>
      </c>
      <c r="K52" s="4">
        <v>21528.09</v>
      </c>
      <c r="L52" s="4">
        <v>31878280659</v>
      </c>
      <c r="M52" s="3">
        <v>0.6</v>
      </c>
    </row>
    <row r="53" spans="1:13" x14ac:dyDescent="0.25">
      <c r="A53" s="3">
        <v>52</v>
      </c>
      <c r="B53" s="3" t="s">
        <v>28</v>
      </c>
      <c r="C53" s="33">
        <v>44797</v>
      </c>
      <c r="D53" s="3" t="s">
        <v>18</v>
      </c>
      <c r="E53" s="3" t="s">
        <v>16</v>
      </c>
      <c r="F53" s="3" t="s">
        <v>23</v>
      </c>
      <c r="G53" s="3">
        <v>25</v>
      </c>
      <c r="H53" s="3" t="s">
        <v>17</v>
      </c>
      <c r="I53" s="23">
        <v>2.7130000591278001</v>
      </c>
      <c r="J53" s="4">
        <v>1746.80004882812</v>
      </c>
      <c r="K53" s="4">
        <v>21395.02</v>
      </c>
      <c r="L53" s="4">
        <v>31962253368</v>
      </c>
      <c r="M53" s="3">
        <v>-0.62</v>
      </c>
    </row>
    <row r="54" spans="1:13" x14ac:dyDescent="0.25">
      <c r="A54" s="3">
        <v>53</v>
      </c>
      <c r="B54" s="3" t="s">
        <v>28</v>
      </c>
      <c r="C54" s="33">
        <v>44798</v>
      </c>
      <c r="D54" s="3" t="s">
        <v>19</v>
      </c>
      <c r="E54" s="3" t="s">
        <v>16</v>
      </c>
      <c r="F54" s="3" t="s">
        <v>23</v>
      </c>
      <c r="G54" s="3">
        <v>25</v>
      </c>
      <c r="H54" s="3" t="s">
        <v>17</v>
      </c>
      <c r="I54" s="23">
        <v>2.7300000190734801</v>
      </c>
      <c r="J54" s="4">
        <v>1747.80004882812</v>
      </c>
      <c r="K54" s="4">
        <v>21600.9</v>
      </c>
      <c r="L54" s="4">
        <v>31028679593</v>
      </c>
      <c r="M54" s="3">
        <v>0.96</v>
      </c>
    </row>
    <row r="55" spans="1:13" x14ac:dyDescent="0.25">
      <c r="A55" s="3">
        <v>54</v>
      </c>
      <c r="B55" s="3" t="s">
        <v>28</v>
      </c>
      <c r="C55" s="33">
        <v>44799</v>
      </c>
      <c r="D55" s="3" t="s">
        <v>20</v>
      </c>
      <c r="E55" s="3" t="s">
        <v>16</v>
      </c>
      <c r="F55" s="3" t="s">
        <v>23</v>
      </c>
      <c r="G55" s="3">
        <v>27</v>
      </c>
      <c r="H55" s="3" t="s">
        <v>17</v>
      </c>
      <c r="I55" s="23">
        <v>2.75500011444091</v>
      </c>
      <c r="J55" s="4">
        <v>1757.69995117187</v>
      </c>
      <c r="K55" s="4">
        <v>20260.02</v>
      </c>
      <c r="L55" s="4">
        <v>42326789564</v>
      </c>
      <c r="M55" s="3">
        <v>-6.21</v>
      </c>
    </row>
    <row r="56" spans="1:13" x14ac:dyDescent="0.25">
      <c r="A56" s="3">
        <v>55</v>
      </c>
      <c r="B56" s="3" t="s">
        <v>28</v>
      </c>
      <c r="C56" s="33">
        <v>44800</v>
      </c>
      <c r="D56" s="3" t="s">
        <v>21</v>
      </c>
      <c r="E56" s="3" t="s">
        <v>13</v>
      </c>
      <c r="F56" s="3" t="s">
        <v>23</v>
      </c>
      <c r="G56" s="3">
        <v>28</v>
      </c>
      <c r="H56" s="3" t="s">
        <v>17</v>
      </c>
      <c r="I56" s="23">
        <v>2.75500011444091</v>
      </c>
      <c r="J56" s="4">
        <v>1736.09997558593</v>
      </c>
      <c r="K56" s="4">
        <v>20041.740000000002</v>
      </c>
      <c r="L56" s="4">
        <v>30116729776</v>
      </c>
      <c r="M56" s="3">
        <v>-1.08</v>
      </c>
    </row>
    <row r="57" spans="1:13" x14ac:dyDescent="0.25">
      <c r="A57" s="3">
        <v>56</v>
      </c>
      <c r="B57" s="3" t="s">
        <v>28</v>
      </c>
      <c r="C57" s="33">
        <v>44801</v>
      </c>
      <c r="D57" s="3" t="s">
        <v>22</v>
      </c>
      <c r="E57" s="3" t="s">
        <v>13</v>
      </c>
      <c r="F57" s="3" t="s">
        <v>23</v>
      </c>
      <c r="G57" s="3">
        <v>28</v>
      </c>
      <c r="H57" s="3" t="s">
        <v>17</v>
      </c>
      <c r="I57" s="23">
        <v>2.75500011444091</v>
      </c>
      <c r="J57" s="4">
        <v>1757.69995117187</v>
      </c>
      <c r="K57" s="4">
        <v>19616.810000000001</v>
      </c>
      <c r="L57" s="4">
        <v>24366810591</v>
      </c>
      <c r="M57" s="3">
        <v>-2.12</v>
      </c>
    </row>
    <row r="58" spans="1:13" x14ac:dyDescent="0.25">
      <c r="A58" s="3">
        <v>57</v>
      </c>
      <c r="B58" s="3" t="s">
        <v>28</v>
      </c>
      <c r="C58" s="33">
        <v>44802</v>
      </c>
      <c r="D58" s="3" t="s">
        <v>12</v>
      </c>
      <c r="E58" s="3" t="s">
        <v>16</v>
      </c>
      <c r="F58" s="3" t="s">
        <v>14</v>
      </c>
      <c r="G58" s="3">
        <v>24</v>
      </c>
      <c r="H58" s="3" t="s">
        <v>17</v>
      </c>
      <c r="I58" s="23">
        <v>2.7980000972747798</v>
      </c>
      <c r="J58" s="4">
        <v>1736.09997558593</v>
      </c>
      <c r="K58" s="4">
        <v>20297.990000000002</v>
      </c>
      <c r="L58" s="4">
        <v>32637854078</v>
      </c>
      <c r="M58" s="3">
        <v>3.47</v>
      </c>
    </row>
    <row r="59" spans="1:13" x14ac:dyDescent="0.25">
      <c r="A59" s="3">
        <v>58</v>
      </c>
      <c r="B59" s="3" t="s">
        <v>28</v>
      </c>
      <c r="C59" s="33">
        <v>44803</v>
      </c>
      <c r="D59" s="3" t="s">
        <v>15</v>
      </c>
      <c r="E59" s="3" t="s">
        <v>16</v>
      </c>
      <c r="F59" s="3" t="s">
        <v>23</v>
      </c>
      <c r="G59" s="3">
        <v>27</v>
      </c>
      <c r="H59" s="3" t="s">
        <v>17</v>
      </c>
      <c r="I59" s="23">
        <v>2.8729999065399099</v>
      </c>
      <c r="J59" s="4">
        <v>1736.59997558593</v>
      </c>
      <c r="K59" s="4">
        <v>19796.810000000001</v>
      </c>
      <c r="L59" s="4">
        <v>34483360283</v>
      </c>
      <c r="M59" s="3">
        <v>-2.4700000000000002</v>
      </c>
    </row>
    <row r="60" spans="1:13" x14ac:dyDescent="0.25">
      <c r="A60" s="3">
        <v>59</v>
      </c>
      <c r="B60" s="3" t="s">
        <v>28</v>
      </c>
      <c r="C60" s="33">
        <v>44804</v>
      </c>
      <c r="D60" s="3" t="s">
        <v>18</v>
      </c>
      <c r="E60" s="3" t="s">
        <v>16</v>
      </c>
      <c r="F60" s="3" t="s">
        <v>14</v>
      </c>
      <c r="G60" s="3">
        <v>23</v>
      </c>
      <c r="H60" s="3" t="s">
        <v>17</v>
      </c>
      <c r="I60" s="23">
        <v>2.8599998950958199</v>
      </c>
      <c r="J60" s="4">
        <v>1723.19995117187</v>
      </c>
      <c r="K60" s="4">
        <v>20049.759999999998</v>
      </c>
      <c r="L60" s="4">
        <v>33225232872</v>
      </c>
      <c r="M60" s="3">
        <v>1.28</v>
      </c>
    </row>
    <row r="61" spans="1:13" x14ac:dyDescent="0.25">
      <c r="A61" s="3">
        <v>60</v>
      </c>
      <c r="B61" s="3" t="s">
        <v>29</v>
      </c>
      <c r="C61" s="33">
        <v>44805</v>
      </c>
      <c r="D61" s="3" t="s">
        <v>19</v>
      </c>
      <c r="E61" s="3" t="s">
        <v>16</v>
      </c>
      <c r="F61" s="3" t="s">
        <v>14</v>
      </c>
      <c r="G61" s="3">
        <v>20</v>
      </c>
      <c r="H61" s="3" t="s">
        <v>17</v>
      </c>
      <c r="I61" s="23">
        <v>2.8629999160766602</v>
      </c>
      <c r="J61" s="4">
        <v>1712.80004882812</v>
      </c>
      <c r="K61" s="4">
        <v>20127.14</v>
      </c>
      <c r="L61" s="4">
        <v>30182031010</v>
      </c>
      <c r="M61" s="3">
        <v>0.39</v>
      </c>
    </row>
    <row r="62" spans="1:13" x14ac:dyDescent="0.25">
      <c r="A62" s="3">
        <v>61</v>
      </c>
      <c r="B62" s="3" t="s">
        <v>29</v>
      </c>
      <c r="C62" s="33">
        <v>44806</v>
      </c>
      <c r="D62" s="3" t="s">
        <v>20</v>
      </c>
      <c r="E62" s="3" t="s">
        <v>16</v>
      </c>
      <c r="F62" s="3" t="s">
        <v>23</v>
      </c>
      <c r="G62" s="3">
        <v>25</v>
      </c>
      <c r="H62" s="3" t="s">
        <v>17</v>
      </c>
      <c r="I62" s="23">
        <v>2.8199999332427899</v>
      </c>
      <c r="J62" s="4">
        <v>1696.59997558593</v>
      </c>
      <c r="K62" s="4">
        <v>19969.77</v>
      </c>
      <c r="L62" s="4">
        <v>29123998928</v>
      </c>
      <c r="M62" s="3">
        <v>-0.78</v>
      </c>
    </row>
    <row r="63" spans="1:13" x14ac:dyDescent="0.25">
      <c r="A63" s="3">
        <v>62</v>
      </c>
      <c r="B63" s="3" t="s">
        <v>29</v>
      </c>
      <c r="C63" s="33">
        <v>44807</v>
      </c>
      <c r="D63" s="3" t="s">
        <v>21</v>
      </c>
      <c r="E63" s="3" t="s">
        <v>13</v>
      </c>
      <c r="F63" s="3" t="s">
        <v>14</v>
      </c>
      <c r="G63" s="3">
        <v>21</v>
      </c>
      <c r="H63" s="3" t="s">
        <v>17</v>
      </c>
      <c r="I63" s="23">
        <v>2.8199999332427899</v>
      </c>
      <c r="J63" s="4">
        <v>1709.80004882812</v>
      </c>
      <c r="K63" s="4">
        <v>19832.09</v>
      </c>
      <c r="L63" s="4">
        <v>23613051457</v>
      </c>
      <c r="M63" s="3">
        <v>-0.69</v>
      </c>
    </row>
    <row r="64" spans="1:13" x14ac:dyDescent="0.25">
      <c r="A64" s="3">
        <v>63</v>
      </c>
      <c r="B64" s="3" t="s">
        <v>29</v>
      </c>
      <c r="C64" s="33">
        <v>44808</v>
      </c>
      <c r="D64" s="3" t="s">
        <v>22</v>
      </c>
      <c r="E64" s="3" t="s">
        <v>13</v>
      </c>
      <c r="F64" s="3" t="s">
        <v>14</v>
      </c>
      <c r="G64" s="3">
        <v>20</v>
      </c>
      <c r="H64" s="3" t="s">
        <v>17</v>
      </c>
      <c r="I64" s="23">
        <v>2.8199999332427899</v>
      </c>
      <c r="J64" s="4">
        <v>1696.59997558593</v>
      </c>
      <c r="K64" s="4">
        <v>19986.71</v>
      </c>
      <c r="L64" s="4">
        <v>25245861652</v>
      </c>
      <c r="M64" s="3">
        <v>0.78</v>
      </c>
    </row>
    <row r="65" spans="1:13" x14ac:dyDescent="0.25">
      <c r="A65" s="3">
        <v>64</v>
      </c>
      <c r="B65" s="3" t="s">
        <v>29</v>
      </c>
      <c r="C65" s="33">
        <v>44809</v>
      </c>
      <c r="D65" s="3" t="s">
        <v>12</v>
      </c>
      <c r="E65" s="3" t="s">
        <v>16</v>
      </c>
      <c r="F65" s="3" t="s">
        <v>14</v>
      </c>
      <c r="G65" s="3">
        <v>23</v>
      </c>
      <c r="H65" s="3" t="s">
        <v>17</v>
      </c>
      <c r="I65" s="23">
        <v>2.8199999332427899</v>
      </c>
      <c r="J65" s="4">
        <v>1709.80004882812</v>
      </c>
      <c r="K65" s="4">
        <v>19812.37</v>
      </c>
      <c r="L65" s="4">
        <v>28813460025</v>
      </c>
      <c r="M65" s="3">
        <v>-0.87</v>
      </c>
    </row>
    <row r="66" spans="1:13" x14ac:dyDescent="0.25">
      <c r="A66" s="3">
        <v>65</v>
      </c>
      <c r="B66" s="3" t="s">
        <v>29</v>
      </c>
      <c r="C66" s="33">
        <v>44810</v>
      </c>
      <c r="D66" s="3" t="s">
        <v>15</v>
      </c>
      <c r="E66" s="3" t="s">
        <v>16</v>
      </c>
      <c r="F66" s="3" t="s">
        <v>14</v>
      </c>
      <c r="G66" s="3">
        <v>22</v>
      </c>
      <c r="H66" s="3" t="s">
        <v>17</v>
      </c>
      <c r="I66" s="23">
        <v>2.8450000286102202</v>
      </c>
      <c r="J66" s="4">
        <v>1696.59997558593</v>
      </c>
      <c r="K66" s="4">
        <v>18837.669999999998</v>
      </c>
      <c r="L66" s="4">
        <v>43403978910</v>
      </c>
      <c r="M66" s="3">
        <v>-4.92</v>
      </c>
    </row>
    <row r="67" spans="1:13" x14ac:dyDescent="0.25">
      <c r="A67" s="3">
        <v>66</v>
      </c>
      <c r="B67" s="3" t="s">
        <v>29</v>
      </c>
      <c r="C67" s="33">
        <v>44811</v>
      </c>
      <c r="D67" s="3" t="s">
        <v>18</v>
      </c>
      <c r="E67" s="3" t="s">
        <v>16</v>
      </c>
      <c r="F67" s="3" t="s">
        <v>14</v>
      </c>
      <c r="G67" s="3">
        <v>24</v>
      </c>
      <c r="H67" s="3" t="s">
        <v>17</v>
      </c>
      <c r="I67" s="23">
        <v>2.93300008773803</v>
      </c>
      <c r="J67" s="4">
        <v>1700.40002441406</v>
      </c>
      <c r="K67" s="4">
        <v>19290.32</v>
      </c>
      <c r="L67" s="4">
        <v>35239757134</v>
      </c>
      <c r="M67" s="3">
        <v>2.4</v>
      </c>
    </row>
    <row r="68" spans="1:13" x14ac:dyDescent="0.25">
      <c r="A68" s="3">
        <v>67</v>
      </c>
      <c r="B68" s="3" t="s">
        <v>29</v>
      </c>
      <c r="C68" s="33">
        <v>44812</v>
      </c>
      <c r="D68" s="3" t="s">
        <v>19</v>
      </c>
      <c r="E68" s="3" t="s">
        <v>16</v>
      </c>
      <c r="F68" s="3" t="s">
        <v>14</v>
      </c>
      <c r="G68" s="3">
        <v>20</v>
      </c>
      <c r="H68" s="3" t="s">
        <v>17</v>
      </c>
      <c r="I68" s="23">
        <v>2.95000004768371</v>
      </c>
      <c r="J68" s="4">
        <v>1715.30004882812</v>
      </c>
      <c r="K68" s="4">
        <v>19329.830000000002</v>
      </c>
      <c r="L68" s="4">
        <v>32194477850</v>
      </c>
      <c r="M68" s="3">
        <v>0.2</v>
      </c>
    </row>
    <row r="69" spans="1:13" x14ac:dyDescent="0.25">
      <c r="A69" s="3">
        <v>68</v>
      </c>
      <c r="B69" s="3" t="s">
        <v>29</v>
      </c>
      <c r="C69" s="33">
        <v>44813</v>
      </c>
      <c r="D69" s="3" t="s">
        <v>20</v>
      </c>
      <c r="E69" s="3" t="s">
        <v>16</v>
      </c>
      <c r="F69" s="3" t="s">
        <v>14</v>
      </c>
      <c r="G69" s="3">
        <v>22</v>
      </c>
      <c r="H69" s="3" t="s">
        <v>17</v>
      </c>
      <c r="I69" s="23">
        <v>2.9679999351501398</v>
      </c>
      <c r="J69" s="4">
        <v>1708</v>
      </c>
      <c r="K69" s="4">
        <v>21381.15</v>
      </c>
      <c r="L69" s="4">
        <v>48469528171</v>
      </c>
      <c r="M69" s="3">
        <v>10.61</v>
      </c>
    </row>
    <row r="70" spans="1:13" x14ac:dyDescent="0.25">
      <c r="A70" s="3">
        <v>69</v>
      </c>
      <c r="B70" s="3" t="s">
        <v>29</v>
      </c>
      <c r="C70" s="33">
        <v>44814</v>
      </c>
      <c r="D70" s="3" t="s">
        <v>21</v>
      </c>
      <c r="E70" s="3" t="s">
        <v>13</v>
      </c>
      <c r="F70" s="3" t="s">
        <v>23</v>
      </c>
      <c r="G70" s="3">
        <v>28</v>
      </c>
      <c r="H70" s="3" t="s">
        <v>17</v>
      </c>
      <c r="I70" s="23">
        <v>2.9679999351501398</v>
      </c>
      <c r="J70" s="4">
        <v>1716.19995117187</v>
      </c>
      <c r="K70" s="4">
        <v>21680.54</v>
      </c>
      <c r="L70" s="4">
        <v>36913738894</v>
      </c>
      <c r="M70" s="3">
        <v>1.4</v>
      </c>
    </row>
    <row r="71" spans="1:13" x14ac:dyDescent="0.25">
      <c r="A71" s="3">
        <v>70</v>
      </c>
      <c r="B71" s="3" t="s">
        <v>29</v>
      </c>
      <c r="C71" s="33">
        <v>44815</v>
      </c>
      <c r="D71" s="3" t="s">
        <v>22</v>
      </c>
      <c r="E71" s="3" t="s">
        <v>13</v>
      </c>
      <c r="F71" s="3" t="s">
        <v>23</v>
      </c>
      <c r="G71" s="3">
        <v>26</v>
      </c>
      <c r="H71" s="3" t="s">
        <v>17</v>
      </c>
      <c r="I71" s="23">
        <v>2.9679999351501398</v>
      </c>
      <c r="J71" s="4">
        <v>1708</v>
      </c>
      <c r="K71" s="4">
        <v>21769.26</v>
      </c>
      <c r="L71" s="4">
        <v>34493951963</v>
      </c>
      <c r="M71" s="3">
        <v>0.41</v>
      </c>
    </row>
    <row r="72" spans="1:13" x14ac:dyDescent="0.25">
      <c r="A72" s="3">
        <v>71</v>
      </c>
      <c r="B72" s="3" t="s">
        <v>29</v>
      </c>
      <c r="C72" s="33">
        <v>44816</v>
      </c>
      <c r="D72" s="3" t="s">
        <v>12</v>
      </c>
      <c r="E72" s="3" t="s">
        <v>16</v>
      </c>
      <c r="F72" s="3" t="s">
        <v>23</v>
      </c>
      <c r="G72" s="3">
        <v>25</v>
      </c>
      <c r="H72" s="3" t="s">
        <v>17</v>
      </c>
      <c r="I72" s="23">
        <v>2.9949998855590798</v>
      </c>
      <c r="J72" s="4">
        <v>1716.19995117187</v>
      </c>
      <c r="K72" s="4">
        <v>22370.45</v>
      </c>
      <c r="L72" s="4">
        <v>50212088965</v>
      </c>
      <c r="M72" s="3">
        <v>2.76</v>
      </c>
    </row>
    <row r="73" spans="1:13" x14ac:dyDescent="0.25">
      <c r="A73" s="3">
        <v>72</v>
      </c>
      <c r="B73" s="3" t="s">
        <v>29</v>
      </c>
      <c r="C73" s="33">
        <v>44817</v>
      </c>
      <c r="D73" s="3" t="s">
        <v>15</v>
      </c>
      <c r="E73" s="3" t="s">
        <v>16</v>
      </c>
      <c r="F73" s="3" t="s">
        <v>23</v>
      </c>
      <c r="G73" s="3">
        <v>34</v>
      </c>
      <c r="H73" s="3" t="s">
        <v>17</v>
      </c>
      <c r="I73" s="23">
        <v>3.1530001163482599</v>
      </c>
      <c r="J73" s="4">
        <v>1728.09997558593</v>
      </c>
      <c r="K73" s="4">
        <v>20296.71</v>
      </c>
      <c r="L73" s="4">
        <v>51091116622</v>
      </c>
      <c r="M73" s="3">
        <v>-9.27</v>
      </c>
    </row>
    <row r="74" spans="1:13" x14ac:dyDescent="0.25">
      <c r="A74" s="3">
        <v>73</v>
      </c>
      <c r="B74" s="3" t="s">
        <v>29</v>
      </c>
      <c r="C74" s="33">
        <v>44818</v>
      </c>
      <c r="D74" s="3" t="s">
        <v>18</v>
      </c>
      <c r="E74" s="3" t="s">
        <v>16</v>
      </c>
      <c r="F74" s="3" t="s">
        <v>23</v>
      </c>
      <c r="G74" s="3">
        <v>27</v>
      </c>
      <c r="H74" s="3" t="s">
        <v>17</v>
      </c>
      <c r="I74" s="23">
        <v>3.1280000209808301</v>
      </c>
      <c r="J74" s="4">
        <v>1705</v>
      </c>
      <c r="K74" s="4">
        <v>20241.09</v>
      </c>
      <c r="L74" s="4">
        <v>37872380889</v>
      </c>
      <c r="M74" s="3">
        <v>-0.27</v>
      </c>
    </row>
    <row r="75" spans="1:13" x14ac:dyDescent="0.25">
      <c r="A75" s="3">
        <v>74</v>
      </c>
      <c r="B75" s="3" t="s">
        <v>29</v>
      </c>
      <c r="C75" s="33">
        <v>44819</v>
      </c>
      <c r="D75" s="3" t="s">
        <v>19</v>
      </c>
      <c r="E75" s="3" t="s">
        <v>16</v>
      </c>
      <c r="F75" s="3" t="s">
        <v>23</v>
      </c>
      <c r="G75" s="3">
        <v>28</v>
      </c>
      <c r="H75" s="3" t="s">
        <v>17</v>
      </c>
      <c r="I75" s="23">
        <v>3.0950000286102202</v>
      </c>
      <c r="J75" s="4">
        <v>1696.5</v>
      </c>
      <c r="K75" s="4">
        <v>19701.21</v>
      </c>
      <c r="L75" s="4">
        <v>36389011503</v>
      </c>
      <c r="M75" s="3">
        <v>-2.67</v>
      </c>
    </row>
    <row r="76" spans="1:13" x14ac:dyDescent="0.25">
      <c r="A76" s="3">
        <v>75</v>
      </c>
      <c r="B76" s="3" t="s">
        <v>29</v>
      </c>
      <c r="C76" s="33">
        <v>44820</v>
      </c>
      <c r="D76" s="3" t="s">
        <v>20</v>
      </c>
      <c r="E76" s="3" t="s">
        <v>16</v>
      </c>
      <c r="F76" s="3" t="s">
        <v>14</v>
      </c>
      <c r="G76" s="3">
        <v>20</v>
      </c>
      <c r="H76" s="3" t="s">
        <v>17</v>
      </c>
      <c r="I76" s="23">
        <v>3.0699999332427899</v>
      </c>
      <c r="J76" s="4">
        <v>1665.40002441406</v>
      </c>
      <c r="K76" s="4">
        <v>19772.580000000002</v>
      </c>
      <c r="L76" s="4">
        <v>30123362273</v>
      </c>
      <c r="M76" s="3">
        <v>0.36</v>
      </c>
    </row>
    <row r="77" spans="1:13" x14ac:dyDescent="0.25">
      <c r="A77" s="3">
        <v>76</v>
      </c>
      <c r="B77" s="3" t="s">
        <v>29</v>
      </c>
      <c r="C77" s="33">
        <v>44821</v>
      </c>
      <c r="D77" s="3" t="s">
        <v>21</v>
      </c>
      <c r="E77" s="3" t="s">
        <v>13</v>
      </c>
      <c r="F77" s="3" t="s">
        <v>14</v>
      </c>
      <c r="G77" s="3">
        <v>22</v>
      </c>
      <c r="H77" s="3" t="s">
        <v>17</v>
      </c>
      <c r="I77" s="23">
        <v>3.0699999332427899</v>
      </c>
      <c r="J77" s="4">
        <v>1671.69995117187</v>
      </c>
      <c r="K77" s="4">
        <v>20127.580000000002</v>
      </c>
      <c r="L77" s="4">
        <v>24957448100</v>
      </c>
      <c r="M77" s="3">
        <v>1.8</v>
      </c>
    </row>
    <row r="78" spans="1:13" x14ac:dyDescent="0.25">
      <c r="A78" s="3">
        <v>77</v>
      </c>
      <c r="B78" s="3" t="s">
        <v>29</v>
      </c>
      <c r="C78" s="33">
        <v>44822</v>
      </c>
      <c r="D78" s="3" t="s">
        <v>22</v>
      </c>
      <c r="E78" s="3" t="s">
        <v>13</v>
      </c>
      <c r="F78" s="3" t="s">
        <v>23</v>
      </c>
      <c r="G78" s="3">
        <v>27</v>
      </c>
      <c r="H78" s="3" t="s">
        <v>17</v>
      </c>
      <c r="I78" s="23">
        <v>3.0699999332427899</v>
      </c>
      <c r="J78" s="4">
        <v>1665.40002441406</v>
      </c>
      <c r="K78" s="4">
        <v>19419.509999999998</v>
      </c>
      <c r="L78" s="4">
        <v>31254779144</v>
      </c>
      <c r="M78" s="3">
        <v>-3.52</v>
      </c>
    </row>
    <row r="79" spans="1:13" x14ac:dyDescent="0.25">
      <c r="A79" s="3">
        <v>78</v>
      </c>
      <c r="B79" s="3" t="s">
        <v>29</v>
      </c>
      <c r="C79" s="33">
        <v>44823</v>
      </c>
      <c r="D79" s="3" t="s">
        <v>12</v>
      </c>
      <c r="E79" s="3" t="s">
        <v>16</v>
      </c>
      <c r="F79" s="3" t="s">
        <v>14</v>
      </c>
      <c r="G79" s="3">
        <v>21</v>
      </c>
      <c r="H79" s="3" t="s">
        <v>17</v>
      </c>
      <c r="I79" s="23">
        <v>3.03500008583068</v>
      </c>
      <c r="J79" s="4">
        <v>1671.69995117187</v>
      </c>
      <c r="K79" s="4">
        <v>19544.13</v>
      </c>
      <c r="L79" s="4">
        <v>40177002624</v>
      </c>
      <c r="M79" s="3">
        <v>0.64</v>
      </c>
    </row>
    <row r="80" spans="1:13" x14ac:dyDescent="0.25">
      <c r="A80" s="3">
        <v>79</v>
      </c>
      <c r="B80" s="3" t="s">
        <v>29</v>
      </c>
      <c r="C80" s="33">
        <v>44824</v>
      </c>
      <c r="D80" s="3" t="s">
        <v>15</v>
      </c>
      <c r="E80" s="3" t="s">
        <v>16</v>
      </c>
      <c r="F80" s="3" t="s">
        <v>14</v>
      </c>
      <c r="G80" s="3">
        <v>23</v>
      </c>
      <c r="H80" s="3" t="s">
        <v>17</v>
      </c>
      <c r="I80" s="23">
        <v>3.2430000305175701</v>
      </c>
      <c r="J80" s="4">
        <v>1666.19995117187</v>
      </c>
      <c r="K80" s="4">
        <v>18890.79</v>
      </c>
      <c r="L80" s="4">
        <v>36791346508</v>
      </c>
      <c r="M80" s="3">
        <v>-3.34</v>
      </c>
    </row>
    <row r="81" spans="1:13" x14ac:dyDescent="0.25">
      <c r="A81" s="3">
        <v>80</v>
      </c>
      <c r="B81" s="3" t="s">
        <v>29</v>
      </c>
      <c r="C81" s="33">
        <v>44825</v>
      </c>
      <c r="D81" s="3" t="s">
        <v>18</v>
      </c>
      <c r="E81" s="3" t="s">
        <v>16</v>
      </c>
      <c r="F81" s="3" t="s">
        <v>14</v>
      </c>
      <c r="G81" s="3">
        <v>23</v>
      </c>
      <c r="H81" s="3" t="s">
        <v>17</v>
      </c>
      <c r="I81" s="23">
        <v>3.1900000572204501</v>
      </c>
      <c r="J81" s="4">
        <v>1659.69995117187</v>
      </c>
      <c r="K81" s="4">
        <v>18547.400000000001</v>
      </c>
      <c r="L81" s="4">
        <v>46363793975</v>
      </c>
      <c r="M81" s="3">
        <v>-1.82</v>
      </c>
    </row>
    <row r="82" spans="1:13" x14ac:dyDescent="0.25">
      <c r="A82" s="3">
        <v>81</v>
      </c>
      <c r="B82" s="3" t="s">
        <v>29</v>
      </c>
      <c r="C82" s="33">
        <v>44826</v>
      </c>
      <c r="D82" s="3" t="s">
        <v>19</v>
      </c>
      <c r="E82" s="3" t="s">
        <v>16</v>
      </c>
      <c r="F82" s="3" t="s">
        <v>14</v>
      </c>
      <c r="G82" s="3">
        <v>22</v>
      </c>
      <c r="H82" s="3" t="s">
        <v>17</v>
      </c>
      <c r="I82" s="23">
        <v>3.13000011444091</v>
      </c>
      <c r="J82" s="4">
        <v>1664.59997558593</v>
      </c>
      <c r="K82" s="4">
        <v>19413.55</v>
      </c>
      <c r="L82" s="4">
        <v>41135767926</v>
      </c>
      <c r="M82" s="3">
        <v>4.67</v>
      </c>
    </row>
    <row r="83" spans="1:13" x14ac:dyDescent="0.25">
      <c r="A83" s="3">
        <v>82</v>
      </c>
      <c r="B83" s="3" t="s">
        <v>29</v>
      </c>
      <c r="C83" s="33">
        <v>44827</v>
      </c>
      <c r="D83" s="3" t="s">
        <v>20</v>
      </c>
      <c r="E83" s="3" t="s">
        <v>16</v>
      </c>
      <c r="F83" s="3" t="s">
        <v>14</v>
      </c>
      <c r="G83" s="3">
        <v>20</v>
      </c>
      <c r="H83" s="3" t="s">
        <v>17</v>
      </c>
      <c r="I83" s="23">
        <v>3.10800004005432</v>
      </c>
      <c r="J83" s="4">
        <v>1670.80004882812</v>
      </c>
      <c r="K83" s="4">
        <v>19297.64</v>
      </c>
      <c r="L83" s="4">
        <v>38896078052</v>
      </c>
      <c r="M83" s="3">
        <v>-0.6</v>
      </c>
    </row>
    <row r="84" spans="1:13" x14ac:dyDescent="0.25">
      <c r="A84" s="3">
        <v>83</v>
      </c>
      <c r="B84" s="3" t="s">
        <v>29</v>
      </c>
      <c r="C84" s="33">
        <v>44828</v>
      </c>
      <c r="D84" s="3" t="s">
        <v>21</v>
      </c>
      <c r="E84" s="3" t="s">
        <v>13</v>
      </c>
      <c r="F84" s="3" t="s">
        <v>14</v>
      </c>
      <c r="G84" s="3">
        <v>24</v>
      </c>
      <c r="H84" s="3" t="s">
        <v>17</v>
      </c>
      <c r="I84" s="23">
        <v>3.10800004005432</v>
      </c>
      <c r="J84" s="4">
        <v>1645.30004882812</v>
      </c>
      <c r="K84" s="4">
        <v>18937.009999999998</v>
      </c>
      <c r="L84" s="4">
        <v>26149643168</v>
      </c>
      <c r="M84" s="3">
        <v>-1.87</v>
      </c>
    </row>
    <row r="85" spans="1:13" x14ac:dyDescent="0.25">
      <c r="A85" s="3">
        <v>84</v>
      </c>
      <c r="B85" s="3" t="s">
        <v>29</v>
      </c>
      <c r="C85" s="33">
        <v>44829</v>
      </c>
      <c r="D85" s="3" t="s">
        <v>22</v>
      </c>
      <c r="E85" s="3" t="s">
        <v>13</v>
      </c>
      <c r="F85" s="3" t="s">
        <v>14</v>
      </c>
      <c r="G85" s="3">
        <v>24</v>
      </c>
      <c r="H85" s="3" t="s">
        <v>17</v>
      </c>
      <c r="I85" s="23">
        <v>3.10800004005432</v>
      </c>
      <c r="J85" s="4">
        <v>1670.80004882812</v>
      </c>
      <c r="K85" s="4">
        <v>18802.099999999999</v>
      </c>
      <c r="L85" s="4">
        <v>23359966112</v>
      </c>
      <c r="M85" s="3">
        <v>-0.71</v>
      </c>
    </row>
    <row r="86" spans="1:13" x14ac:dyDescent="0.25">
      <c r="A86" s="3">
        <v>85</v>
      </c>
      <c r="B86" s="3" t="s">
        <v>29</v>
      </c>
      <c r="C86" s="33">
        <v>44830</v>
      </c>
      <c r="D86" s="3" t="s">
        <v>12</v>
      </c>
      <c r="E86" s="3" t="s">
        <v>16</v>
      </c>
      <c r="F86" s="3" t="s">
        <v>14</v>
      </c>
      <c r="G86" s="3">
        <v>21</v>
      </c>
      <c r="H86" s="3" t="s">
        <v>17</v>
      </c>
      <c r="I86" s="23">
        <v>3.1649999618530198</v>
      </c>
      <c r="J86" s="4">
        <v>1645.30004882812</v>
      </c>
      <c r="K86" s="4">
        <v>19222.669999999998</v>
      </c>
      <c r="L86" s="4">
        <v>44148798321</v>
      </c>
      <c r="M86" s="3">
        <v>2.2400000000000002</v>
      </c>
    </row>
    <row r="87" spans="1:13" x14ac:dyDescent="0.25">
      <c r="A87" s="3">
        <v>86</v>
      </c>
      <c r="B87" s="3" t="s">
        <v>29</v>
      </c>
      <c r="C87" s="33">
        <v>44831</v>
      </c>
      <c r="D87" s="3" t="s">
        <v>15</v>
      </c>
      <c r="E87" s="3" t="s">
        <v>16</v>
      </c>
      <c r="F87" s="3" t="s">
        <v>14</v>
      </c>
      <c r="G87" s="3">
        <v>20</v>
      </c>
      <c r="H87" s="3" t="s">
        <v>17</v>
      </c>
      <c r="I87" s="23">
        <v>3.25</v>
      </c>
      <c r="J87" s="4">
        <v>1623.30004882812</v>
      </c>
      <c r="K87" s="4">
        <v>19110.55</v>
      </c>
      <c r="L87" s="4">
        <v>58571439619</v>
      </c>
      <c r="M87" s="3">
        <v>-0.57999999999999996</v>
      </c>
    </row>
    <row r="88" spans="1:13" x14ac:dyDescent="0.25">
      <c r="A88" s="3">
        <v>87</v>
      </c>
      <c r="B88" s="3" t="s">
        <v>29</v>
      </c>
      <c r="C88" s="33">
        <v>44832</v>
      </c>
      <c r="D88" s="3" t="s">
        <v>18</v>
      </c>
      <c r="E88" s="3" t="s">
        <v>16</v>
      </c>
      <c r="F88" s="3" t="s">
        <v>14</v>
      </c>
      <c r="G88" s="3">
        <v>20</v>
      </c>
      <c r="H88" s="3" t="s">
        <v>17</v>
      </c>
      <c r="I88" s="23">
        <v>3.2300000190734801</v>
      </c>
      <c r="J88" s="4">
        <v>1626.69995117187</v>
      </c>
      <c r="K88" s="4">
        <v>19426.72</v>
      </c>
      <c r="L88" s="4">
        <v>53071298734</v>
      </c>
      <c r="M88" s="3">
        <v>1.65</v>
      </c>
    </row>
    <row r="89" spans="1:13" x14ac:dyDescent="0.25">
      <c r="A89" s="3">
        <v>88</v>
      </c>
      <c r="B89" s="3" t="s">
        <v>29</v>
      </c>
      <c r="C89" s="33">
        <v>44833</v>
      </c>
      <c r="D89" s="3" t="s">
        <v>19</v>
      </c>
      <c r="E89" s="3" t="s">
        <v>16</v>
      </c>
      <c r="F89" s="3" t="s">
        <v>14</v>
      </c>
      <c r="G89" s="3">
        <v>22</v>
      </c>
      <c r="H89" s="3" t="s">
        <v>17</v>
      </c>
      <c r="I89" s="23">
        <v>3.2179999351501398</v>
      </c>
      <c r="J89" s="4">
        <v>1660.40002441406</v>
      </c>
      <c r="K89" s="4">
        <v>19573.05</v>
      </c>
      <c r="L89" s="4">
        <v>41037843771</v>
      </c>
      <c r="M89" s="3">
        <v>0.75</v>
      </c>
    </row>
    <row r="90" spans="1:13" x14ac:dyDescent="0.25">
      <c r="A90" s="3">
        <v>89</v>
      </c>
      <c r="B90" s="3" t="s">
        <v>29</v>
      </c>
      <c r="C90" s="33">
        <v>44834</v>
      </c>
      <c r="D90" s="3" t="s">
        <v>20</v>
      </c>
      <c r="E90" s="3" t="s">
        <v>16</v>
      </c>
      <c r="F90" s="3" t="s">
        <v>14</v>
      </c>
      <c r="G90" s="3">
        <v>21</v>
      </c>
      <c r="H90" s="3" t="s">
        <v>17</v>
      </c>
      <c r="I90" s="23">
        <v>3.1800000667571999</v>
      </c>
      <c r="J90" s="4">
        <v>1658.5</v>
      </c>
      <c r="K90" s="4">
        <v>19431.79</v>
      </c>
      <c r="L90" s="4">
        <v>43975248085</v>
      </c>
      <c r="M90" s="3">
        <v>-0.72</v>
      </c>
    </row>
    <row r="91" spans="1:13" x14ac:dyDescent="0.25">
      <c r="A91" s="3">
        <v>90</v>
      </c>
      <c r="B91" s="3" t="s">
        <v>30</v>
      </c>
      <c r="C91" s="33">
        <v>44835</v>
      </c>
      <c r="D91" s="3" t="s">
        <v>21</v>
      </c>
      <c r="E91" s="3" t="s">
        <v>13</v>
      </c>
      <c r="F91" s="3" t="s">
        <v>14</v>
      </c>
      <c r="G91" s="3">
        <v>20</v>
      </c>
      <c r="H91" s="3" t="s">
        <v>17</v>
      </c>
      <c r="I91" s="23">
        <v>3.1800000667571999</v>
      </c>
      <c r="J91" s="4">
        <v>1662.40002441406</v>
      </c>
      <c r="K91" s="4">
        <v>19312.099999999999</v>
      </c>
      <c r="L91" s="4">
        <v>18719537670</v>
      </c>
      <c r="M91" s="3">
        <v>-0.62</v>
      </c>
    </row>
    <row r="92" spans="1:13" x14ac:dyDescent="0.25">
      <c r="A92" s="3">
        <v>91</v>
      </c>
      <c r="B92" s="3" t="s">
        <v>30</v>
      </c>
      <c r="C92" s="33">
        <v>44836</v>
      </c>
      <c r="D92" s="3" t="s">
        <v>22</v>
      </c>
      <c r="E92" s="3" t="s">
        <v>13</v>
      </c>
      <c r="F92" s="3" t="s">
        <v>14</v>
      </c>
      <c r="G92" s="3">
        <v>24</v>
      </c>
      <c r="H92" s="3" t="s">
        <v>17</v>
      </c>
      <c r="I92" s="23">
        <v>3.1800000667571999</v>
      </c>
      <c r="J92" s="4">
        <v>1658.5</v>
      </c>
      <c r="K92" s="4">
        <v>19044.11</v>
      </c>
      <c r="L92" s="4">
        <v>20765955327</v>
      </c>
      <c r="M92" s="3">
        <v>-1.39</v>
      </c>
    </row>
    <row r="93" spans="1:13" x14ac:dyDescent="0.25">
      <c r="A93" s="3">
        <v>92</v>
      </c>
      <c r="B93" s="3" t="s">
        <v>30</v>
      </c>
      <c r="C93" s="33">
        <v>44837</v>
      </c>
      <c r="D93" s="3" t="s">
        <v>12</v>
      </c>
      <c r="E93" s="3" t="s">
        <v>16</v>
      </c>
      <c r="F93" s="3" t="s">
        <v>14</v>
      </c>
      <c r="G93" s="3">
        <v>24</v>
      </c>
      <c r="H93" s="3" t="s">
        <v>17</v>
      </c>
      <c r="I93" s="23">
        <v>3.1500000953674299</v>
      </c>
      <c r="J93" s="4">
        <v>1662.40002441406</v>
      </c>
      <c r="K93" s="4">
        <v>19623.580000000002</v>
      </c>
      <c r="L93" s="4">
        <v>30484729489</v>
      </c>
      <c r="M93" s="3">
        <v>3.04</v>
      </c>
    </row>
    <row r="94" spans="1:13" x14ac:dyDescent="0.25">
      <c r="A94" s="3">
        <v>93</v>
      </c>
      <c r="B94" s="3" t="s">
        <v>30</v>
      </c>
      <c r="C94" s="33">
        <v>44838</v>
      </c>
      <c r="D94" s="3" t="s">
        <v>15</v>
      </c>
      <c r="E94" s="3" t="s">
        <v>16</v>
      </c>
      <c r="F94" s="3" t="s">
        <v>14</v>
      </c>
      <c r="G94" s="3">
        <v>20</v>
      </c>
      <c r="H94" s="3" t="s">
        <v>17</v>
      </c>
      <c r="I94" s="23">
        <v>3.3150000572204501</v>
      </c>
      <c r="J94" s="4">
        <v>1692.90002441406</v>
      </c>
      <c r="K94" s="4">
        <v>20336.84</v>
      </c>
      <c r="L94" s="4">
        <v>35887278685</v>
      </c>
      <c r="M94" s="3">
        <v>3.63</v>
      </c>
    </row>
    <row r="95" spans="1:13" x14ac:dyDescent="0.25">
      <c r="A95" s="3">
        <v>94</v>
      </c>
      <c r="B95" s="3" t="s">
        <v>30</v>
      </c>
      <c r="C95" s="33">
        <v>44839</v>
      </c>
      <c r="D95" s="3" t="s">
        <v>18</v>
      </c>
      <c r="E95" s="3" t="s">
        <v>16</v>
      </c>
      <c r="F95" s="3" t="s">
        <v>23</v>
      </c>
      <c r="G95" s="3">
        <v>25</v>
      </c>
      <c r="H95" s="3" t="s">
        <v>17</v>
      </c>
      <c r="I95" s="23">
        <v>3.2929999828338601</v>
      </c>
      <c r="J95" s="4">
        <v>1721.09997558593</v>
      </c>
      <c r="K95" s="4">
        <v>20160.72</v>
      </c>
      <c r="L95" s="4">
        <v>33223790572</v>
      </c>
      <c r="M95" s="3">
        <v>-0.87</v>
      </c>
    </row>
    <row r="96" spans="1:13" x14ac:dyDescent="0.25">
      <c r="A96" s="3">
        <v>95</v>
      </c>
      <c r="B96" s="3" t="s">
        <v>30</v>
      </c>
      <c r="C96" s="33">
        <v>44840</v>
      </c>
      <c r="D96" s="3" t="s">
        <v>19</v>
      </c>
      <c r="E96" s="3" t="s">
        <v>16</v>
      </c>
      <c r="F96" s="3" t="s">
        <v>23</v>
      </c>
      <c r="G96" s="3">
        <v>26</v>
      </c>
      <c r="H96" s="3" t="s">
        <v>17</v>
      </c>
      <c r="I96" s="23">
        <v>3.2880001068115199</v>
      </c>
      <c r="J96" s="4">
        <v>1711.40002441406</v>
      </c>
      <c r="K96" s="4">
        <v>19955.439999999999</v>
      </c>
      <c r="L96" s="4">
        <v>34711412966</v>
      </c>
      <c r="M96" s="3">
        <v>-1.02</v>
      </c>
    </row>
    <row r="97" spans="1:13" x14ac:dyDescent="0.25">
      <c r="A97" s="3">
        <v>96</v>
      </c>
      <c r="B97" s="3" t="s">
        <v>30</v>
      </c>
      <c r="C97" s="33">
        <v>44841</v>
      </c>
      <c r="D97" s="3" t="s">
        <v>20</v>
      </c>
      <c r="E97" s="3" t="s">
        <v>16</v>
      </c>
      <c r="F97" s="3" t="s">
        <v>14</v>
      </c>
      <c r="G97" s="3">
        <v>23</v>
      </c>
      <c r="H97" s="3" t="s">
        <v>17</v>
      </c>
      <c r="I97" s="23">
        <v>3.2929999828338601</v>
      </c>
      <c r="J97" s="4">
        <v>1711.69995117187</v>
      </c>
      <c r="K97" s="4">
        <v>19546.849999999999</v>
      </c>
      <c r="L97" s="4">
        <v>29227315390</v>
      </c>
      <c r="M97" s="3">
        <v>-2.0499999999999998</v>
      </c>
    </row>
    <row r="98" spans="1:13" x14ac:dyDescent="0.25">
      <c r="A98" s="3">
        <v>97</v>
      </c>
      <c r="B98" s="3" t="s">
        <v>30</v>
      </c>
      <c r="C98" s="33">
        <v>44842</v>
      </c>
      <c r="D98" s="3" t="s">
        <v>21</v>
      </c>
      <c r="E98" s="3" t="s">
        <v>13</v>
      </c>
      <c r="F98" s="3" t="s">
        <v>14</v>
      </c>
      <c r="G98" s="3">
        <v>24</v>
      </c>
      <c r="H98" s="3" t="s">
        <v>17</v>
      </c>
      <c r="I98" s="23">
        <v>3.2929999828338601</v>
      </c>
      <c r="J98" s="4">
        <v>1700.5</v>
      </c>
      <c r="K98" s="4">
        <v>19416.57</v>
      </c>
      <c r="L98" s="4">
        <v>16437423167</v>
      </c>
      <c r="M98" s="3">
        <v>-0.67</v>
      </c>
    </row>
    <row r="99" spans="1:13" x14ac:dyDescent="0.25">
      <c r="A99" s="3">
        <v>98</v>
      </c>
      <c r="B99" s="3" t="s">
        <v>30</v>
      </c>
      <c r="C99" s="33">
        <v>44843</v>
      </c>
      <c r="D99" s="3" t="s">
        <v>22</v>
      </c>
      <c r="E99" s="3" t="s">
        <v>13</v>
      </c>
      <c r="F99" s="3" t="s">
        <v>14</v>
      </c>
      <c r="G99" s="3">
        <v>22</v>
      </c>
      <c r="H99" s="3" t="s">
        <v>17</v>
      </c>
      <c r="I99" s="23">
        <v>3.2929999828338601</v>
      </c>
      <c r="J99" s="4">
        <v>1711.69995117187</v>
      </c>
      <c r="K99" s="4">
        <v>19446.43</v>
      </c>
      <c r="L99" s="4">
        <v>16837262532</v>
      </c>
      <c r="M99" s="3">
        <v>0.15</v>
      </c>
    </row>
    <row r="100" spans="1:13" x14ac:dyDescent="0.25">
      <c r="A100" s="3">
        <v>99</v>
      </c>
      <c r="B100" s="3" t="s">
        <v>30</v>
      </c>
      <c r="C100" s="33">
        <v>44844</v>
      </c>
      <c r="D100" s="3" t="s">
        <v>12</v>
      </c>
      <c r="E100" s="3" t="s">
        <v>16</v>
      </c>
      <c r="F100" s="3" t="s">
        <v>14</v>
      </c>
      <c r="G100" s="3">
        <v>22</v>
      </c>
      <c r="H100" s="3" t="s">
        <v>17</v>
      </c>
      <c r="I100" s="23">
        <v>3.28500008583068</v>
      </c>
      <c r="J100" s="4">
        <v>1700.5</v>
      </c>
      <c r="K100" s="4">
        <v>19141.48</v>
      </c>
      <c r="L100" s="4">
        <v>27425022774</v>
      </c>
      <c r="M100" s="3">
        <v>-1.57</v>
      </c>
    </row>
    <row r="101" spans="1:13" x14ac:dyDescent="0.25">
      <c r="A101" s="3">
        <v>100</v>
      </c>
      <c r="B101" s="3" t="s">
        <v>30</v>
      </c>
      <c r="C101" s="33">
        <v>44845</v>
      </c>
      <c r="D101" s="3" t="s">
        <v>15</v>
      </c>
      <c r="E101" s="3" t="s">
        <v>16</v>
      </c>
      <c r="F101" s="3" t="s">
        <v>14</v>
      </c>
      <c r="G101" s="3">
        <v>24</v>
      </c>
      <c r="H101" s="3" t="s">
        <v>17</v>
      </c>
      <c r="I101" s="23">
        <v>3.3399999141693102</v>
      </c>
      <c r="J101" s="4">
        <v>1667.30004882812</v>
      </c>
      <c r="K101" s="4">
        <v>19051.419999999998</v>
      </c>
      <c r="L101" s="4">
        <v>28711532910</v>
      </c>
      <c r="M101" s="3">
        <v>-0.47</v>
      </c>
    </row>
    <row r="102" spans="1:13" x14ac:dyDescent="0.25">
      <c r="A102" s="3">
        <v>101</v>
      </c>
      <c r="B102" s="3" t="s">
        <v>30</v>
      </c>
      <c r="C102" s="33">
        <v>44846</v>
      </c>
      <c r="D102" s="3" t="s">
        <v>18</v>
      </c>
      <c r="E102" s="3" t="s">
        <v>16</v>
      </c>
      <c r="F102" s="3" t="s">
        <v>14</v>
      </c>
      <c r="G102" s="3">
        <v>20</v>
      </c>
      <c r="H102" s="3" t="s">
        <v>17</v>
      </c>
      <c r="I102" s="23">
        <v>3.5329999923706001</v>
      </c>
      <c r="J102" s="4">
        <v>1678.69995117187</v>
      </c>
      <c r="K102" s="4">
        <v>19157.45</v>
      </c>
      <c r="L102" s="4">
        <v>24950173846</v>
      </c>
      <c r="M102" s="3">
        <v>0.56000000000000005</v>
      </c>
    </row>
    <row r="103" spans="1:13" x14ac:dyDescent="0.25">
      <c r="A103" s="3">
        <v>102</v>
      </c>
      <c r="B103" s="3" t="s">
        <v>30</v>
      </c>
      <c r="C103" s="33">
        <v>44847</v>
      </c>
      <c r="D103" s="3" t="s">
        <v>19</v>
      </c>
      <c r="E103" s="3" t="s">
        <v>16</v>
      </c>
      <c r="F103" s="3" t="s">
        <v>14</v>
      </c>
      <c r="G103" s="3">
        <v>20</v>
      </c>
      <c r="H103" s="3" t="s">
        <v>17</v>
      </c>
      <c r="I103" s="23">
        <v>3.5829999446868799</v>
      </c>
      <c r="J103" s="4">
        <v>1670.30004882812</v>
      </c>
      <c r="K103" s="4">
        <v>19382.900000000001</v>
      </c>
      <c r="L103" s="4">
        <v>44219840004</v>
      </c>
      <c r="M103" s="3">
        <v>1.18</v>
      </c>
    </row>
    <row r="104" spans="1:13" x14ac:dyDescent="0.25">
      <c r="A104" s="3">
        <v>103</v>
      </c>
      <c r="B104" s="3" t="s">
        <v>30</v>
      </c>
      <c r="C104" s="33">
        <v>44848</v>
      </c>
      <c r="D104" s="3" t="s">
        <v>20</v>
      </c>
      <c r="E104" s="3" t="s">
        <v>16</v>
      </c>
      <c r="F104" s="3" t="s">
        <v>14</v>
      </c>
      <c r="G104" s="3">
        <v>24</v>
      </c>
      <c r="H104" s="3" t="s">
        <v>17</v>
      </c>
      <c r="I104" s="23">
        <v>3.6280000209808301</v>
      </c>
      <c r="J104" s="4">
        <v>1670</v>
      </c>
      <c r="K104" s="4">
        <v>19185.66</v>
      </c>
      <c r="L104" s="4">
        <v>38452356727</v>
      </c>
      <c r="M104" s="3">
        <v>-1.02</v>
      </c>
    </row>
    <row r="105" spans="1:13" x14ac:dyDescent="0.25">
      <c r="A105" s="3">
        <v>104</v>
      </c>
      <c r="B105" s="3" t="s">
        <v>30</v>
      </c>
      <c r="C105" s="33">
        <v>44849</v>
      </c>
      <c r="D105" s="3" t="s">
        <v>21</v>
      </c>
      <c r="E105" s="3" t="s">
        <v>13</v>
      </c>
      <c r="F105" s="3" t="s">
        <v>14</v>
      </c>
      <c r="G105" s="3">
        <v>24</v>
      </c>
      <c r="H105" s="3" t="s">
        <v>17</v>
      </c>
      <c r="I105" s="23">
        <v>3.6280000209808301</v>
      </c>
      <c r="J105" s="4">
        <v>1641.69995117187</v>
      </c>
      <c r="K105" s="4">
        <v>19067.63</v>
      </c>
      <c r="L105" s="4">
        <v>16192235532</v>
      </c>
      <c r="M105" s="3">
        <v>-0.62</v>
      </c>
    </row>
    <row r="106" spans="1:13" x14ac:dyDescent="0.25">
      <c r="A106" s="3">
        <v>105</v>
      </c>
      <c r="B106" s="3" t="s">
        <v>30</v>
      </c>
      <c r="C106" s="33">
        <v>44850</v>
      </c>
      <c r="D106" s="3" t="s">
        <v>22</v>
      </c>
      <c r="E106" s="3" t="s">
        <v>13</v>
      </c>
      <c r="F106" s="3" t="s">
        <v>14</v>
      </c>
      <c r="G106" s="3">
        <v>24</v>
      </c>
      <c r="H106" s="3" t="s">
        <v>17</v>
      </c>
      <c r="I106" s="23">
        <v>3.6280000209808301</v>
      </c>
      <c r="J106" s="4">
        <v>1670</v>
      </c>
      <c r="K106" s="4">
        <v>19268.09</v>
      </c>
      <c r="L106" s="4">
        <v>17988916650</v>
      </c>
      <c r="M106" s="3">
        <v>1.05</v>
      </c>
    </row>
    <row r="107" spans="1:13" x14ac:dyDescent="0.25">
      <c r="A107" s="3">
        <v>106</v>
      </c>
      <c r="B107" s="3" t="s">
        <v>30</v>
      </c>
      <c r="C107" s="33">
        <v>44851</v>
      </c>
      <c r="D107" s="3" t="s">
        <v>12</v>
      </c>
      <c r="E107" s="3" t="s">
        <v>16</v>
      </c>
      <c r="F107" s="3" t="s">
        <v>14</v>
      </c>
      <c r="G107" s="3">
        <v>20</v>
      </c>
      <c r="H107" s="3" t="s">
        <v>17</v>
      </c>
      <c r="I107" s="23">
        <v>3.6879999637603702</v>
      </c>
      <c r="J107" s="4">
        <v>1641.69995117187</v>
      </c>
      <c r="K107" s="4">
        <v>19550.759999999998</v>
      </c>
      <c r="L107" s="4">
        <v>27472552998</v>
      </c>
      <c r="M107" s="3">
        <v>1.47</v>
      </c>
    </row>
    <row r="108" spans="1:13" x14ac:dyDescent="0.25">
      <c r="A108" s="3">
        <v>107</v>
      </c>
      <c r="B108" s="3" t="s">
        <v>30</v>
      </c>
      <c r="C108" s="33">
        <v>44852</v>
      </c>
      <c r="D108" s="3" t="s">
        <v>15</v>
      </c>
      <c r="E108" s="3" t="s">
        <v>16</v>
      </c>
      <c r="F108" s="3" t="s">
        <v>14</v>
      </c>
      <c r="G108" s="3">
        <v>22</v>
      </c>
      <c r="H108" s="3" t="s">
        <v>17</v>
      </c>
      <c r="I108" s="23">
        <v>3.8329999446868799</v>
      </c>
      <c r="J108" s="4">
        <v>1657</v>
      </c>
      <c r="K108" s="4">
        <v>19334.419999999998</v>
      </c>
      <c r="L108" s="4">
        <v>30580012344</v>
      </c>
      <c r="M108" s="3">
        <v>-1.1100000000000001</v>
      </c>
    </row>
    <row r="109" spans="1:13" x14ac:dyDescent="0.25">
      <c r="A109" s="3">
        <v>108</v>
      </c>
      <c r="B109" s="3" t="s">
        <v>30</v>
      </c>
      <c r="C109" s="33">
        <v>44853</v>
      </c>
      <c r="D109" s="3" t="s">
        <v>18</v>
      </c>
      <c r="E109" s="3" t="s">
        <v>16</v>
      </c>
      <c r="F109" s="3" t="s">
        <v>14</v>
      </c>
      <c r="G109" s="3">
        <v>23</v>
      </c>
      <c r="H109" s="3" t="s">
        <v>17</v>
      </c>
      <c r="I109" s="23">
        <v>3.8929998874664302</v>
      </c>
      <c r="J109" s="4">
        <v>1649</v>
      </c>
      <c r="K109" s="4">
        <v>19139.54</v>
      </c>
      <c r="L109" s="4">
        <v>22425387184</v>
      </c>
      <c r="M109" s="3">
        <v>-1.01</v>
      </c>
    </row>
    <row r="110" spans="1:13" x14ac:dyDescent="0.25">
      <c r="A110" s="3">
        <v>109</v>
      </c>
      <c r="B110" s="3" t="s">
        <v>30</v>
      </c>
      <c r="C110" s="33">
        <v>44854</v>
      </c>
      <c r="D110" s="3" t="s">
        <v>19</v>
      </c>
      <c r="E110" s="3" t="s">
        <v>16</v>
      </c>
      <c r="F110" s="3" t="s">
        <v>14</v>
      </c>
      <c r="G110" s="3">
        <v>23</v>
      </c>
      <c r="H110" s="3" t="s">
        <v>17</v>
      </c>
      <c r="I110" s="23">
        <v>3.8900001049041699</v>
      </c>
      <c r="J110" s="4">
        <v>1627.5</v>
      </c>
      <c r="K110" s="4">
        <v>19053.740000000002</v>
      </c>
      <c r="L110" s="4">
        <v>24493974420</v>
      </c>
      <c r="M110" s="3">
        <v>-0.45</v>
      </c>
    </row>
    <row r="111" spans="1:13" x14ac:dyDescent="0.25">
      <c r="A111" s="3">
        <v>110</v>
      </c>
      <c r="B111" s="3" t="s">
        <v>30</v>
      </c>
      <c r="C111" s="33">
        <v>44855</v>
      </c>
      <c r="D111" s="3" t="s">
        <v>20</v>
      </c>
      <c r="E111" s="3" t="s">
        <v>16</v>
      </c>
      <c r="F111" s="3" t="s">
        <v>14</v>
      </c>
      <c r="G111" s="3">
        <v>23</v>
      </c>
      <c r="H111" s="3" t="s">
        <v>17</v>
      </c>
      <c r="I111" s="23">
        <v>3.8849999904632502</v>
      </c>
      <c r="J111" s="4">
        <v>1630.80004882812</v>
      </c>
      <c r="K111" s="4">
        <v>19172.47</v>
      </c>
      <c r="L111" s="4">
        <v>32459287866</v>
      </c>
      <c r="M111" s="3">
        <v>0.62</v>
      </c>
    </row>
    <row r="112" spans="1:13" x14ac:dyDescent="0.25">
      <c r="A112" s="3">
        <v>111</v>
      </c>
      <c r="B112" s="3" t="s">
        <v>30</v>
      </c>
      <c r="C112" s="33">
        <v>44856</v>
      </c>
      <c r="D112" s="3" t="s">
        <v>21</v>
      </c>
      <c r="E112" s="3" t="s">
        <v>13</v>
      </c>
      <c r="F112" s="3" t="s">
        <v>14</v>
      </c>
      <c r="G112" s="3">
        <v>20</v>
      </c>
      <c r="H112" s="3" t="s">
        <v>17</v>
      </c>
      <c r="I112" s="23">
        <v>3.8849999904632502</v>
      </c>
      <c r="J112" s="4">
        <v>1651</v>
      </c>
      <c r="K112" s="4">
        <v>19208.189999999999</v>
      </c>
      <c r="L112" s="4">
        <v>16104440957</v>
      </c>
      <c r="M112" s="3">
        <v>0.19</v>
      </c>
    </row>
    <row r="113" spans="1:13" x14ac:dyDescent="0.25">
      <c r="A113" s="3">
        <v>112</v>
      </c>
      <c r="B113" s="3" t="s">
        <v>30</v>
      </c>
      <c r="C113" s="33">
        <v>44857</v>
      </c>
      <c r="D113" s="3" t="s">
        <v>22</v>
      </c>
      <c r="E113" s="3" t="s">
        <v>13</v>
      </c>
      <c r="F113" s="3" t="s">
        <v>14</v>
      </c>
      <c r="G113" s="3">
        <v>23</v>
      </c>
      <c r="H113" s="3" t="s">
        <v>17</v>
      </c>
      <c r="I113" s="23">
        <v>3.8849999904632502</v>
      </c>
      <c r="J113" s="4">
        <v>1630.80004882812</v>
      </c>
      <c r="K113" s="4">
        <v>19567.009999999998</v>
      </c>
      <c r="L113" s="4">
        <v>22128794335</v>
      </c>
      <c r="M113" s="3">
        <v>1.87</v>
      </c>
    </row>
    <row r="114" spans="1:13" x14ac:dyDescent="0.25">
      <c r="A114" s="3">
        <v>113</v>
      </c>
      <c r="B114" s="3" t="s">
        <v>30</v>
      </c>
      <c r="C114" s="33">
        <v>44858</v>
      </c>
      <c r="D114" s="3" t="s">
        <v>12</v>
      </c>
      <c r="E114" s="3" t="s">
        <v>16</v>
      </c>
      <c r="F114" s="3" t="s">
        <v>14</v>
      </c>
      <c r="G114" s="3">
        <v>22</v>
      </c>
      <c r="H114" s="3" t="s">
        <v>17</v>
      </c>
      <c r="I114" s="23">
        <v>3.9130001068115199</v>
      </c>
      <c r="J114" s="4">
        <v>1651</v>
      </c>
      <c r="K114" s="4">
        <v>19345.57</v>
      </c>
      <c r="L114" s="4">
        <v>30202235805</v>
      </c>
      <c r="M114" s="3">
        <v>-1.1299999999999999</v>
      </c>
    </row>
    <row r="115" spans="1:13" x14ac:dyDescent="0.25">
      <c r="A115" s="3">
        <v>114</v>
      </c>
      <c r="B115" s="3" t="s">
        <v>30</v>
      </c>
      <c r="C115" s="33">
        <v>44859</v>
      </c>
      <c r="D115" s="3" t="s">
        <v>15</v>
      </c>
      <c r="E115" s="3" t="s">
        <v>16</v>
      </c>
      <c r="F115" s="3" t="s">
        <v>14</v>
      </c>
      <c r="G115" s="3">
        <v>20</v>
      </c>
      <c r="H115" s="3" t="s">
        <v>17</v>
      </c>
      <c r="I115" s="23">
        <v>3.9649999141693102</v>
      </c>
      <c r="J115" s="4">
        <v>1648.69995117187</v>
      </c>
      <c r="K115" s="4">
        <v>20095.86</v>
      </c>
      <c r="L115" s="4">
        <v>47761524910</v>
      </c>
      <c r="M115" s="3">
        <v>3.88</v>
      </c>
    </row>
    <row r="116" spans="1:13" x14ac:dyDescent="0.25">
      <c r="A116" s="3">
        <v>115</v>
      </c>
      <c r="B116" s="3" t="s">
        <v>30</v>
      </c>
      <c r="C116" s="33">
        <v>44860</v>
      </c>
      <c r="D116" s="3" t="s">
        <v>18</v>
      </c>
      <c r="E116" s="3" t="s">
        <v>16</v>
      </c>
      <c r="F116" s="3" t="s">
        <v>23</v>
      </c>
      <c r="G116" s="3">
        <v>33</v>
      </c>
      <c r="H116" s="3" t="s">
        <v>17</v>
      </c>
      <c r="I116" s="23">
        <v>3.9300000667571999</v>
      </c>
      <c r="J116" s="4">
        <v>1652.80004882812</v>
      </c>
      <c r="K116" s="4">
        <v>20770.439999999999</v>
      </c>
      <c r="L116" s="4">
        <v>58895950537</v>
      </c>
      <c r="M116" s="3">
        <v>3.36</v>
      </c>
    </row>
    <row r="117" spans="1:13" x14ac:dyDescent="0.25">
      <c r="A117" s="3">
        <v>116</v>
      </c>
      <c r="B117" s="3" t="s">
        <v>30</v>
      </c>
      <c r="C117" s="33">
        <v>44861</v>
      </c>
      <c r="D117" s="3" t="s">
        <v>19</v>
      </c>
      <c r="E117" s="3" t="s">
        <v>16</v>
      </c>
      <c r="F117" s="3" t="s">
        <v>23</v>
      </c>
      <c r="G117" s="3">
        <v>32</v>
      </c>
      <c r="H117" s="3" t="s">
        <v>17</v>
      </c>
      <c r="I117" s="23">
        <v>3.9300000667571999</v>
      </c>
      <c r="J117" s="4">
        <v>1664</v>
      </c>
      <c r="K117" s="4">
        <v>20285.84</v>
      </c>
      <c r="L117" s="4">
        <v>49625110402</v>
      </c>
      <c r="M117" s="3">
        <v>-2.33</v>
      </c>
    </row>
    <row r="118" spans="1:13" x14ac:dyDescent="0.25">
      <c r="A118" s="3">
        <v>117</v>
      </c>
      <c r="B118" s="3" t="s">
        <v>30</v>
      </c>
      <c r="C118" s="33">
        <v>44862</v>
      </c>
      <c r="D118" s="3" t="s">
        <v>20</v>
      </c>
      <c r="E118" s="3" t="s">
        <v>16</v>
      </c>
      <c r="F118" s="3" t="s">
        <v>23</v>
      </c>
      <c r="G118" s="3">
        <v>30</v>
      </c>
      <c r="H118" s="3" t="s">
        <v>17</v>
      </c>
      <c r="I118" s="23">
        <v>3.9700000286102202</v>
      </c>
      <c r="J118" s="4">
        <v>1660.69995117187</v>
      </c>
      <c r="K118" s="4">
        <v>20595.349999999999</v>
      </c>
      <c r="L118" s="4">
        <v>43994715910</v>
      </c>
      <c r="M118" s="3">
        <v>1.53</v>
      </c>
    </row>
    <row r="119" spans="1:13" x14ac:dyDescent="0.25">
      <c r="A119" s="3">
        <v>118</v>
      </c>
      <c r="B119" s="3" t="s">
        <v>30</v>
      </c>
      <c r="C119" s="33">
        <v>44863</v>
      </c>
      <c r="D119" s="3" t="s">
        <v>21</v>
      </c>
      <c r="E119" s="3" t="s">
        <v>13</v>
      </c>
      <c r="F119" s="3" t="s">
        <v>23</v>
      </c>
      <c r="G119" s="3">
        <v>34</v>
      </c>
      <c r="H119" s="3" t="s">
        <v>17</v>
      </c>
      <c r="I119" s="23">
        <v>3.9700000286102202</v>
      </c>
      <c r="J119" s="4">
        <v>1639.59997558593</v>
      </c>
      <c r="K119" s="4">
        <v>20818.48</v>
      </c>
      <c r="L119" s="4">
        <v>40369840645</v>
      </c>
      <c r="M119" s="3">
        <v>1.08</v>
      </c>
    </row>
    <row r="120" spans="1:13" x14ac:dyDescent="0.25">
      <c r="A120" s="3">
        <v>119</v>
      </c>
      <c r="B120" s="3" t="s">
        <v>30</v>
      </c>
      <c r="C120" s="33">
        <v>44864</v>
      </c>
      <c r="D120" s="3" t="s">
        <v>22</v>
      </c>
      <c r="E120" s="3" t="s">
        <v>13</v>
      </c>
      <c r="F120" s="3" t="s">
        <v>23</v>
      </c>
      <c r="G120" s="3">
        <v>34</v>
      </c>
      <c r="H120" s="3" t="s">
        <v>17</v>
      </c>
      <c r="I120" s="23">
        <v>3.9700000286102202</v>
      </c>
      <c r="J120" s="4">
        <v>1660.69995117187</v>
      </c>
      <c r="K120" s="4">
        <v>20635.599999999999</v>
      </c>
      <c r="L120" s="4">
        <v>31486345556</v>
      </c>
      <c r="M120" s="3">
        <v>-0.88</v>
      </c>
    </row>
    <row r="121" spans="1:13" x14ac:dyDescent="0.25">
      <c r="A121" s="3">
        <v>120</v>
      </c>
      <c r="B121" s="3" t="s">
        <v>30</v>
      </c>
      <c r="C121" s="33">
        <v>44865</v>
      </c>
      <c r="D121" s="3" t="s">
        <v>12</v>
      </c>
      <c r="E121" s="3" t="s">
        <v>16</v>
      </c>
      <c r="F121" s="3" t="s">
        <v>23</v>
      </c>
      <c r="G121" s="3">
        <v>31</v>
      </c>
      <c r="H121" s="3" t="s">
        <v>17</v>
      </c>
      <c r="I121" s="23">
        <v>3.9749999046325599</v>
      </c>
      <c r="J121" s="4">
        <v>1639.59997558593</v>
      </c>
      <c r="K121" s="4">
        <v>20495.77</v>
      </c>
      <c r="L121" s="4">
        <v>45668466815</v>
      </c>
      <c r="M121" s="3">
        <v>-0.68</v>
      </c>
    </row>
    <row r="122" spans="1:13" x14ac:dyDescent="0.25">
      <c r="A122" s="3">
        <v>121</v>
      </c>
      <c r="B122" s="3" t="s">
        <v>31</v>
      </c>
      <c r="C122" s="33">
        <v>44866</v>
      </c>
      <c r="D122" s="3" t="s">
        <v>15</v>
      </c>
      <c r="E122" s="3" t="s">
        <v>16</v>
      </c>
      <c r="F122" s="3" t="s">
        <v>23</v>
      </c>
      <c r="G122" s="3">
        <v>30</v>
      </c>
      <c r="H122" s="3" t="s">
        <v>17</v>
      </c>
      <c r="I122" s="23">
        <v>4.0500001907348597</v>
      </c>
      <c r="J122" s="4">
        <v>1635.90002441406</v>
      </c>
      <c r="K122" s="4">
        <v>20485.27</v>
      </c>
      <c r="L122" s="4">
        <v>39819303159</v>
      </c>
      <c r="M122" s="3">
        <v>-0.05</v>
      </c>
    </row>
    <row r="123" spans="1:13" x14ac:dyDescent="0.25">
      <c r="A123" s="3">
        <v>122</v>
      </c>
      <c r="B123" s="3" t="s">
        <v>31</v>
      </c>
      <c r="C123" s="33">
        <v>44867</v>
      </c>
      <c r="D123" s="3" t="s">
        <v>18</v>
      </c>
      <c r="E123" s="3" t="s">
        <v>16</v>
      </c>
      <c r="F123" s="3" t="s">
        <v>23</v>
      </c>
      <c r="G123" s="3">
        <v>30</v>
      </c>
      <c r="H123" s="3">
        <v>3</v>
      </c>
      <c r="I123" s="23">
        <v>4.0250000953674299</v>
      </c>
      <c r="J123" s="4">
        <v>1645</v>
      </c>
      <c r="K123" s="4">
        <v>20159.5</v>
      </c>
      <c r="L123" s="4">
        <v>55552169483</v>
      </c>
      <c r="M123" s="3">
        <v>-1.59</v>
      </c>
    </row>
    <row r="124" spans="1:13" x14ac:dyDescent="0.25">
      <c r="A124" s="3">
        <v>123</v>
      </c>
      <c r="B124" s="3" t="s">
        <v>31</v>
      </c>
      <c r="C124" s="33">
        <v>44868</v>
      </c>
      <c r="D124" s="3" t="s">
        <v>19</v>
      </c>
      <c r="E124" s="3" t="s">
        <v>16</v>
      </c>
      <c r="F124" s="3" t="s">
        <v>23</v>
      </c>
      <c r="G124" s="3">
        <v>30</v>
      </c>
      <c r="H124" s="3" t="s">
        <v>17</v>
      </c>
      <c r="I124" s="23">
        <v>4.0250000953674299</v>
      </c>
      <c r="J124" s="4">
        <v>1645.69995117187</v>
      </c>
      <c r="K124" s="4">
        <v>20209.990000000002</v>
      </c>
      <c r="L124" s="4">
        <v>43228750179</v>
      </c>
      <c r="M124" s="3">
        <v>0.25</v>
      </c>
    </row>
    <row r="125" spans="1:13" x14ac:dyDescent="0.25">
      <c r="A125" s="3">
        <v>124</v>
      </c>
      <c r="B125" s="3" t="s">
        <v>31</v>
      </c>
      <c r="C125" s="33">
        <v>44869</v>
      </c>
      <c r="D125" s="3" t="s">
        <v>20</v>
      </c>
      <c r="E125" s="3" t="s">
        <v>16</v>
      </c>
      <c r="F125" s="3" t="s">
        <v>23</v>
      </c>
      <c r="G125" s="3">
        <v>30</v>
      </c>
      <c r="H125" s="3" t="s">
        <v>17</v>
      </c>
      <c r="I125" s="23">
        <v>4.01300001144409</v>
      </c>
      <c r="J125" s="4">
        <v>1627.30004882812</v>
      </c>
      <c r="K125" s="4">
        <v>21147.23</v>
      </c>
      <c r="L125" s="4">
        <v>64072727950</v>
      </c>
      <c r="M125" s="3">
        <v>4.6399999999999997</v>
      </c>
    </row>
    <row r="126" spans="1:13" x14ac:dyDescent="0.25">
      <c r="A126" s="3">
        <v>125</v>
      </c>
      <c r="B126" s="3" t="s">
        <v>31</v>
      </c>
      <c r="C126" s="33">
        <v>44870</v>
      </c>
      <c r="D126" s="3" t="s">
        <v>21</v>
      </c>
      <c r="E126" s="3" t="s">
        <v>13</v>
      </c>
      <c r="F126" s="3" t="s">
        <v>23</v>
      </c>
      <c r="G126" s="3">
        <v>38</v>
      </c>
      <c r="H126" s="3" t="s">
        <v>17</v>
      </c>
      <c r="I126" s="23">
        <v>4.01300001144409</v>
      </c>
      <c r="J126" s="4">
        <v>1672.5</v>
      </c>
      <c r="K126" s="4">
        <v>21282.69</v>
      </c>
      <c r="L126" s="4">
        <v>37846047609</v>
      </c>
      <c r="M126" s="3">
        <v>0.64</v>
      </c>
    </row>
    <row r="127" spans="1:13" x14ac:dyDescent="0.25">
      <c r="A127" s="3">
        <v>126</v>
      </c>
      <c r="B127" s="3" t="s">
        <v>31</v>
      </c>
      <c r="C127" s="33">
        <v>44871</v>
      </c>
      <c r="D127" s="3" t="s">
        <v>22</v>
      </c>
      <c r="E127" s="3" t="s">
        <v>13</v>
      </c>
      <c r="F127" s="3" t="s">
        <v>23</v>
      </c>
      <c r="G127" s="3">
        <v>40</v>
      </c>
      <c r="H127" s="3" t="s">
        <v>17</v>
      </c>
      <c r="I127" s="23">
        <v>4.01300001144409</v>
      </c>
      <c r="J127" s="4">
        <v>1627.30004882812</v>
      </c>
      <c r="K127" s="4">
        <v>20926.490000000002</v>
      </c>
      <c r="L127" s="4">
        <v>35082693210</v>
      </c>
      <c r="M127" s="3">
        <v>-1.67</v>
      </c>
    </row>
    <row r="128" spans="1:13" x14ac:dyDescent="0.25">
      <c r="A128" s="3">
        <v>127</v>
      </c>
      <c r="B128" s="3" t="s">
        <v>31</v>
      </c>
      <c r="C128" s="33">
        <v>44872</v>
      </c>
      <c r="D128" s="3" t="s">
        <v>12</v>
      </c>
      <c r="E128" s="3" t="s">
        <v>16</v>
      </c>
      <c r="F128" s="3" t="s">
        <v>23</v>
      </c>
      <c r="G128" s="3">
        <v>33</v>
      </c>
      <c r="H128" s="3" t="s">
        <v>17</v>
      </c>
      <c r="I128" s="23">
        <v>3.98300004005432</v>
      </c>
      <c r="J128" s="4">
        <v>1672.5</v>
      </c>
      <c r="K128" s="4">
        <v>20602.82</v>
      </c>
      <c r="L128" s="4">
        <v>53510852236</v>
      </c>
      <c r="M128" s="3">
        <v>-1.55</v>
      </c>
    </row>
    <row r="129" spans="1:13" x14ac:dyDescent="0.25">
      <c r="A129" s="3">
        <v>128</v>
      </c>
      <c r="B129" s="3" t="s">
        <v>31</v>
      </c>
      <c r="C129" s="33">
        <v>44873</v>
      </c>
      <c r="D129" s="3" t="s">
        <v>15</v>
      </c>
      <c r="E129" s="3" t="s">
        <v>16</v>
      </c>
      <c r="F129" s="3" t="s">
        <v>23</v>
      </c>
      <c r="G129" s="3">
        <v>31</v>
      </c>
      <c r="H129" s="3" t="s">
        <v>17</v>
      </c>
      <c r="I129" s="23">
        <v>4.0900001525878897</v>
      </c>
      <c r="J129" s="4">
        <v>1676.5</v>
      </c>
      <c r="K129" s="4">
        <v>18541.27</v>
      </c>
      <c r="L129" s="4">
        <v>118992465607</v>
      </c>
      <c r="M129" s="3">
        <v>-10.01</v>
      </c>
    </row>
    <row r="130" spans="1:13" x14ac:dyDescent="0.25">
      <c r="A130" s="3">
        <v>129</v>
      </c>
      <c r="B130" s="3" t="s">
        <v>31</v>
      </c>
      <c r="C130" s="33">
        <v>44874</v>
      </c>
      <c r="D130" s="3" t="s">
        <v>18</v>
      </c>
      <c r="E130" s="3" t="s">
        <v>16</v>
      </c>
      <c r="F130" s="3" t="s">
        <v>23</v>
      </c>
      <c r="G130" s="3">
        <v>29</v>
      </c>
      <c r="H130" s="3" t="s">
        <v>17</v>
      </c>
      <c r="I130" s="23">
        <v>4.0929999351501403</v>
      </c>
      <c r="J130" s="4">
        <v>1712.09997558593</v>
      </c>
      <c r="K130" s="4">
        <v>15880.78</v>
      </c>
      <c r="L130" s="4">
        <v>102905151606</v>
      </c>
      <c r="M130" s="3">
        <v>-14.35</v>
      </c>
    </row>
    <row r="131" spans="1:13" x14ac:dyDescent="0.25">
      <c r="A131" s="3">
        <v>130</v>
      </c>
      <c r="B131" s="3" t="s">
        <v>31</v>
      </c>
      <c r="C131" s="33">
        <v>44875</v>
      </c>
      <c r="D131" s="3" t="s">
        <v>19</v>
      </c>
      <c r="E131" s="3" t="s">
        <v>16</v>
      </c>
      <c r="F131" s="3" t="s">
        <v>14</v>
      </c>
      <c r="G131" s="3">
        <v>22</v>
      </c>
      <c r="H131" s="3" t="s">
        <v>17</v>
      </c>
      <c r="I131" s="23">
        <v>4.0549998283386204</v>
      </c>
      <c r="J131" s="4">
        <v>1710.09997558593</v>
      </c>
      <c r="K131" s="4">
        <v>17586.77</v>
      </c>
      <c r="L131" s="4">
        <v>83202283721</v>
      </c>
      <c r="M131" s="3">
        <v>10.74</v>
      </c>
    </row>
    <row r="132" spans="1:13" x14ac:dyDescent="0.25">
      <c r="A132" s="3">
        <v>131</v>
      </c>
      <c r="B132" s="3" t="s">
        <v>31</v>
      </c>
      <c r="C132" s="33">
        <v>44876</v>
      </c>
      <c r="D132" s="3" t="s">
        <v>20</v>
      </c>
      <c r="E132" s="3" t="s">
        <v>16</v>
      </c>
      <c r="F132" s="3" t="s">
        <v>23</v>
      </c>
      <c r="G132" s="3">
        <v>25</v>
      </c>
      <c r="H132" s="3" t="s">
        <v>17</v>
      </c>
      <c r="I132" s="23">
        <v>4.0630002021789497</v>
      </c>
      <c r="J132" s="4">
        <v>1750.30004882812</v>
      </c>
      <c r="K132" s="4">
        <v>17034.29</v>
      </c>
      <c r="L132" s="4">
        <v>55871616488</v>
      </c>
      <c r="M132" s="3">
        <v>-3.14</v>
      </c>
    </row>
    <row r="133" spans="1:13" x14ac:dyDescent="0.25">
      <c r="A133" s="3">
        <v>132</v>
      </c>
      <c r="B133" s="3" t="s">
        <v>31</v>
      </c>
      <c r="C133" s="33">
        <v>44877</v>
      </c>
      <c r="D133" s="3" t="s">
        <v>21</v>
      </c>
      <c r="E133" s="3" t="s">
        <v>13</v>
      </c>
      <c r="F133" s="3" t="s">
        <v>14</v>
      </c>
      <c r="G133" s="3">
        <v>21</v>
      </c>
      <c r="H133" s="3" t="s">
        <v>17</v>
      </c>
      <c r="I133" s="23">
        <v>4.0630002021789497</v>
      </c>
      <c r="J133" s="4">
        <v>1766</v>
      </c>
      <c r="K133" s="4">
        <v>16799.189999999999</v>
      </c>
      <c r="L133" s="4">
        <v>29717699419</v>
      </c>
      <c r="M133" s="3">
        <v>-1.38</v>
      </c>
    </row>
    <row r="134" spans="1:13" x14ac:dyDescent="0.25">
      <c r="A134" s="3">
        <v>133</v>
      </c>
      <c r="B134" s="3" t="s">
        <v>31</v>
      </c>
      <c r="C134" s="33">
        <v>44878</v>
      </c>
      <c r="D134" s="3" t="s">
        <v>22</v>
      </c>
      <c r="E134" s="3" t="s">
        <v>13</v>
      </c>
      <c r="F134" s="3" t="s">
        <v>14</v>
      </c>
      <c r="G134" s="3">
        <v>22</v>
      </c>
      <c r="H134" s="3" t="s">
        <v>17</v>
      </c>
      <c r="I134" s="23">
        <v>4.0630002021789497</v>
      </c>
      <c r="J134" s="4">
        <v>1750.30004882812</v>
      </c>
      <c r="K134" s="4">
        <v>16353.37</v>
      </c>
      <c r="L134" s="4">
        <v>27209183682</v>
      </c>
      <c r="M134" s="3">
        <v>-2.65</v>
      </c>
    </row>
    <row r="135" spans="1:13" x14ac:dyDescent="0.25">
      <c r="A135" s="3">
        <v>134</v>
      </c>
      <c r="B135" s="3" t="s">
        <v>31</v>
      </c>
      <c r="C135" s="33">
        <v>44879</v>
      </c>
      <c r="D135" s="3" t="s">
        <v>12</v>
      </c>
      <c r="E135" s="3" t="s">
        <v>16</v>
      </c>
      <c r="F135" s="3" t="s">
        <v>14</v>
      </c>
      <c r="G135" s="3">
        <v>24</v>
      </c>
      <c r="H135" s="3" t="s">
        <v>17</v>
      </c>
      <c r="I135" s="23">
        <v>4.0679998397827104</v>
      </c>
      <c r="J135" s="4">
        <v>1766</v>
      </c>
      <c r="K135" s="4">
        <v>16618.2</v>
      </c>
      <c r="L135" s="4">
        <v>49630243054</v>
      </c>
      <c r="M135" s="3">
        <v>1.62</v>
      </c>
    </row>
    <row r="136" spans="1:13" x14ac:dyDescent="0.25">
      <c r="A136" s="3">
        <v>135</v>
      </c>
      <c r="B136" s="3" t="s">
        <v>31</v>
      </c>
      <c r="C136" s="33">
        <v>44880</v>
      </c>
      <c r="D136" s="3" t="s">
        <v>15</v>
      </c>
      <c r="E136" s="3" t="s">
        <v>16</v>
      </c>
      <c r="F136" s="3" t="s">
        <v>14</v>
      </c>
      <c r="G136" s="3">
        <v>22</v>
      </c>
      <c r="H136" s="3" t="s">
        <v>17</v>
      </c>
      <c r="I136" s="23">
        <v>4.13000011444091</v>
      </c>
      <c r="J136" s="4">
        <v>1773.59997558593</v>
      </c>
      <c r="K136" s="4">
        <v>16884.61</v>
      </c>
      <c r="L136" s="4">
        <v>36599436183</v>
      </c>
      <c r="M136" s="3">
        <v>1.6</v>
      </c>
    </row>
    <row r="137" spans="1:13" x14ac:dyDescent="0.25">
      <c r="A137" s="3">
        <v>136</v>
      </c>
      <c r="B137" s="3" t="s">
        <v>31</v>
      </c>
      <c r="C137" s="33">
        <v>44881</v>
      </c>
      <c r="D137" s="3" t="s">
        <v>18</v>
      </c>
      <c r="E137" s="3" t="s">
        <v>16</v>
      </c>
      <c r="F137" s="3" t="s">
        <v>14</v>
      </c>
      <c r="G137" s="3">
        <v>23</v>
      </c>
      <c r="H137" s="3" t="s">
        <v>17</v>
      </c>
      <c r="I137" s="23">
        <v>4.125</v>
      </c>
      <c r="J137" s="4">
        <v>1773.80004882812</v>
      </c>
      <c r="K137" s="4">
        <v>16669.439999999999</v>
      </c>
      <c r="L137" s="4">
        <v>33925512989</v>
      </c>
      <c r="M137" s="3">
        <v>-1.27</v>
      </c>
    </row>
    <row r="138" spans="1:13" x14ac:dyDescent="0.25">
      <c r="A138" s="3">
        <v>137</v>
      </c>
      <c r="B138" s="3" t="s">
        <v>31</v>
      </c>
      <c r="C138" s="33">
        <v>44882</v>
      </c>
      <c r="D138" s="3" t="s">
        <v>19</v>
      </c>
      <c r="E138" s="3" t="s">
        <v>16</v>
      </c>
      <c r="F138" s="3" t="s">
        <v>14</v>
      </c>
      <c r="G138" s="3">
        <v>20</v>
      </c>
      <c r="H138" s="3" t="s">
        <v>17</v>
      </c>
      <c r="I138" s="23">
        <v>4.1129999160766602</v>
      </c>
      <c r="J138" s="4">
        <v>1773</v>
      </c>
      <c r="K138" s="4">
        <v>16687.52</v>
      </c>
      <c r="L138" s="4">
        <v>27868914022</v>
      </c>
      <c r="M138" s="3">
        <v>0.11</v>
      </c>
    </row>
    <row r="139" spans="1:13" x14ac:dyDescent="0.25">
      <c r="A139" s="3">
        <v>138</v>
      </c>
      <c r="B139" s="3" t="s">
        <v>31</v>
      </c>
      <c r="C139" s="33">
        <v>44883</v>
      </c>
      <c r="D139" s="3" t="s">
        <v>20</v>
      </c>
      <c r="E139" s="3" t="s">
        <v>16</v>
      </c>
      <c r="F139" s="3" t="s">
        <v>14</v>
      </c>
      <c r="G139" s="3">
        <v>23</v>
      </c>
      <c r="H139" s="3" t="s">
        <v>17</v>
      </c>
      <c r="I139" s="23">
        <v>4.1350002288818297</v>
      </c>
      <c r="J139" s="4">
        <v>1760.80004882812</v>
      </c>
      <c r="K139" s="4">
        <v>16697.78</v>
      </c>
      <c r="L139" s="4">
        <v>26862218609</v>
      </c>
      <c r="M139" s="3">
        <v>0.06</v>
      </c>
    </row>
    <row r="140" spans="1:13" x14ac:dyDescent="0.25">
      <c r="A140" s="3">
        <v>139</v>
      </c>
      <c r="B140" s="3" t="s">
        <v>31</v>
      </c>
      <c r="C140" s="33">
        <v>44884</v>
      </c>
      <c r="D140" s="3" t="s">
        <v>21</v>
      </c>
      <c r="E140" s="3" t="s">
        <v>13</v>
      </c>
      <c r="F140" s="3" t="s">
        <v>14</v>
      </c>
      <c r="G140" s="3">
        <v>23</v>
      </c>
      <c r="H140" s="3" t="s">
        <v>17</v>
      </c>
      <c r="I140" s="23">
        <v>4.1350002288818297</v>
      </c>
      <c r="J140" s="4">
        <v>1751.90002441406</v>
      </c>
      <c r="K140" s="4">
        <v>16711.55</v>
      </c>
      <c r="L140" s="4">
        <v>16106223492</v>
      </c>
      <c r="M140" s="3">
        <v>0.08</v>
      </c>
    </row>
    <row r="141" spans="1:13" x14ac:dyDescent="0.25">
      <c r="A141" s="3">
        <v>140</v>
      </c>
      <c r="B141" s="3" t="s">
        <v>31</v>
      </c>
      <c r="C141" s="33">
        <v>44885</v>
      </c>
      <c r="D141" s="3" t="s">
        <v>22</v>
      </c>
      <c r="E141" s="3" t="s">
        <v>13</v>
      </c>
      <c r="F141" s="3" t="s">
        <v>14</v>
      </c>
      <c r="G141" s="3">
        <v>24</v>
      </c>
      <c r="H141" s="3" t="s">
        <v>17</v>
      </c>
      <c r="I141" s="23">
        <v>4.1350002288818297</v>
      </c>
      <c r="J141" s="4">
        <v>1760.80004882812</v>
      </c>
      <c r="K141" s="4">
        <v>16291.83</v>
      </c>
      <c r="L141" s="4">
        <v>21313378652</v>
      </c>
      <c r="M141" s="3">
        <v>-2.5099999999999998</v>
      </c>
    </row>
    <row r="142" spans="1:13" x14ac:dyDescent="0.25">
      <c r="A142" s="3">
        <v>141</v>
      </c>
      <c r="B142" s="3" t="s">
        <v>31</v>
      </c>
      <c r="C142" s="33">
        <v>44886</v>
      </c>
      <c r="D142" s="3" t="s">
        <v>12</v>
      </c>
      <c r="E142" s="3" t="s">
        <v>16</v>
      </c>
      <c r="F142" s="3" t="s">
        <v>14</v>
      </c>
      <c r="G142" s="3">
        <v>21</v>
      </c>
      <c r="H142" s="3" t="s">
        <v>17</v>
      </c>
      <c r="I142" s="23">
        <v>4.09800004959106</v>
      </c>
      <c r="J142" s="4">
        <v>1751.90002441406</v>
      </c>
      <c r="K142" s="4">
        <v>15787.28</v>
      </c>
      <c r="L142" s="4">
        <v>37429485518</v>
      </c>
      <c r="M142" s="3">
        <v>-3.1</v>
      </c>
    </row>
    <row r="143" spans="1:13" x14ac:dyDescent="0.25">
      <c r="A143" s="3">
        <v>142</v>
      </c>
      <c r="B143" s="3" t="s">
        <v>31</v>
      </c>
      <c r="C143" s="33">
        <v>44887</v>
      </c>
      <c r="D143" s="3" t="s">
        <v>15</v>
      </c>
      <c r="E143" s="3" t="s">
        <v>16</v>
      </c>
      <c r="F143" s="3" t="s">
        <v>14</v>
      </c>
      <c r="G143" s="3">
        <v>22</v>
      </c>
      <c r="H143" s="3" t="s">
        <v>17</v>
      </c>
      <c r="I143" s="23">
        <v>4.1979999542236301</v>
      </c>
      <c r="J143" s="4">
        <v>1737.40002441406</v>
      </c>
      <c r="K143" s="4">
        <v>16189.77</v>
      </c>
      <c r="L143" s="4">
        <v>30726828760</v>
      </c>
      <c r="M143" s="3">
        <v>2.5499999999999998</v>
      </c>
    </row>
    <row r="144" spans="1:13" x14ac:dyDescent="0.25">
      <c r="A144" s="3">
        <v>143</v>
      </c>
      <c r="B144" s="3" t="s">
        <v>31</v>
      </c>
      <c r="C144" s="33">
        <v>44888</v>
      </c>
      <c r="D144" s="3" t="s">
        <v>18</v>
      </c>
      <c r="E144" s="3" t="s">
        <v>16</v>
      </c>
      <c r="F144" s="3" t="s">
        <v>14</v>
      </c>
      <c r="G144" s="3">
        <v>22</v>
      </c>
      <c r="H144" s="3" t="s">
        <v>17</v>
      </c>
      <c r="I144" s="23">
        <v>4.1999998092651296</v>
      </c>
      <c r="J144" s="4">
        <v>1738.30004882812</v>
      </c>
      <c r="K144" s="4">
        <v>16610.71</v>
      </c>
      <c r="L144" s="4">
        <v>32958875628</v>
      </c>
      <c r="M144" s="3">
        <v>2.6</v>
      </c>
    </row>
    <row r="145" spans="1:13" x14ac:dyDescent="0.25">
      <c r="A145" s="3">
        <v>144</v>
      </c>
      <c r="B145" s="3" t="s">
        <v>31</v>
      </c>
      <c r="C145" s="33">
        <v>44889</v>
      </c>
      <c r="D145" s="3" t="s">
        <v>19</v>
      </c>
      <c r="E145" s="3" t="s">
        <v>16</v>
      </c>
      <c r="F145" s="3" t="s">
        <v>14</v>
      </c>
      <c r="G145" s="3">
        <v>20</v>
      </c>
      <c r="H145" s="3" t="s">
        <v>17</v>
      </c>
      <c r="I145" s="23">
        <v>4.1999998092651296</v>
      </c>
      <c r="J145" s="4">
        <v>1744.90002441406</v>
      </c>
      <c r="K145" s="4">
        <v>16604.46</v>
      </c>
      <c r="L145" s="4">
        <v>26129037414</v>
      </c>
      <c r="M145" s="3">
        <v>-0.04</v>
      </c>
    </row>
    <row r="146" spans="1:13" x14ac:dyDescent="0.25">
      <c r="A146" s="3">
        <v>145</v>
      </c>
      <c r="B146" s="3" t="s">
        <v>31</v>
      </c>
      <c r="C146" s="33">
        <v>44890</v>
      </c>
      <c r="D146" s="3" t="s">
        <v>20</v>
      </c>
      <c r="E146" s="3" t="s">
        <v>16</v>
      </c>
      <c r="F146" s="3" t="s">
        <v>14</v>
      </c>
      <c r="G146" s="3">
        <v>20</v>
      </c>
      <c r="H146" s="3" t="s">
        <v>17</v>
      </c>
      <c r="I146" s="23">
        <v>4.1750001907348597</v>
      </c>
      <c r="J146" s="4">
        <v>1738.30004882812</v>
      </c>
      <c r="K146" s="4">
        <v>16521.84</v>
      </c>
      <c r="L146" s="4">
        <v>18678255976</v>
      </c>
      <c r="M146" s="3">
        <v>-0.5</v>
      </c>
    </row>
    <row r="147" spans="1:13" x14ac:dyDescent="0.25">
      <c r="A147" s="3">
        <v>146</v>
      </c>
      <c r="B147" s="3" t="s">
        <v>31</v>
      </c>
      <c r="C147" s="33">
        <v>44891</v>
      </c>
      <c r="D147" s="3" t="s">
        <v>21</v>
      </c>
      <c r="E147" s="3" t="s">
        <v>13</v>
      </c>
      <c r="F147" s="3" t="s">
        <v>14</v>
      </c>
      <c r="G147" s="3">
        <v>22</v>
      </c>
      <c r="H147" s="3" t="s">
        <v>17</v>
      </c>
      <c r="I147" s="23">
        <v>4.1750001907348597</v>
      </c>
      <c r="J147" s="4">
        <v>1753.30004882812</v>
      </c>
      <c r="K147" s="4">
        <v>16464.28</v>
      </c>
      <c r="L147" s="4">
        <v>18000008764</v>
      </c>
      <c r="M147" s="3">
        <v>-0.35</v>
      </c>
    </row>
    <row r="148" spans="1:13" x14ac:dyDescent="0.25">
      <c r="A148" s="3">
        <v>147</v>
      </c>
      <c r="B148" s="3" t="s">
        <v>31</v>
      </c>
      <c r="C148" s="33">
        <v>44892</v>
      </c>
      <c r="D148" s="3" t="s">
        <v>22</v>
      </c>
      <c r="E148" s="3" t="s">
        <v>13</v>
      </c>
      <c r="F148" s="3" t="s">
        <v>23</v>
      </c>
      <c r="G148" s="3">
        <v>26</v>
      </c>
      <c r="H148" s="3" t="s">
        <v>17</v>
      </c>
      <c r="I148" s="23">
        <v>4.1750001907348597</v>
      </c>
      <c r="J148" s="4">
        <v>1738.30004882812</v>
      </c>
      <c r="K148" s="4">
        <v>16444.63</v>
      </c>
      <c r="L148" s="4">
        <v>20443898509</v>
      </c>
      <c r="M148" s="3">
        <v>-0.12</v>
      </c>
    </row>
    <row r="149" spans="1:13" x14ac:dyDescent="0.25">
      <c r="A149" s="3">
        <v>148</v>
      </c>
      <c r="B149" s="3" t="s">
        <v>31</v>
      </c>
      <c r="C149" s="33">
        <v>44893</v>
      </c>
      <c r="D149" s="3" t="s">
        <v>12</v>
      </c>
      <c r="E149" s="3" t="s">
        <v>16</v>
      </c>
      <c r="F149" s="3" t="s">
        <v>23</v>
      </c>
      <c r="G149" s="3">
        <v>28</v>
      </c>
      <c r="H149" s="3" t="s">
        <v>17</v>
      </c>
      <c r="I149" s="23">
        <v>4.18300008773803</v>
      </c>
      <c r="J149" s="4">
        <v>1753.30004882812</v>
      </c>
      <c r="K149" s="4">
        <v>16217.32</v>
      </c>
      <c r="L149" s="4">
        <v>27743025156</v>
      </c>
      <c r="M149" s="3">
        <v>-1.38</v>
      </c>
    </row>
    <row r="150" spans="1:13" x14ac:dyDescent="0.25">
      <c r="A150" s="3">
        <v>149</v>
      </c>
      <c r="B150" s="3" t="s">
        <v>31</v>
      </c>
      <c r="C150" s="33">
        <v>44894</v>
      </c>
      <c r="D150" s="3" t="s">
        <v>15</v>
      </c>
      <c r="E150" s="3" t="s">
        <v>16</v>
      </c>
      <c r="F150" s="3" t="s">
        <v>23</v>
      </c>
      <c r="G150" s="3">
        <v>26</v>
      </c>
      <c r="H150" s="3" t="s">
        <v>17</v>
      </c>
      <c r="I150" s="23">
        <v>4.2529997825622496</v>
      </c>
      <c r="J150" s="4">
        <v>1740.09997558593</v>
      </c>
      <c r="K150" s="4">
        <v>16444.98</v>
      </c>
      <c r="L150" s="4">
        <v>23581685468</v>
      </c>
      <c r="M150" s="3">
        <v>1.4</v>
      </c>
    </row>
    <row r="151" spans="1:13" x14ac:dyDescent="0.25">
      <c r="A151" s="3">
        <v>150</v>
      </c>
      <c r="B151" s="3" t="s">
        <v>31</v>
      </c>
      <c r="C151" s="33">
        <v>44895</v>
      </c>
      <c r="D151" s="3" t="s">
        <v>18</v>
      </c>
      <c r="E151" s="3" t="s">
        <v>16</v>
      </c>
      <c r="F151" s="3" t="s">
        <v>23</v>
      </c>
      <c r="G151" s="3">
        <v>29</v>
      </c>
      <c r="H151" s="3" t="s">
        <v>17</v>
      </c>
      <c r="I151" s="23">
        <v>4.2529997825622496</v>
      </c>
      <c r="J151" s="4">
        <v>1748.40002441406</v>
      </c>
      <c r="K151" s="4">
        <v>17168.57</v>
      </c>
      <c r="L151" s="4">
        <v>29523576583</v>
      </c>
      <c r="M151" s="3">
        <v>4.4000000000000004</v>
      </c>
    </row>
    <row r="152" spans="1:13" x14ac:dyDescent="0.25">
      <c r="A152" s="3">
        <v>151</v>
      </c>
      <c r="B152" s="3" t="s">
        <v>32</v>
      </c>
      <c r="C152" s="33">
        <v>44896</v>
      </c>
      <c r="D152" s="3" t="s">
        <v>19</v>
      </c>
      <c r="E152" s="3" t="s">
        <v>16</v>
      </c>
      <c r="F152" s="3" t="s">
        <v>23</v>
      </c>
      <c r="G152" s="3">
        <v>27</v>
      </c>
      <c r="H152" s="3" t="s">
        <v>17</v>
      </c>
      <c r="I152" s="23">
        <v>4.1929998397827104</v>
      </c>
      <c r="J152" s="4">
        <v>1746</v>
      </c>
      <c r="K152" s="4">
        <v>16967.13</v>
      </c>
      <c r="L152" s="4">
        <v>22895392882</v>
      </c>
      <c r="M152" s="3">
        <v>-1.17</v>
      </c>
    </row>
    <row r="153" spans="1:13" x14ac:dyDescent="0.25">
      <c r="A153" s="3">
        <v>152</v>
      </c>
      <c r="B153" s="3" t="s">
        <v>32</v>
      </c>
      <c r="C153" s="33">
        <v>44897</v>
      </c>
      <c r="D153" s="3" t="s">
        <v>20</v>
      </c>
      <c r="E153" s="3" t="s">
        <v>16</v>
      </c>
      <c r="F153" s="3" t="s">
        <v>23</v>
      </c>
      <c r="G153" s="3">
        <v>27</v>
      </c>
      <c r="H153" s="3" t="s">
        <v>17</v>
      </c>
      <c r="I153" s="23">
        <v>4.2080001831054599</v>
      </c>
      <c r="J153" s="4">
        <v>1801.09997558593</v>
      </c>
      <c r="K153" s="4">
        <v>17088.66</v>
      </c>
      <c r="L153" s="4">
        <v>19539705127</v>
      </c>
      <c r="M153" s="3">
        <v>0.72</v>
      </c>
    </row>
    <row r="154" spans="1:13" x14ac:dyDescent="0.25">
      <c r="A154" s="3">
        <v>153</v>
      </c>
      <c r="B154" s="3" t="s">
        <v>32</v>
      </c>
      <c r="C154" s="33">
        <v>44898</v>
      </c>
      <c r="D154" s="3" t="s">
        <v>21</v>
      </c>
      <c r="E154" s="3" t="s">
        <v>13</v>
      </c>
      <c r="F154" s="3" t="s">
        <v>23</v>
      </c>
      <c r="G154" s="3">
        <v>27</v>
      </c>
      <c r="H154" s="3" t="s">
        <v>17</v>
      </c>
      <c r="I154" s="23">
        <v>4.2080001831054599</v>
      </c>
      <c r="J154" s="4">
        <v>1795.90002441406</v>
      </c>
      <c r="K154" s="4">
        <v>16908.240000000002</v>
      </c>
      <c r="L154" s="4">
        <v>16217776704</v>
      </c>
      <c r="M154" s="3">
        <v>-1.06</v>
      </c>
    </row>
    <row r="155" spans="1:13" x14ac:dyDescent="0.25">
      <c r="A155" s="3">
        <v>154</v>
      </c>
      <c r="B155" s="3" t="s">
        <v>32</v>
      </c>
      <c r="C155" s="33">
        <v>44899</v>
      </c>
      <c r="D155" s="3" t="s">
        <v>22</v>
      </c>
      <c r="E155" s="3" t="s">
        <v>13</v>
      </c>
      <c r="F155" s="3" t="s">
        <v>23</v>
      </c>
      <c r="G155" s="3">
        <v>26</v>
      </c>
      <c r="H155" s="3" t="s">
        <v>17</v>
      </c>
      <c r="I155" s="23">
        <v>4.2080001831054599</v>
      </c>
      <c r="J155" s="4">
        <v>1801.09997558593</v>
      </c>
      <c r="K155" s="4">
        <v>17130.490000000002</v>
      </c>
      <c r="L155" s="4">
        <v>16824520830</v>
      </c>
      <c r="M155" s="3">
        <v>1.31</v>
      </c>
    </row>
    <row r="156" spans="1:13" x14ac:dyDescent="0.25">
      <c r="A156" s="3">
        <v>155</v>
      </c>
      <c r="B156" s="3" t="s">
        <v>32</v>
      </c>
      <c r="C156" s="33">
        <v>44900</v>
      </c>
      <c r="D156" s="3" t="s">
        <v>12</v>
      </c>
      <c r="E156" s="3" t="s">
        <v>16</v>
      </c>
      <c r="F156" s="3" t="s">
        <v>23</v>
      </c>
      <c r="G156" s="3">
        <v>26</v>
      </c>
      <c r="H156" s="3" t="s">
        <v>17</v>
      </c>
      <c r="I156" s="23">
        <v>4.1579999923706001</v>
      </c>
      <c r="J156" s="4">
        <v>1795.90002441406</v>
      </c>
      <c r="K156" s="4">
        <v>16974.830000000002</v>
      </c>
      <c r="L156" s="4">
        <v>22209086834</v>
      </c>
      <c r="M156" s="3">
        <v>-0.91</v>
      </c>
    </row>
    <row r="157" spans="1:13" x14ac:dyDescent="0.25">
      <c r="A157" s="3">
        <v>156</v>
      </c>
      <c r="B157" s="3" t="s">
        <v>32</v>
      </c>
      <c r="C157" s="33">
        <v>44901</v>
      </c>
      <c r="D157" s="3" t="s">
        <v>15</v>
      </c>
      <c r="E157" s="3" t="s">
        <v>16</v>
      </c>
      <c r="F157" s="3" t="s">
        <v>23</v>
      </c>
      <c r="G157" s="3">
        <v>25</v>
      </c>
      <c r="H157" s="3" t="s">
        <v>17</v>
      </c>
      <c r="I157" s="23">
        <v>4.2199997901916504</v>
      </c>
      <c r="J157" s="4">
        <v>1767.40002441406</v>
      </c>
      <c r="K157" s="4">
        <v>17089.5</v>
      </c>
      <c r="L157" s="4">
        <v>19889922369</v>
      </c>
      <c r="M157" s="3">
        <v>0.68</v>
      </c>
    </row>
    <row r="158" spans="1:13" x14ac:dyDescent="0.25">
      <c r="A158" s="3">
        <v>157</v>
      </c>
      <c r="B158" s="3" t="s">
        <v>32</v>
      </c>
      <c r="C158" s="33">
        <v>44902</v>
      </c>
      <c r="D158" s="3" t="s">
        <v>18</v>
      </c>
      <c r="E158" s="3" t="s">
        <v>16</v>
      </c>
      <c r="F158" s="3" t="s">
        <v>23</v>
      </c>
      <c r="G158" s="3">
        <v>29</v>
      </c>
      <c r="H158" s="3" t="s">
        <v>17</v>
      </c>
      <c r="I158" s="23">
        <v>4.18300008773803</v>
      </c>
      <c r="J158" s="4">
        <v>1769.30004882812</v>
      </c>
      <c r="K158" s="4">
        <v>16848.13</v>
      </c>
      <c r="L158" s="4">
        <v>19675404389</v>
      </c>
      <c r="M158" s="3">
        <v>-1.41</v>
      </c>
    </row>
    <row r="159" spans="1:13" x14ac:dyDescent="0.25">
      <c r="A159" s="3">
        <v>158</v>
      </c>
      <c r="B159" s="3" t="s">
        <v>32</v>
      </c>
      <c r="C159" s="33">
        <v>44903</v>
      </c>
      <c r="D159" s="3" t="s">
        <v>19</v>
      </c>
      <c r="E159" s="3" t="s">
        <v>16</v>
      </c>
      <c r="F159" s="3" t="s">
        <v>23</v>
      </c>
      <c r="G159" s="3">
        <v>25</v>
      </c>
      <c r="H159" s="3" t="s">
        <v>17</v>
      </c>
      <c r="I159" s="23">
        <v>4.1500000953674299</v>
      </c>
      <c r="J159" s="4">
        <v>1785.5</v>
      </c>
      <c r="K159" s="4">
        <v>17233.47</v>
      </c>
      <c r="L159" s="4">
        <v>20496603770</v>
      </c>
      <c r="M159" s="3">
        <v>2.29</v>
      </c>
    </row>
    <row r="160" spans="1:13" x14ac:dyDescent="0.25">
      <c r="A160" s="3">
        <v>159</v>
      </c>
      <c r="B160" s="3" t="s">
        <v>32</v>
      </c>
      <c r="C160" s="33">
        <v>44904</v>
      </c>
      <c r="D160" s="3" t="s">
        <v>20</v>
      </c>
      <c r="E160" s="3" t="s">
        <v>16</v>
      </c>
      <c r="F160" s="3" t="s">
        <v>23</v>
      </c>
      <c r="G160" s="3">
        <v>26</v>
      </c>
      <c r="H160" s="3" t="s">
        <v>17</v>
      </c>
      <c r="I160" s="23">
        <v>4.1729998588562003</v>
      </c>
      <c r="J160" s="4">
        <v>1788.69995117187</v>
      </c>
      <c r="K160" s="4">
        <v>17133.150000000001</v>
      </c>
      <c r="L160" s="4">
        <v>20328426366</v>
      </c>
      <c r="M160" s="3">
        <v>-0.57999999999999996</v>
      </c>
    </row>
    <row r="161" spans="1:13" x14ac:dyDescent="0.25">
      <c r="A161" s="3">
        <v>160</v>
      </c>
      <c r="B161" s="3" t="s">
        <v>32</v>
      </c>
      <c r="C161" s="33">
        <v>44905</v>
      </c>
      <c r="D161" s="3" t="s">
        <v>21</v>
      </c>
      <c r="E161" s="3" t="s">
        <v>13</v>
      </c>
      <c r="F161" s="3" t="s">
        <v>23</v>
      </c>
      <c r="G161" s="3">
        <v>27</v>
      </c>
      <c r="H161" s="3" t="s">
        <v>17</v>
      </c>
      <c r="I161" s="23">
        <v>4.1729998588562003</v>
      </c>
      <c r="J161" s="4">
        <v>1798.09997558593</v>
      </c>
      <c r="K161" s="4">
        <v>17128.72</v>
      </c>
      <c r="L161" s="4">
        <v>12706781969</v>
      </c>
      <c r="M161" s="3">
        <v>-0.03</v>
      </c>
    </row>
    <row r="162" spans="1:13" x14ac:dyDescent="0.25">
      <c r="A162" s="3">
        <v>161</v>
      </c>
      <c r="B162" s="3" t="s">
        <v>32</v>
      </c>
      <c r="C162" s="33">
        <v>44906</v>
      </c>
      <c r="D162" s="3" t="s">
        <v>22</v>
      </c>
      <c r="E162" s="3" t="s">
        <v>13</v>
      </c>
      <c r="F162" s="3" t="s">
        <v>23</v>
      </c>
      <c r="G162" s="3">
        <v>26</v>
      </c>
      <c r="H162" s="3" t="s">
        <v>17</v>
      </c>
      <c r="I162" s="23">
        <v>4.1729998588562003</v>
      </c>
      <c r="J162" s="4">
        <v>1788.69995117187</v>
      </c>
      <c r="K162" s="4">
        <v>17104.189999999999</v>
      </c>
      <c r="L162" s="4">
        <v>14122486832</v>
      </c>
      <c r="M162" s="3">
        <v>-0.14000000000000001</v>
      </c>
    </row>
    <row r="163" spans="1:13" x14ac:dyDescent="0.25">
      <c r="A163" s="3">
        <v>162</v>
      </c>
      <c r="B163" s="3" t="s">
        <v>32</v>
      </c>
      <c r="C163" s="33">
        <v>44907</v>
      </c>
      <c r="D163" s="3" t="s">
        <v>12</v>
      </c>
      <c r="E163" s="3" t="s">
        <v>16</v>
      </c>
      <c r="F163" s="3" t="s">
        <v>23</v>
      </c>
      <c r="G163" s="3">
        <v>27</v>
      </c>
      <c r="H163" s="3">
        <v>4</v>
      </c>
      <c r="I163" s="23">
        <v>4.1680002212524396</v>
      </c>
      <c r="J163" s="4">
        <v>1798.09997558593</v>
      </c>
      <c r="K163" s="4">
        <v>17206.439999999999</v>
      </c>
      <c r="L163" s="4">
        <v>19617581341</v>
      </c>
      <c r="M163" s="3">
        <v>0.6</v>
      </c>
    </row>
    <row r="164" spans="1:13" x14ac:dyDescent="0.25">
      <c r="A164" s="3">
        <v>163</v>
      </c>
      <c r="B164" s="3" t="s">
        <v>32</v>
      </c>
      <c r="C164" s="33">
        <v>44908</v>
      </c>
      <c r="D164" s="3" t="s">
        <v>15</v>
      </c>
      <c r="E164" s="3" t="s">
        <v>16</v>
      </c>
      <c r="F164" s="3" t="s">
        <v>23</v>
      </c>
      <c r="G164" s="3">
        <v>27</v>
      </c>
      <c r="H164" s="3" t="s">
        <v>17</v>
      </c>
      <c r="I164" s="23">
        <v>4.2480001449584899</v>
      </c>
      <c r="J164" s="4">
        <v>1780.5</v>
      </c>
      <c r="K164" s="4">
        <v>17781.32</v>
      </c>
      <c r="L164" s="4">
        <v>26634741631</v>
      </c>
      <c r="M164" s="3">
        <v>3.34</v>
      </c>
    </row>
    <row r="165" spans="1:13" x14ac:dyDescent="0.25">
      <c r="A165" s="3">
        <v>164</v>
      </c>
      <c r="B165" s="3" t="s">
        <v>32</v>
      </c>
      <c r="C165" s="33">
        <v>44909</v>
      </c>
      <c r="D165" s="3" t="s">
        <v>18</v>
      </c>
      <c r="E165" s="3" t="s">
        <v>16</v>
      </c>
      <c r="F165" s="3" t="s">
        <v>23</v>
      </c>
      <c r="G165" s="3">
        <v>30</v>
      </c>
      <c r="H165" s="3" t="s">
        <v>17</v>
      </c>
      <c r="I165" s="23">
        <v>4.2199997901916504</v>
      </c>
      <c r="J165" s="4">
        <v>1813.90002441406</v>
      </c>
      <c r="K165" s="4">
        <v>17815.650000000001</v>
      </c>
      <c r="L165" s="4">
        <v>25534481470</v>
      </c>
      <c r="M165" s="3">
        <v>0.19</v>
      </c>
    </row>
    <row r="166" spans="1:13" x14ac:dyDescent="0.25">
      <c r="A166" s="3">
        <v>165</v>
      </c>
      <c r="B166" s="3" t="s">
        <v>32</v>
      </c>
      <c r="C166" s="33">
        <v>44910</v>
      </c>
      <c r="D166" s="3" t="s">
        <v>19</v>
      </c>
      <c r="E166" s="3" t="s">
        <v>16</v>
      </c>
      <c r="F166" s="3" t="s">
        <v>23</v>
      </c>
      <c r="G166" s="3">
        <v>31</v>
      </c>
      <c r="H166" s="3" t="s">
        <v>17</v>
      </c>
      <c r="I166" s="23">
        <v>4.2129998207092196</v>
      </c>
      <c r="J166" s="4">
        <v>1807.5</v>
      </c>
      <c r="K166" s="4">
        <v>17364.87</v>
      </c>
      <c r="L166" s="4">
        <v>20964448341</v>
      </c>
      <c r="M166" s="3">
        <v>-2.5299999999999998</v>
      </c>
    </row>
    <row r="167" spans="1:13" x14ac:dyDescent="0.25">
      <c r="A167" s="3">
        <v>166</v>
      </c>
      <c r="B167" s="3" t="s">
        <v>32</v>
      </c>
      <c r="C167" s="33">
        <v>44911</v>
      </c>
      <c r="D167" s="3" t="s">
        <v>20</v>
      </c>
      <c r="E167" s="3" t="s">
        <v>16</v>
      </c>
      <c r="F167" s="3" t="s">
        <v>23</v>
      </c>
      <c r="G167" s="3">
        <v>29</v>
      </c>
      <c r="H167" s="3" t="s">
        <v>17</v>
      </c>
      <c r="I167" s="23">
        <v>4.1630001068115199</v>
      </c>
      <c r="J167" s="4">
        <v>1777.19995117187</v>
      </c>
      <c r="K167" s="4">
        <v>16647.48</v>
      </c>
      <c r="L167" s="4">
        <v>24031608960</v>
      </c>
      <c r="M167" s="3">
        <v>-4.13</v>
      </c>
    </row>
    <row r="168" spans="1:13" x14ac:dyDescent="0.25">
      <c r="A168" s="3">
        <v>167</v>
      </c>
      <c r="B168" s="3" t="s">
        <v>32</v>
      </c>
      <c r="C168" s="33">
        <v>44912</v>
      </c>
      <c r="D168" s="3" t="s">
        <v>21</v>
      </c>
      <c r="E168" s="3" t="s">
        <v>13</v>
      </c>
      <c r="F168" s="3" t="s">
        <v>23</v>
      </c>
      <c r="G168" s="3">
        <v>28</v>
      </c>
      <c r="H168" s="3" t="s">
        <v>17</v>
      </c>
      <c r="I168" s="23">
        <v>4.1630001068115199</v>
      </c>
      <c r="J168" s="4">
        <v>1790</v>
      </c>
      <c r="K168" s="4">
        <v>16795.09</v>
      </c>
      <c r="L168" s="4">
        <v>14463581825</v>
      </c>
      <c r="M168" s="3">
        <v>0.89</v>
      </c>
    </row>
    <row r="169" spans="1:13" x14ac:dyDescent="0.25">
      <c r="A169" s="3">
        <v>168</v>
      </c>
      <c r="B169" s="3" t="s">
        <v>32</v>
      </c>
      <c r="C169" s="33">
        <v>44913</v>
      </c>
      <c r="D169" s="3" t="s">
        <v>22</v>
      </c>
      <c r="E169" s="3" t="s">
        <v>13</v>
      </c>
      <c r="F169" s="3" t="s">
        <v>23</v>
      </c>
      <c r="G169" s="3">
        <v>26</v>
      </c>
      <c r="H169" s="3" t="s">
        <v>17</v>
      </c>
      <c r="I169" s="23">
        <v>4.1630001068115199</v>
      </c>
      <c r="J169" s="4">
        <v>1777.19995117187</v>
      </c>
      <c r="K169" s="4">
        <v>16757.98</v>
      </c>
      <c r="L169" s="4">
        <v>10924354698</v>
      </c>
      <c r="M169" s="3">
        <v>-0.22</v>
      </c>
    </row>
    <row r="170" spans="1:13" x14ac:dyDescent="0.25">
      <c r="A170" s="3">
        <v>169</v>
      </c>
      <c r="B170" s="3" t="s">
        <v>32</v>
      </c>
      <c r="C170" s="33">
        <v>44914</v>
      </c>
      <c r="D170" s="3" t="s">
        <v>12</v>
      </c>
      <c r="E170" s="3" t="s">
        <v>16</v>
      </c>
      <c r="F170" s="3" t="s">
        <v>23</v>
      </c>
      <c r="G170" s="3">
        <v>29</v>
      </c>
      <c r="H170" s="3" t="s">
        <v>17</v>
      </c>
      <c r="I170" s="23">
        <v>4.1630001068115199</v>
      </c>
      <c r="J170" s="4">
        <v>1790</v>
      </c>
      <c r="K170" s="4">
        <v>16439.68</v>
      </c>
      <c r="L170" s="4">
        <v>17221074814</v>
      </c>
      <c r="M170" s="3">
        <v>-1.9</v>
      </c>
    </row>
    <row r="171" spans="1:13" x14ac:dyDescent="0.25">
      <c r="A171" s="3">
        <v>170</v>
      </c>
      <c r="B171" s="3" t="s">
        <v>32</v>
      </c>
      <c r="C171" s="33">
        <v>44915</v>
      </c>
      <c r="D171" s="3" t="s">
        <v>15</v>
      </c>
      <c r="E171" s="3" t="s">
        <v>16</v>
      </c>
      <c r="F171" s="3" t="s">
        <v>23</v>
      </c>
      <c r="G171" s="3">
        <v>29</v>
      </c>
      <c r="H171" s="3" t="s">
        <v>17</v>
      </c>
      <c r="I171" s="23">
        <v>4.2300000190734801</v>
      </c>
      <c r="J171" s="4">
        <v>1787.69995117187</v>
      </c>
      <c r="K171" s="4">
        <v>16906.3</v>
      </c>
      <c r="L171" s="4">
        <v>22722096615</v>
      </c>
      <c r="M171" s="3">
        <v>2.84</v>
      </c>
    </row>
    <row r="172" spans="1:13" x14ac:dyDescent="0.25">
      <c r="A172" s="3">
        <v>171</v>
      </c>
      <c r="B172" s="3" t="s">
        <v>32</v>
      </c>
      <c r="C172" s="33">
        <v>44916</v>
      </c>
      <c r="D172" s="3" t="s">
        <v>18</v>
      </c>
      <c r="E172" s="3" t="s">
        <v>16</v>
      </c>
      <c r="F172" s="3" t="s">
        <v>23</v>
      </c>
      <c r="G172" s="3">
        <v>26</v>
      </c>
      <c r="H172" s="3" t="s">
        <v>17</v>
      </c>
      <c r="I172" s="23">
        <v>4.2049999237060502</v>
      </c>
      <c r="J172" s="4">
        <v>1815.90002441406</v>
      </c>
      <c r="K172" s="4">
        <v>16817.54</v>
      </c>
      <c r="L172" s="4">
        <v>14882945045</v>
      </c>
      <c r="M172" s="3">
        <v>-0.53</v>
      </c>
    </row>
    <row r="173" spans="1:13" x14ac:dyDescent="0.25">
      <c r="A173" s="3">
        <v>172</v>
      </c>
      <c r="B173" s="3" t="s">
        <v>32</v>
      </c>
      <c r="C173" s="33">
        <v>44917</v>
      </c>
      <c r="D173" s="3" t="s">
        <v>19</v>
      </c>
      <c r="E173" s="3" t="s">
        <v>16</v>
      </c>
      <c r="F173" s="3" t="s">
        <v>23</v>
      </c>
      <c r="G173" s="3">
        <v>28</v>
      </c>
      <c r="H173" s="3" t="s">
        <v>17</v>
      </c>
      <c r="I173" s="23">
        <v>4.2080001831054599</v>
      </c>
      <c r="J173" s="4">
        <v>1815.90002441406</v>
      </c>
      <c r="K173" s="4">
        <v>16830.34</v>
      </c>
      <c r="L173" s="4">
        <v>16441573050</v>
      </c>
      <c r="M173" s="3">
        <v>0.08</v>
      </c>
    </row>
    <row r="174" spans="1:13" x14ac:dyDescent="0.25">
      <c r="A174" s="3">
        <v>173</v>
      </c>
      <c r="B174" s="3" t="s">
        <v>32</v>
      </c>
      <c r="C174" s="33">
        <v>44918</v>
      </c>
      <c r="D174" s="3" t="s">
        <v>20</v>
      </c>
      <c r="E174" s="3" t="s">
        <v>16</v>
      </c>
      <c r="F174" s="3" t="s">
        <v>23</v>
      </c>
      <c r="G174" s="3">
        <v>27</v>
      </c>
      <c r="H174" s="3" t="s">
        <v>17</v>
      </c>
      <c r="I174" s="23">
        <v>4.1929998397827104</v>
      </c>
      <c r="J174" s="4">
        <v>1787</v>
      </c>
      <c r="K174" s="4">
        <v>16796.95</v>
      </c>
      <c r="L174" s="4">
        <v>15329265213</v>
      </c>
      <c r="M174" s="3">
        <v>-0.2</v>
      </c>
    </row>
    <row r="175" spans="1:13" x14ac:dyDescent="0.25">
      <c r="A175" s="3">
        <v>174</v>
      </c>
      <c r="B175" s="3" t="s">
        <v>32</v>
      </c>
      <c r="C175" s="33">
        <v>44919</v>
      </c>
      <c r="D175" s="3" t="s">
        <v>21</v>
      </c>
      <c r="E175" s="3" t="s">
        <v>13</v>
      </c>
      <c r="F175" s="3" t="s">
        <v>23</v>
      </c>
      <c r="G175" s="3">
        <v>29</v>
      </c>
      <c r="H175" s="3" t="s">
        <v>17</v>
      </c>
      <c r="I175" s="23">
        <v>4.1929998397827104</v>
      </c>
      <c r="J175" s="4">
        <v>1795.90002441406</v>
      </c>
      <c r="K175" s="4">
        <v>16847.759999999998</v>
      </c>
      <c r="L175" s="4">
        <v>9744636213</v>
      </c>
      <c r="M175" s="3">
        <v>0.3</v>
      </c>
    </row>
    <row r="176" spans="1:13" x14ac:dyDescent="0.25">
      <c r="A176" s="3">
        <v>175</v>
      </c>
      <c r="B176" s="3" t="s">
        <v>32</v>
      </c>
      <c r="C176" s="33">
        <v>44920</v>
      </c>
      <c r="D176" s="3" t="s">
        <v>22</v>
      </c>
      <c r="E176" s="3" t="s">
        <v>13</v>
      </c>
      <c r="F176" s="3" t="s">
        <v>23</v>
      </c>
      <c r="G176" s="3">
        <v>29</v>
      </c>
      <c r="H176" s="3" t="s">
        <v>17</v>
      </c>
      <c r="I176" s="23">
        <v>4.1929998397827104</v>
      </c>
      <c r="J176" s="4">
        <v>1787</v>
      </c>
      <c r="K176" s="4">
        <v>16841.990000000002</v>
      </c>
      <c r="L176" s="4">
        <v>11656379938</v>
      </c>
      <c r="M176" s="3">
        <v>-0.03</v>
      </c>
    </row>
    <row r="177" spans="1:13" x14ac:dyDescent="0.25">
      <c r="A177" s="3">
        <v>176</v>
      </c>
      <c r="B177" s="3" t="s">
        <v>32</v>
      </c>
      <c r="C177" s="33">
        <v>44921</v>
      </c>
      <c r="D177" s="3" t="s">
        <v>12</v>
      </c>
      <c r="E177" s="3" t="s">
        <v>16</v>
      </c>
      <c r="F177" s="3" t="s">
        <v>23</v>
      </c>
      <c r="G177" s="3">
        <v>28</v>
      </c>
      <c r="H177" s="3" t="s">
        <v>17</v>
      </c>
      <c r="I177" s="23">
        <v>4.1929998397827104</v>
      </c>
      <c r="J177" s="4">
        <v>1795.90002441406</v>
      </c>
      <c r="K177" s="4">
        <v>16919.8</v>
      </c>
      <c r="L177" s="4">
        <v>11886957804</v>
      </c>
      <c r="M177" s="3">
        <v>0.46</v>
      </c>
    </row>
    <row r="178" spans="1:13" x14ac:dyDescent="0.25">
      <c r="A178" s="3">
        <v>177</v>
      </c>
      <c r="B178" s="3" t="s">
        <v>32</v>
      </c>
      <c r="C178" s="33">
        <v>44922</v>
      </c>
      <c r="D178" s="3" t="s">
        <v>15</v>
      </c>
      <c r="E178" s="3" t="s">
        <v>16</v>
      </c>
      <c r="F178" s="3" t="s">
        <v>23</v>
      </c>
      <c r="G178" s="3">
        <v>27</v>
      </c>
      <c r="H178" s="3" t="s">
        <v>17</v>
      </c>
      <c r="I178" s="23">
        <v>4.1950001716613698</v>
      </c>
      <c r="J178" s="4">
        <v>1787</v>
      </c>
      <c r="K178" s="4">
        <v>16717.169999999998</v>
      </c>
      <c r="L178" s="4">
        <v>15748580239</v>
      </c>
      <c r="M178" s="3">
        <v>-1.2</v>
      </c>
    </row>
    <row r="179" spans="1:13" x14ac:dyDescent="0.25">
      <c r="A179" s="3">
        <v>178</v>
      </c>
      <c r="B179" s="3" t="s">
        <v>32</v>
      </c>
      <c r="C179" s="33">
        <v>44923</v>
      </c>
      <c r="D179" s="3" t="s">
        <v>18</v>
      </c>
      <c r="E179" s="3" t="s">
        <v>16</v>
      </c>
      <c r="F179" s="3" t="s">
        <v>23</v>
      </c>
      <c r="G179" s="3">
        <v>28</v>
      </c>
      <c r="H179" s="3" t="s">
        <v>17</v>
      </c>
      <c r="I179" s="23">
        <v>4.3379998207092196</v>
      </c>
      <c r="J179" s="4">
        <v>1814.80004882812</v>
      </c>
      <c r="K179" s="4">
        <v>16552.57</v>
      </c>
      <c r="L179" s="4">
        <v>17005713920</v>
      </c>
      <c r="M179" s="3">
        <v>-0.98</v>
      </c>
    </row>
    <row r="180" spans="1:13" x14ac:dyDescent="0.25">
      <c r="A180" s="3">
        <v>179</v>
      </c>
      <c r="B180" s="3" t="s">
        <v>32</v>
      </c>
      <c r="C180" s="33">
        <v>44924</v>
      </c>
      <c r="D180" s="3" t="s">
        <v>19</v>
      </c>
      <c r="E180" s="3" t="s">
        <v>16</v>
      </c>
      <c r="F180" s="3" t="s">
        <v>23</v>
      </c>
      <c r="G180" s="3">
        <v>28</v>
      </c>
      <c r="H180" s="3" t="s">
        <v>17</v>
      </c>
      <c r="I180" s="23">
        <v>4.29500007629394</v>
      </c>
      <c r="J180" s="4">
        <v>1807.90002441406</v>
      </c>
      <c r="K180" s="4">
        <v>16642.34</v>
      </c>
      <c r="L180" s="4">
        <v>14472237479</v>
      </c>
      <c r="M180" s="3">
        <v>0.54</v>
      </c>
    </row>
    <row r="181" spans="1:13" x14ac:dyDescent="0.25">
      <c r="A181" s="3">
        <v>180</v>
      </c>
      <c r="B181" s="3" t="s">
        <v>32</v>
      </c>
      <c r="C181" s="33">
        <v>44925</v>
      </c>
      <c r="D181" s="3" t="s">
        <v>20</v>
      </c>
      <c r="E181" s="3" t="s">
        <v>16</v>
      </c>
      <c r="F181" s="3" t="s">
        <v>23</v>
      </c>
      <c r="G181" s="3">
        <v>28</v>
      </c>
      <c r="H181" s="3" t="s">
        <v>17</v>
      </c>
      <c r="I181" s="23">
        <v>4.2600002288818297</v>
      </c>
      <c r="J181" s="4">
        <v>1819.5</v>
      </c>
      <c r="K181" s="4">
        <v>16602.59</v>
      </c>
      <c r="L181" s="4">
        <v>15929162910</v>
      </c>
      <c r="M181" s="3">
        <v>-0.24</v>
      </c>
    </row>
    <row r="182" spans="1:13" x14ac:dyDescent="0.25">
      <c r="A182" s="3">
        <v>181</v>
      </c>
      <c r="B182" s="3" t="s">
        <v>32</v>
      </c>
      <c r="C182" s="33">
        <v>44926</v>
      </c>
      <c r="D182" s="3" t="s">
        <v>21</v>
      </c>
      <c r="E182" s="3" t="s">
        <v>13</v>
      </c>
      <c r="F182" s="3" t="s">
        <v>23</v>
      </c>
      <c r="G182" s="3">
        <v>25</v>
      </c>
      <c r="H182" s="3" t="s">
        <v>17</v>
      </c>
      <c r="I182" s="23">
        <v>4.2600002288818297</v>
      </c>
      <c r="J182" s="4">
        <v>1819.69995117187</v>
      </c>
      <c r="K182" s="4">
        <v>16547.5</v>
      </c>
      <c r="L182" s="4">
        <v>11239186456</v>
      </c>
      <c r="M182" s="3">
        <v>-0.33</v>
      </c>
    </row>
    <row r="183" spans="1:13" x14ac:dyDescent="0.25">
      <c r="A183" s="3">
        <v>182</v>
      </c>
      <c r="B183" s="3" t="s">
        <v>33</v>
      </c>
      <c r="C183" s="33">
        <v>44927</v>
      </c>
      <c r="D183" s="3" t="s">
        <v>22</v>
      </c>
      <c r="E183" s="3" t="s">
        <v>13</v>
      </c>
      <c r="F183" s="3" t="s">
        <v>23</v>
      </c>
      <c r="G183" s="3">
        <v>26</v>
      </c>
      <c r="H183" s="3" t="s">
        <v>17</v>
      </c>
      <c r="I183" s="23">
        <v>4.2600002288818297</v>
      </c>
      <c r="J183" s="4">
        <v>1819.5</v>
      </c>
      <c r="K183" s="4">
        <v>16625.080000000002</v>
      </c>
      <c r="L183" s="4">
        <v>9244361700</v>
      </c>
      <c r="M183" s="3">
        <v>0.47</v>
      </c>
    </row>
    <row r="184" spans="1:13" x14ac:dyDescent="0.25">
      <c r="A184" s="3">
        <v>183</v>
      </c>
      <c r="B184" s="3" t="s">
        <v>33</v>
      </c>
      <c r="C184" s="33">
        <v>44928</v>
      </c>
      <c r="D184" s="3" t="s">
        <v>12</v>
      </c>
      <c r="E184" s="3" t="s">
        <v>16</v>
      </c>
      <c r="F184" s="3" t="s">
        <v>23</v>
      </c>
      <c r="G184" s="3">
        <v>27</v>
      </c>
      <c r="H184" s="3" t="s">
        <v>17</v>
      </c>
      <c r="I184" s="23">
        <v>4.2600002288818297</v>
      </c>
      <c r="J184" s="4">
        <v>1819.69995117187</v>
      </c>
      <c r="K184" s="4">
        <v>16688.47</v>
      </c>
      <c r="L184" s="4">
        <v>12097775227</v>
      </c>
      <c r="M184" s="3">
        <v>0.38</v>
      </c>
    </row>
    <row r="185" spans="1:13" x14ac:dyDescent="0.25">
      <c r="A185" s="3">
        <v>184</v>
      </c>
      <c r="B185" s="3" t="s">
        <v>33</v>
      </c>
      <c r="C185" s="33">
        <v>44929</v>
      </c>
      <c r="D185" s="3" t="s">
        <v>15</v>
      </c>
      <c r="E185" s="3" t="s">
        <v>16</v>
      </c>
      <c r="F185" s="3" t="s">
        <v>23</v>
      </c>
      <c r="G185" s="3">
        <v>26</v>
      </c>
      <c r="H185" s="3" t="s">
        <v>17</v>
      </c>
      <c r="I185" s="23">
        <v>4.25500011444091</v>
      </c>
      <c r="J185" s="4">
        <v>1819.5</v>
      </c>
      <c r="K185" s="4">
        <v>16679.86</v>
      </c>
      <c r="L185" s="4">
        <v>13903079207</v>
      </c>
      <c r="M185" s="3">
        <v>-0.05</v>
      </c>
    </row>
    <row r="186" spans="1:13" x14ac:dyDescent="0.25">
      <c r="A186" s="3">
        <v>185</v>
      </c>
      <c r="B186" s="3" t="s">
        <v>33</v>
      </c>
      <c r="C186" s="33">
        <v>44930</v>
      </c>
      <c r="D186" s="3" t="s">
        <v>18</v>
      </c>
      <c r="E186" s="3" t="s">
        <v>16</v>
      </c>
      <c r="F186" s="3" t="s">
        <v>23</v>
      </c>
      <c r="G186" s="3">
        <v>29</v>
      </c>
      <c r="H186" s="3" t="s">
        <v>17</v>
      </c>
      <c r="I186" s="23">
        <v>4.4000000953674299</v>
      </c>
      <c r="J186" s="4">
        <v>1839.69995117187</v>
      </c>
      <c r="K186" s="4">
        <v>16863.240000000002</v>
      </c>
      <c r="L186" s="4">
        <v>18421743322</v>
      </c>
      <c r="M186" s="3">
        <v>1.1000000000000001</v>
      </c>
    </row>
    <row r="187" spans="1:13" x14ac:dyDescent="0.25">
      <c r="A187" s="3">
        <v>186</v>
      </c>
      <c r="B187" s="3" t="s">
        <v>33</v>
      </c>
      <c r="C187" s="33">
        <v>44931</v>
      </c>
      <c r="D187" s="3" t="s">
        <v>19</v>
      </c>
      <c r="E187" s="3" t="s">
        <v>16</v>
      </c>
      <c r="F187" s="3" t="s">
        <v>23</v>
      </c>
      <c r="G187" s="3">
        <v>29</v>
      </c>
      <c r="H187" s="3" t="s">
        <v>17</v>
      </c>
      <c r="I187" s="23">
        <v>4.4980001449584899</v>
      </c>
      <c r="J187" s="4">
        <v>1852.80004882812</v>
      </c>
      <c r="K187" s="4">
        <v>16836.740000000002</v>
      </c>
      <c r="L187" s="4">
        <v>13692758566</v>
      </c>
      <c r="M187" s="3">
        <v>-0.16</v>
      </c>
    </row>
    <row r="188" spans="1:13" x14ac:dyDescent="0.25">
      <c r="A188" s="3">
        <v>187</v>
      </c>
      <c r="B188" s="3" t="s">
        <v>33</v>
      </c>
      <c r="C188" s="33">
        <v>44932</v>
      </c>
      <c r="D188" s="3" t="s">
        <v>20</v>
      </c>
      <c r="E188" s="3" t="s">
        <v>16</v>
      </c>
      <c r="F188" s="3" t="s">
        <v>23</v>
      </c>
      <c r="G188" s="3">
        <v>26</v>
      </c>
      <c r="H188" s="3" t="s">
        <v>17</v>
      </c>
      <c r="I188" s="23">
        <v>4.4930000305175701</v>
      </c>
      <c r="J188" s="4">
        <v>1834.80004882812</v>
      </c>
      <c r="K188" s="4">
        <v>16951.97</v>
      </c>
      <c r="L188" s="4">
        <v>14413662913</v>
      </c>
      <c r="M188" s="3">
        <v>0.68</v>
      </c>
    </row>
    <row r="189" spans="1:13" x14ac:dyDescent="0.25">
      <c r="A189" s="3">
        <v>188</v>
      </c>
      <c r="B189" s="3" t="s">
        <v>33</v>
      </c>
      <c r="C189" s="33">
        <v>44933</v>
      </c>
      <c r="D189" s="3" t="s">
        <v>21</v>
      </c>
      <c r="E189" s="3" t="s">
        <v>13</v>
      </c>
      <c r="F189" s="3" t="s">
        <v>23</v>
      </c>
      <c r="G189" s="3">
        <v>25</v>
      </c>
      <c r="H189" s="3" t="s">
        <v>17</v>
      </c>
      <c r="I189" s="23">
        <v>4.4930000305175701</v>
      </c>
      <c r="J189" s="4">
        <v>1864.19995117187</v>
      </c>
      <c r="K189" s="4">
        <v>16955.080000000002</v>
      </c>
      <c r="L189" s="4">
        <v>7714767174</v>
      </c>
      <c r="M189" s="3">
        <v>0.02</v>
      </c>
    </row>
    <row r="190" spans="1:13" x14ac:dyDescent="0.25">
      <c r="A190" s="3">
        <v>189</v>
      </c>
      <c r="B190" s="3" t="s">
        <v>33</v>
      </c>
      <c r="C190" s="33">
        <v>44934</v>
      </c>
      <c r="D190" s="3" t="s">
        <v>22</v>
      </c>
      <c r="E190" s="3" t="s">
        <v>13</v>
      </c>
      <c r="F190" s="3" t="s">
        <v>23</v>
      </c>
      <c r="G190" s="3">
        <v>25</v>
      </c>
      <c r="H190" s="3" t="s">
        <v>17</v>
      </c>
      <c r="I190" s="23">
        <v>4.4930000305175701</v>
      </c>
      <c r="J190" s="4">
        <v>1834.80004882812</v>
      </c>
      <c r="K190" s="4">
        <v>17091.14</v>
      </c>
      <c r="L190" s="4">
        <v>9768827914</v>
      </c>
      <c r="M190" s="3">
        <v>0.8</v>
      </c>
    </row>
    <row r="191" spans="1:13" x14ac:dyDescent="0.25">
      <c r="A191" s="3">
        <v>190</v>
      </c>
      <c r="B191" s="3" t="s">
        <v>33</v>
      </c>
      <c r="C191" s="33">
        <v>44935</v>
      </c>
      <c r="D191" s="3" t="s">
        <v>12</v>
      </c>
      <c r="E191" s="3" t="s">
        <v>16</v>
      </c>
      <c r="F191" s="3" t="s">
        <v>23</v>
      </c>
      <c r="G191" s="3">
        <v>25</v>
      </c>
      <c r="H191" s="3" t="s">
        <v>17</v>
      </c>
      <c r="I191" s="23">
        <v>4.4829998016357404</v>
      </c>
      <c r="J191" s="4">
        <v>1864.19995117187</v>
      </c>
      <c r="K191" s="4">
        <v>17196.55</v>
      </c>
      <c r="L191" s="4">
        <v>18624736866</v>
      </c>
      <c r="M191" s="3">
        <v>0.62</v>
      </c>
    </row>
    <row r="192" spans="1:13" x14ac:dyDescent="0.25">
      <c r="A192" s="3">
        <v>191</v>
      </c>
      <c r="B192" s="3" t="s">
        <v>33</v>
      </c>
      <c r="C192" s="33">
        <v>44936</v>
      </c>
      <c r="D192" s="3" t="s">
        <v>15</v>
      </c>
      <c r="E192" s="3" t="s">
        <v>16</v>
      </c>
      <c r="F192" s="3" t="s">
        <v>23</v>
      </c>
      <c r="G192" s="3">
        <v>26</v>
      </c>
      <c r="H192" s="3" t="s">
        <v>17</v>
      </c>
      <c r="I192" s="23">
        <v>4.5650000572204501</v>
      </c>
      <c r="J192" s="4">
        <v>1872.69995117187</v>
      </c>
      <c r="K192" s="4">
        <v>17446.29</v>
      </c>
      <c r="L192" s="4">
        <v>15808338949</v>
      </c>
      <c r="M192" s="3">
        <v>1.45</v>
      </c>
    </row>
    <row r="193" spans="1:13" x14ac:dyDescent="0.25">
      <c r="A193" s="3">
        <v>192</v>
      </c>
      <c r="B193" s="3" t="s">
        <v>33</v>
      </c>
      <c r="C193" s="33">
        <v>44937</v>
      </c>
      <c r="D193" s="3" t="s">
        <v>18</v>
      </c>
      <c r="E193" s="3" t="s">
        <v>16</v>
      </c>
      <c r="F193" s="3" t="s">
        <v>23</v>
      </c>
      <c r="G193" s="3">
        <v>26</v>
      </c>
      <c r="H193" s="3" t="s">
        <v>17</v>
      </c>
      <c r="I193" s="23">
        <v>4.5549998283386204</v>
      </c>
      <c r="J193" s="4">
        <v>1871.59997558593</v>
      </c>
      <c r="K193" s="4">
        <v>17934.900000000001</v>
      </c>
      <c r="L193" s="4">
        <v>18372283782</v>
      </c>
      <c r="M193" s="3">
        <v>2.8</v>
      </c>
    </row>
    <row r="194" spans="1:13" x14ac:dyDescent="0.25">
      <c r="A194" s="3">
        <v>193</v>
      </c>
      <c r="B194" s="3" t="s">
        <v>33</v>
      </c>
      <c r="C194" s="33">
        <v>44938</v>
      </c>
      <c r="D194" s="3" t="s">
        <v>19</v>
      </c>
      <c r="E194" s="3" t="s">
        <v>16</v>
      </c>
      <c r="F194" s="3" t="s">
        <v>23</v>
      </c>
      <c r="G194" s="3">
        <v>30</v>
      </c>
      <c r="H194" s="3" t="s">
        <v>17</v>
      </c>
      <c r="I194" s="23">
        <v>4.4749999046325604</v>
      </c>
      <c r="J194" s="4">
        <v>1874.59997558593</v>
      </c>
      <c r="K194" s="4">
        <v>18869.59</v>
      </c>
      <c r="L194" s="4">
        <v>34971338710</v>
      </c>
      <c r="M194" s="3">
        <v>5.21</v>
      </c>
    </row>
    <row r="195" spans="1:13" x14ac:dyDescent="0.25">
      <c r="A195" s="3">
        <v>194</v>
      </c>
      <c r="B195" s="3" t="s">
        <v>33</v>
      </c>
      <c r="C195" s="33">
        <v>44939</v>
      </c>
      <c r="D195" s="3" t="s">
        <v>20</v>
      </c>
      <c r="E195" s="3" t="s">
        <v>16</v>
      </c>
      <c r="F195" s="3" t="s">
        <v>23</v>
      </c>
      <c r="G195" s="3">
        <v>31</v>
      </c>
      <c r="H195" s="3" t="s">
        <v>17</v>
      </c>
      <c r="I195" s="23">
        <v>4.4879999160766602</v>
      </c>
      <c r="J195" s="4">
        <v>1895.5</v>
      </c>
      <c r="K195" s="4">
        <v>19909.57</v>
      </c>
      <c r="L195" s="4">
        <v>29225029694</v>
      </c>
      <c r="M195" s="3">
        <v>5.51</v>
      </c>
    </row>
    <row r="196" spans="1:13" x14ac:dyDescent="0.25">
      <c r="A196" s="3">
        <v>195</v>
      </c>
      <c r="B196" s="3" t="s">
        <v>33</v>
      </c>
      <c r="C196" s="33">
        <v>44940</v>
      </c>
      <c r="D196" s="3" t="s">
        <v>21</v>
      </c>
      <c r="E196" s="3" t="s">
        <v>13</v>
      </c>
      <c r="F196" s="3" t="s">
        <v>23</v>
      </c>
      <c r="G196" s="3">
        <v>46</v>
      </c>
      <c r="H196" s="3" t="s">
        <v>17</v>
      </c>
      <c r="I196" s="23">
        <v>4.4879999160766602</v>
      </c>
      <c r="J196" s="4">
        <v>1918.40002441406</v>
      </c>
      <c r="K196" s="4">
        <v>20976.3</v>
      </c>
      <c r="L196" s="4">
        <v>38967784639</v>
      </c>
      <c r="M196" s="3">
        <v>5.36</v>
      </c>
    </row>
    <row r="197" spans="1:13" x14ac:dyDescent="0.25">
      <c r="A197" s="3">
        <v>196</v>
      </c>
      <c r="B197" s="3" t="s">
        <v>33</v>
      </c>
      <c r="C197" s="33">
        <v>44941</v>
      </c>
      <c r="D197" s="3" t="s">
        <v>22</v>
      </c>
      <c r="E197" s="3" t="s">
        <v>13</v>
      </c>
      <c r="F197" s="3" t="s">
        <v>24</v>
      </c>
      <c r="G197" s="3">
        <v>52</v>
      </c>
      <c r="H197" s="3" t="s">
        <v>17</v>
      </c>
      <c r="I197" s="23">
        <v>4.4879999160766602</v>
      </c>
      <c r="J197" s="4">
        <v>1895.5</v>
      </c>
      <c r="K197" s="4">
        <v>20880.8</v>
      </c>
      <c r="L197" s="4">
        <v>19298407543</v>
      </c>
      <c r="M197" s="3">
        <v>-0.46</v>
      </c>
    </row>
    <row r="198" spans="1:13" x14ac:dyDescent="0.25">
      <c r="A198" s="3">
        <v>197</v>
      </c>
      <c r="B198" s="3" t="s">
        <v>33</v>
      </c>
      <c r="C198" s="33">
        <v>44942</v>
      </c>
      <c r="D198" s="3" t="s">
        <v>12</v>
      </c>
      <c r="E198" s="3" t="s">
        <v>16</v>
      </c>
      <c r="F198" s="3" t="s">
        <v>23</v>
      </c>
      <c r="G198" s="3">
        <v>45</v>
      </c>
      <c r="H198" s="3" t="s">
        <v>17</v>
      </c>
      <c r="I198" s="23">
        <v>4.4879999160766602</v>
      </c>
      <c r="J198" s="4">
        <v>1918.40002441406</v>
      </c>
      <c r="K198" s="4">
        <v>21169.63</v>
      </c>
      <c r="L198" s="4">
        <v>26792494050</v>
      </c>
      <c r="M198" s="3">
        <v>1.38</v>
      </c>
    </row>
    <row r="199" spans="1:13" x14ac:dyDescent="0.25">
      <c r="A199" s="3">
        <v>198</v>
      </c>
      <c r="B199" s="3" t="s">
        <v>33</v>
      </c>
      <c r="C199" s="33">
        <v>44943</v>
      </c>
      <c r="D199" s="3" t="s">
        <v>15</v>
      </c>
      <c r="E199" s="3" t="s">
        <v>16</v>
      </c>
      <c r="F199" s="3" t="s">
        <v>24</v>
      </c>
      <c r="G199" s="3">
        <v>51</v>
      </c>
      <c r="H199" s="3" t="s">
        <v>17</v>
      </c>
      <c r="I199" s="23">
        <v>4.4930000305175701</v>
      </c>
      <c r="J199" s="4">
        <v>1895.5</v>
      </c>
      <c r="K199" s="4">
        <v>21161.52</v>
      </c>
      <c r="L199" s="4">
        <v>24999983362</v>
      </c>
      <c r="M199" s="3">
        <v>-0.04</v>
      </c>
    </row>
    <row r="200" spans="1:13" x14ac:dyDescent="0.25">
      <c r="A200" s="3">
        <v>199</v>
      </c>
      <c r="B200" s="3" t="s">
        <v>33</v>
      </c>
      <c r="C200" s="33">
        <v>44944</v>
      </c>
      <c r="D200" s="3" t="s">
        <v>18</v>
      </c>
      <c r="E200" s="3" t="s">
        <v>16</v>
      </c>
      <c r="F200" s="3" t="s">
        <v>24</v>
      </c>
      <c r="G200" s="3">
        <v>52</v>
      </c>
      <c r="H200" s="3" t="s">
        <v>17</v>
      </c>
      <c r="I200" s="23">
        <v>4.5300002098083496</v>
      </c>
      <c r="J200" s="4">
        <v>1907.19995117187</v>
      </c>
      <c r="K200" s="4">
        <v>20688.78</v>
      </c>
      <c r="L200" s="4">
        <v>30005625418</v>
      </c>
      <c r="M200" s="3">
        <v>-2.23</v>
      </c>
    </row>
    <row r="201" spans="1:13" x14ac:dyDescent="0.25">
      <c r="A201" s="3">
        <v>200</v>
      </c>
      <c r="B201" s="3" t="s">
        <v>33</v>
      </c>
      <c r="C201" s="33">
        <v>44945</v>
      </c>
      <c r="D201" s="3" t="s">
        <v>19</v>
      </c>
      <c r="E201" s="3" t="s">
        <v>16</v>
      </c>
      <c r="F201" s="3" t="s">
        <v>23</v>
      </c>
      <c r="G201" s="3">
        <v>45</v>
      </c>
      <c r="H201" s="3" t="s">
        <v>17</v>
      </c>
      <c r="I201" s="23">
        <v>4.5250000953674299</v>
      </c>
      <c r="J201" s="4">
        <v>1904.40002441406</v>
      </c>
      <c r="K201" s="4">
        <v>21086.79</v>
      </c>
      <c r="L201" s="4">
        <v>21152848261</v>
      </c>
      <c r="M201" s="3">
        <v>1.92</v>
      </c>
    </row>
    <row r="202" spans="1:13" x14ac:dyDescent="0.25">
      <c r="A202" s="3">
        <v>201</v>
      </c>
      <c r="B202" s="3" t="s">
        <v>33</v>
      </c>
      <c r="C202" s="33">
        <v>44946</v>
      </c>
      <c r="D202" s="3" t="s">
        <v>20</v>
      </c>
      <c r="E202" s="3" t="s">
        <v>16</v>
      </c>
      <c r="F202" s="3" t="s">
        <v>24</v>
      </c>
      <c r="G202" s="3">
        <v>51</v>
      </c>
      <c r="H202" s="3" t="s">
        <v>17</v>
      </c>
      <c r="I202" s="23">
        <v>4.5380001068115199</v>
      </c>
      <c r="J202" s="4">
        <v>1922.09997558593</v>
      </c>
      <c r="K202" s="4">
        <v>22676.55</v>
      </c>
      <c r="L202" s="4">
        <v>28799154319</v>
      </c>
      <c r="M202" s="3">
        <v>7.54</v>
      </c>
    </row>
    <row r="203" spans="1:13" x14ac:dyDescent="0.25">
      <c r="A203" s="3">
        <v>202</v>
      </c>
      <c r="B203" s="3" t="s">
        <v>33</v>
      </c>
      <c r="C203" s="33">
        <v>44947</v>
      </c>
      <c r="D203" s="3" t="s">
        <v>21</v>
      </c>
      <c r="E203" s="3" t="s">
        <v>13</v>
      </c>
      <c r="F203" s="3" t="s">
        <v>24</v>
      </c>
      <c r="G203" s="3">
        <v>53</v>
      </c>
      <c r="H203" s="3" t="s">
        <v>17</v>
      </c>
      <c r="I203" s="23">
        <v>4.5380001068115199</v>
      </c>
      <c r="J203" s="4">
        <v>1926.40002441406</v>
      </c>
      <c r="K203" s="4">
        <v>22777.63</v>
      </c>
      <c r="L203" s="4">
        <v>32442278429</v>
      </c>
      <c r="M203" s="3">
        <v>0.45</v>
      </c>
    </row>
    <row r="204" spans="1:13" x14ac:dyDescent="0.25">
      <c r="A204" s="3">
        <v>203</v>
      </c>
      <c r="B204" s="3" t="s">
        <v>33</v>
      </c>
      <c r="C204" s="33">
        <v>44948</v>
      </c>
      <c r="D204" s="3" t="s">
        <v>22</v>
      </c>
      <c r="E204" s="3" t="s">
        <v>13</v>
      </c>
      <c r="F204" s="3" t="s">
        <v>24</v>
      </c>
      <c r="G204" s="3">
        <v>53</v>
      </c>
      <c r="H204" s="3" t="s">
        <v>17</v>
      </c>
      <c r="I204" s="23">
        <v>4.5380001068115199</v>
      </c>
      <c r="J204" s="4">
        <v>1922.09997558593</v>
      </c>
      <c r="K204" s="4">
        <v>22720.42</v>
      </c>
      <c r="L204" s="4">
        <v>24746386230</v>
      </c>
      <c r="M204" s="3">
        <v>-0.25</v>
      </c>
    </row>
    <row r="205" spans="1:13" x14ac:dyDescent="0.25">
      <c r="A205" s="3">
        <v>204</v>
      </c>
      <c r="B205" s="3" t="s">
        <v>33</v>
      </c>
      <c r="C205" s="33">
        <v>44949</v>
      </c>
      <c r="D205" s="3" t="s">
        <v>12</v>
      </c>
      <c r="E205" s="3" t="s">
        <v>16</v>
      </c>
      <c r="F205" s="3" t="s">
        <v>24</v>
      </c>
      <c r="G205" s="3">
        <v>50</v>
      </c>
      <c r="H205" s="3" t="s">
        <v>17</v>
      </c>
      <c r="I205" s="23">
        <v>4.5349998474120996</v>
      </c>
      <c r="J205" s="4">
        <v>1926.40002441406</v>
      </c>
      <c r="K205" s="4">
        <v>22934.43</v>
      </c>
      <c r="L205" s="4">
        <v>26518700512</v>
      </c>
      <c r="M205" s="3">
        <v>0.94</v>
      </c>
    </row>
    <row r="206" spans="1:13" x14ac:dyDescent="0.25">
      <c r="A206" s="3">
        <v>205</v>
      </c>
      <c r="B206" s="3" t="s">
        <v>33</v>
      </c>
      <c r="C206" s="33">
        <v>44950</v>
      </c>
      <c r="D206" s="3" t="s">
        <v>15</v>
      </c>
      <c r="E206" s="3" t="s">
        <v>16</v>
      </c>
      <c r="F206" s="3" t="s">
        <v>24</v>
      </c>
      <c r="G206" s="3">
        <v>52</v>
      </c>
      <c r="H206" s="3" t="s">
        <v>17</v>
      </c>
      <c r="I206" s="23">
        <v>4.5729999542236301</v>
      </c>
      <c r="J206" s="4">
        <v>1927.09997558593</v>
      </c>
      <c r="K206" s="4">
        <v>22636.47</v>
      </c>
      <c r="L206" s="4">
        <v>26405069715</v>
      </c>
      <c r="M206" s="3">
        <v>-1.3</v>
      </c>
    </row>
    <row r="207" spans="1:13" x14ac:dyDescent="0.25">
      <c r="A207" s="3">
        <v>206</v>
      </c>
      <c r="B207" s="3" t="s">
        <v>33</v>
      </c>
      <c r="C207" s="33">
        <v>44951</v>
      </c>
      <c r="D207" s="3" t="s">
        <v>18</v>
      </c>
      <c r="E207" s="3" t="s">
        <v>16</v>
      </c>
      <c r="F207" s="3" t="s">
        <v>24</v>
      </c>
      <c r="G207" s="3">
        <v>51</v>
      </c>
      <c r="H207" s="3">
        <v>5</v>
      </c>
      <c r="I207" s="23">
        <v>4.54500007629394</v>
      </c>
      <c r="J207" s="4">
        <v>1933.90002441406</v>
      </c>
      <c r="K207" s="4">
        <v>23117.86</v>
      </c>
      <c r="L207" s="4">
        <v>30685366709</v>
      </c>
      <c r="M207" s="3">
        <v>2.13</v>
      </c>
    </row>
    <row r="208" spans="1:13" x14ac:dyDescent="0.25">
      <c r="A208" s="3">
        <v>207</v>
      </c>
      <c r="B208" s="3" t="s">
        <v>33</v>
      </c>
      <c r="C208" s="33">
        <v>44952</v>
      </c>
      <c r="D208" s="3" t="s">
        <v>19</v>
      </c>
      <c r="E208" s="3" t="s">
        <v>16</v>
      </c>
      <c r="F208" s="3" t="s">
        <v>24</v>
      </c>
      <c r="G208" s="3">
        <v>54</v>
      </c>
      <c r="H208" s="3" t="s">
        <v>17</v>
      </c>
      <c r="I208" s="23">
        <v>4.5430002212524396</v>
      </c>
      <c r="J208" s="4">
        <v>1941.19995117187</v>
      </c>
      <c r="K208" s="4">
        <v>23032.78</v>
      </c>
      <c r="L208" s="4">
        <v>26357839322</v>
      </c>
      <c r="M208" s="3">
        <v>-0.37</v>
      </c>
    </row>
    <row r="209" spans="1:13" x14ac:dyDescent="0.25">
      <c r="A209" s="3">
        <v>208</v>
      </c>
      <c r="B209" s="3" t="s">
        <v>33</v>
      </c>
      <c r="C209" s="33">
        <v>44953</v>
      </c>
      <c r="D209" s="3" t="s">
        <v>20</v>
      </c>
      <c r="E209" s="3" t="s">
        <v>16</v>
      </c>
      <c r="F209" s="3" t="s">
        <v>24</v>
      </c>
      <c r="G209" s="3">
        <v>55</v>
      </c>
      <c r="H209" s="3" t="s">
        <v>17</v>
      </c>
      <c r="I209" s="23">
        <v>4.5479998588562003</v>
      </c>
      <c r="J209" s="4">
        <v>1929.09997558593</v>
      </c>
      <c r="K209" s="4">
        <v>23078.73</v>
      </c>
      <c r="L209" s="4">
        <v>25383335641</v>
      </c>
      <c r="M209" s="3">
        <v>0.2</v>
      </c>
    </row>
    <row r="210" spans="1:13" x14ac:dyDescent="0.25">
      <c r="A210" s="3">
        <v>209</v>
      </c>
      <c r="B210" s="3" t="s">
        <v>33</v>
      </c>
      <c r="C210" s="33">
        <v>44954</v>
      </c>
      <c r="D210" s="3" t="s">
        <v>21</v>
      </c>
      <c r="E210" s="3" t="s">
        <v>13</v>
      </c>
      <c r="F210" s="3" t="s">
        <v>24</v>
      </c>
      <c r="G210" s="3">
        <v>52</v>
      </c>
      <c r="H210" s="3" t="s">
        <v>17</v>
      </c>
      <c r="I210" s="23">
        <v>4.5479998588562003</v>
      </c>
      <c r="J210" s="4">
        <v>1928.59997558593</v>
      </c>
      <c r="K210" s="4">
        <v>23031.09</v>
      </c>
      <c r="L210" s="4">
        <v>14712928379</v>
      </c>
      <c r="M210" s="3">
        <v>-0.21</v>
      </c>
    </row>
    <row r="211" spans="1:13" x14ac:dyDescent="0.25">
      <c r="A211" s="3">
        <v>210</v>
      </c>
      <c r="B211" s="3" t="s">
        <v>33</v>
      </c>
      <c r="C211" s="33">
        <v>44955</v>
      </c>
      <c r="D211" s="3" t="s">
        <v>22</v>
      </c>
      <c r="E211" s="3" t="s">
        <v>13</v>
      </c>
      <c r="F211" s="3" t="s">
        <v>24</v>
      </c>
      <c r="G211" s="3">
        <v>55</v>
      </c>
      <c r="H211" s="3" t="s">
        <v>17</v>
      </c>
      <c r="I211" s="23">
        <v>4.5479998588562003</v>
      </c>
      <c r="J211" s="4">
        <v>1929.09997558593</v>
      </c>
      <c r="K211" s="4">
        <v>23774.57</v>
      </c>
      <c r="L211" s="4">
        <v>27423687259</v>
      </c>
      <c r="M211" s="3">
        <v>3.23</v>
      </c>
    </row>
    <row r="212" spans="1:13" x14ac:dyDescent="0.25">
      <c r="A212" s="3">
        <v>211</v>
      </c>
      <c r="B212" s="3" t="s">
        <v>33</v>
      </c>
      <c r="C212" s="33">
        <v>44956</v>
      </c>
      <c r="D212" s="3" t="s">
        <v>12</v>
      </c>
      <c r="E212" s="3" t="s">
        <v>16</v>
      </c>
      <c r="F212" s="3" t="s">
        <v>24</v>
      </c>
      <c r="G212" s="3">
        <v>61</v>
      </c>
      <c r="H212" s="3" t="s">
        <v>17</v>
      </c>
      <c r="I212" s="23">
        <v>4.5349998474120996</v>
      </c>
      <c r="J212" s="4">
        <v>1928.59997558593</v>
      </c>
      <c r="K212" s="4">
        <v>22840.14</v>
      </c>
      <c r="L212" s="4">
        <v>27205595568</v>
      </c>
      <c r="M212" s="3">
        <v>-3.93</v>
      </c>
    </row>
    <row r="213" spans="1:13" x14ac:dyDescent="0.25">
      <c r="A213" s="3">
        <v>212</v>
      </c>
      <c r="B213" s="3" t="s">
        <v>33</v>
      </c>
      <c r="C213" s="33">
        <v>44957</v>
      </c>
      <c r="D213" s="3" t="s">
        <v>15</v>
      </c>
      <c r="E213" s="3" t="s">
        <v>16</v>
      </c>
      <c r="F213" s="3" t="s">
        <v>24</v>
      </c>
      <c r="G213" s="3">
        <v>51</v>
      </c>
      <c r="H213" s="3" t="s">
        <v>17</v>
      </c>
      <c r="I213" s="23">
        <v>4.5700001716613698</v>
      </c>
      <c r="J213" s="4">
        <v>1922.90002441406</v>
      </c>
      <c r="K213" s="4">
        <v>23139.279999999999</v>
      </c>
      <c r="L213" s="4">
        <v>22837828665</v>
      </c>
      <c r="M213" s="3">
        <v>1.31</v>
      </c>
    </row>
    <row r="214" spans="1:13" x14ac:dyDescent="0.25">
      <c r="A214" s="3">
        <v>213</v>
      </c>
      <c r="B214" s="3" t="s">
        <v>34</v>
      </c>
      <c r="C214" s="33">
        <v>44958</v>
      </c>
      <c r="D214" s="3" t="s">
        <v>18</v>
      </c>
      <c r="E214" s="3" t="s">
        <v>16</v>
      </c>
      <c r="F214" s="3" t="s">
        <v>24</v>
      </c>
      <c r="G214" s="3">
        <v>56</v>
      </c>
      <c r="H214" s="3" t="s">
        <v>17</v>
      </c>
      <c r="I214" s="23">
        <v>4.5199999809265101</v>
      </c>
      <c r="J214" s="4">
        <v>1929.5</v>
      </c>
      <c r="K214" s="4">
        <v>23723.77</v>
      </c>
      <c r="L214" s="4">
        <v>26683255504</v>
      </c>
      <c r="M214" s="3">
        <v>2.5299999999999998</v>
      </c>
    </row>
    <row r="215" spans="1:13" x14ac:dyDescent="0.25">
      <c r="A215" s="3">
        <v>214</v>
      </c>
      <c r="B215" s="3" t="s">
        <v>34</v>
      </c>
      <c r="C215" s="33">
        <v>44959</v>
      </c>
      <c r="D215" s="3" t="s">
        <v>19</v>
      </c>
      <c r="E215" s="3" t="s">
        <v>16</v>
      </c>
      <c r="F215" s="3" t="s">
        <v>24</v>
      </c>
      <c r="G215" s="3">
        <v>60</v>
      </c>
      <c r="H215" s="3" t="s">
        <v>17</v>
      </c>
      <c r="I215" s="23">
        <v>4.5100002288818297</v>
      </c>
      <c r="J215" s="4">
        <v>1927.80004882812</v>
      </c>
      <c r="K215" s="4">
        <v>23471.87</v>
      </c>
      <c r="L215" s="4">
        <v>32066936882</v>
      </c>
      <c r="M215" s="3">
        <v>-1.06</v>
      </c>
    </row>
    <row r="216" spans="1:13" x14ac:dyDescent="0.25">
      <c r="A216" s="3">
        <v>215</v>
      </c>
      <c r="B216" s="3" t="s">
        <v>34</v>
      </c>
      <c r="C216" s="33">
        <v>44960</v>
      </c>
      <c r="D216" s="3" t="s">
        <v>20</v>
      </c>
      <c r="E216" s="3" t="s">
        <v>16</v>
      </c>
      <c r="F216" s="3" t="s">
        <v>24</v>
      </c>
      <c r="G216" s="3">
        <v>60</v>
      </c>
      <c r="H216" s="3" t="s">
        <v>17</v>
      </c>
      <c r="I216" s="23">
        <v>4.5229997634887598</v>
      </c>
      <c r="J216" s="4">
        <v>1916.30004882812</v>
      </c>
      <c r="K216" s="4">
        <v>23449.32</v>
      </c>
      <c r="L216" s="4">
        <v>27083066007</v>
      </c>
      <c r="M216" s="3">
        <v>-0.1</v>
      </c>
    </row>
    <row r="217" spans="1:13" x14ac:dyDescent="0.25">
      <c r="A217" s="3">
        <v>216</v>
      </c>
      <c r="B217" s="3" t="s">
        <v>34</v>
      </c>
      <c r="C217" s="33">
        <v>44961</v>
      </c>
      <c r="D217" s="3" t="s">
        <v>21</v>
      </c>
      <c r="E217" s="3" t="s">
        <v>13</v>
      </c>
      <c r="F217" s="3" t="s">
        <v>24</v>
      </c>
      <c r="G217" s="3">
        <v>58</v>
      </c>
      <c r="H217" s="3" t="s">
        <v>17</v>
      </c>
      <c r="I217" s="23">
        <v>4.5229997634887598</v>
      </c>
      <c r="J217" s="4">
        <v>1862.90002441406</v>
      </c>
      <c r="K217" s="4">
        <v>23331.85</v>
      </c>
      <c r="L217" s="4">
        <v>15639298538</v>
      </c>
      <c r="M217" s="3">
        <v>-0.5</v>
      </c>
    </row>
    <row r="218" spans="1:13" x14ac:dyDescent="0.25">
      <c r="A218" s="3">
        <v>217</v>
      </c>
      <c r="B218" s="3" t="s">
        <v>34</v>
      </c>
      <c r="C218" s="33">
        <v>44962</v>
      </c>
      <c r="D218" s="3" t="s">
        <v>22</v>
      </c>
      <c r="E218" s="3" t="s">
        <v>13</v>
      </c>
      <c r="F218" s="3" t="s">
        <v>24</v>
      </c>
      <c r="G218" s="3">
        <v>58</v>
      </c>
      <c r="H218" s="3" t="s">
        <v>17</v>
      </c>
      <c r="I218" s="23">
        <v>4.5229997634887598</v>
      </c>
      <c r="J218" s="4">
        <v>1916.30004882812</v>
      </c>
      <c r="K218" s="4">
        <v>22955.67</v>
      </c>
      <c r="L218" s="4">
        <v>19564262605</v>
      </c>
      <c r="M218" s="3">
        <v>-1.61</v>
      </c>
    </row>
    <row r="219" spans="1:13" x14ac:dyDescent="0.25">
      <c r="A219" s="3">
        <v>218</v>
      </c>
      <c r="B219" s="3" t="s">
        <v>34</v>
      </c>
      <c r="C219" s="33">
        <v>44963</v>
      </c>
      <c r="D219" s="3" t="s">
        <v>12</v>
      </c>
      <c r="E219" s="3" t="s">
        <v>16</v>
      </c>
      <c r="F219" s="3" t="s">
        <v>24</v>
      </c>
      <c r="G219" s="3">
        <v>56</v>
      </c>
      <c r="H219" s="3" t="s">
        <v>17</v>
      </c>
      <c r="I219" s="23">
        <v>4.5329999923706001</v>
      </c>
      <c r="J219" s="4">
        <v>1862.90002441406</v>
      </c>
      <c r="K219" s="4">
        <v>22760.11</v>
      </c>
      <c r="L219" s="4">
        <v>23825006542</v>
      </c>
      <c r="M219" s="3">
        <v>-0.85</v>
      </c>
    </row>
    <row r="220" spans="1:13" x14ac:dyDescent="0.25">
      <c r="A220" s="3">
        <v>219</v>
      </c>
      <c r="B220" s="3" t="s">
        <v>34</v>
      </c>
      <c r="C220" s="33">
        <v>44964</v>
      </c>
      <c r="D220" s="3" t="s">
        <v>15</v>
      </c>
      <c r="E220" s="3" t="s">
        <v>16</v>
      </c>
      <c r="F220" s="3" t="s">
        <v>24</v>
      </c>
      <c r="G220" s="3">
        <v>54</v>
      </c>
      <c r="H220" s="3" t="s">
        <v>17</v>
      </c>
      <c r="I220" s="23">
        <v>4.5700001716613698</v>
      </c>
      <c r="J220" s="4">
        <v>1866.19995117187</v>
      </c>
      <c r="K220" s="4">
        <v>23264.29</v>
      </c>
      <c r="L220" s="4">
        <v>27187964471</v>
      </c>
      <c r="M220" s="3">
        <v>2.2200000000000002</v>
      </c>
    </row>
    <row r="221" spans="1:13" x14ac:dyDescent="0.25">
      <c r="A221" s="3">
        <v>220</v>
      </c>
      <c r="B221" s="3" t="s">
        <v>34</v>
      </c>
      <c r="C221" s="33">
        <v>44965</v>
      </c>
      <c r="D221" s="3" t="s">
        <v>18</v>
      </c>
      <c r="E221" s="3" t="s">
        <v>16</v>
      </c>
      <c r="F221" s="3" t="s">
        <v>24</v>
      </c>
      <c r="G221" s="3">
        <v>58</v>
      </c>
      <c r="H221" s="3" t="s">
        <v>17</v>
      </c>
      <c r="I221" s="23">
        <v>4.58500003814697</v>
      </c>
      <c r="J221" s="4">
        <v>1871.69995117187</v>
      </c>
      <c r="K221" s="4">
        <v>22939.4</v>
      </c>
      <c r="L221" s="4">
        <v>25371367758</v>
      </c>
      <c r="M221" s="3">
        <v>-1.4</v>
      </c>
    </row>
    <row r="222" spans="1:13" x14ac:dyDescent="0.25">
      <c r="A222" s="3">
        <v>221</v>
      </c>
      <c r="B222" s="3" t="s">
        <v>34</v>
      </c>
      <c r="C222" s="33">
        <v>44966</v>
      </c>
      <c r="D222" s="3" t="s">
        <v>19</v>
      </c>
      <c r="E222" s="3" t="s">
        <v>16</v>
      </c>
      <c r="F222" s="3" t="s">
        <v>24</v>
      </c>
      <c r="G222" s="3">
        <v>55</v>
      </c>
      <c r="H222" s="3" t="s">
        <v>17</v>
      </c>
      <c r="I222" s="23">
        <v>4.6129999160766602</v>
      </c>
      <c r="J222" s="4">
        <v>1877.40002441406</v>
      </c>
      <c r="K222" s="4">
        <v>21819.040000000001</v>
      </c>
      <c r="L222" s="4">
        <v>32572572185</v>
      </c>
      <c r="M222" s="3">
        <v>-4.88</v>
      </c>
    </row>
    <row r="223" spans="1:13" x14ac:dyDescent="0.25">
      <c r="A223" s="3">
        <v>222</v>
      </c>
      <c r="B223" s="3" t="s">
        <v>34</v>
      </c>
      <c r="C223" s="33">
        <v>44967</v>
      </c>
      <c r="D223" s="3" t="s">
        <v>20</v>
      </c>
      <c r="E223" s="3" t="s">
        <v>16</v>
      </c>
      <c r="F223" s="3" t="s">
        <v>23</v>
      </c>
      <c r="G223" s="3">
        <v>48</v>
      </c>
      <c r="H223" s="3" t="s">
        <v>17</v>
      </c>
      <c r="I223" s="23">
        <v>4.6350002288818297</v>
      </c>
      <c r="J223" s="4">
        <v>1866.19995117187</v>
      </c>
      <c r="K223" s="4">
        <v>21651.18</v>
      </c>
      <c r="L223" s="4">
        <v>27078406594</v>
      </c>
      <c r="M223" s="3">
        <v>-0.77</v>
      </c>
    </row>
    <row r="224" spans="1:13" x14ac:dyDescent="0.25">
      <c r="A224" s="3">
        <v>223</v>
      </c>
      <c r="B224" s="3" t="s">
        <v>34</v>
      </c>
      <c r="C224" s="33">
        <v>44968</v>
      </c>
      <c r="D224" s="3" t="s">
        <v>21</v>
      </c>
      <c r="E224" s="3" t="s">
        <v>13</v>
      </c>
      <c r="F224" s="3" t="s">
        <v>23</v>
      </c>
      <c r="G224" s="3">
        <v>49</v>
      </c>
      <c r="H224" s="3" t="s">
        <v>17</v>
      </c>
      <c r="I224" s="23">
        <v>4.6350002288818297</v>
      </c>
      <c r="J224" s="4">
        <v>1862.80004882812</v>
      </c>
      <c r="K224" s="4">
        <v>21870.880000000001</v>
      </c>
      <c r="L224" s="4">
        <v>16356226232</v>
      </c>
      <c r="M224" s="3">
        <v>1.01</v>
      </c>
    </row>
    <row r="225" spans="1:13" x14ac:dyDescent="0.25">
      <c r="A225" s="3">
        <v>224</v>
      </c>
      <c r="B225" s="3" t="s">
        <v>34</v>
      </c>
      <c r="C225" s="33">
        <v>44969</v>
      </c>
      <c r="D225" s="3" t="s">
        <v>22</v>
      </c>
      <c r="E225" s="3" t="s">
        <v>13</v>
      </c>
      <c r="F225" s="3" t="s">
        <v>24</v>
      </c>
      <c r="G225" s="3">
        <v>50</v>
      </c>
      <c r="H225" s="3" t="s">
        <v>17</v>
      </c>
      <c r="I225" s="23">
        <v>4.6350002288818297</v>
      </c>
      <c r="J225" s="4">
        <v>1866.19995117187</v>
      </c>
      <c r="K225" s="4">
        <v>21788.2</v>
      </c>
      <c r="L225" s="4">
        <v>17821046406</v>
      </c>
      <c r="M225" s="3">
        <v>-0.38</v>
      </c>
    </row>
    <row r="226" spans="1:13" x14ac:dyDescent="0.25">
      <c r="A226" s="3">
        <v>225</v>
      </c>
      <c r="B226" s="3" t="s">
        <v>34</v>
      </c>
      <c r="C226" s="33">
        <v>44970</v>
      </c>
      <c r="D226" s="3" t="s">
        <v>12</v>
      </c>
      <c r="E226" s="3" t="s">
        <v>16</v>
      </c>
      <c r="F226" s="3" t="s">
        <v>23</v>
      </c>
      <c r="G226" s="3">
        <v>48</v>
      </c>
      <c r="H226" s="3" t="s">
        <v>17</v>
      </c>
      <c r="I226" s="23">
        <v>4.6449999809265101</v>
      </c>
      <c r="J226" s="4">
        <v>1862.80004882812</v>
      </c>
      <c r="K226" s="4">
        <v>21808.1</v>
      </c>
      <c r="L226" s="4">
        <v>23918742607</v>
      </c>
      <c r="M226" s="3">
        <v>0.09</v>
      </c>
    </row>
    <row r="227" spans="1:13" x14ac:dyDescent="0.25">
      <c r="A227" s="3">
        <v>226</v>
      </c>
      <c r="B227" s="3" t="s">
        <v>34</v>
      </c>
      <c r="C227" s="33">
        <v>44971</v>
      </c>
      <c r="D227" s="3" t="s">
        <v>15</v>
      </c>
      <c r="E227" s="3" t="s">
        <v>16</v>
      </c>
      <c r="F227" s="3" t="s">
        <v>24</v>
      </c>
      <c r="G227" s="3">
        <v>50</v>
      </c>
      <c r="H227" s="3" t="s">
        <v>17</v>
      </c>
      <c r="I227" s="23">
        <v>4.6599998474120996</v>
      </c>
      <c r="J227" s="4">
        <v>1851.90002441406</v>
      </c>
      <c r="K227" s="4">
        <v>22220.799999999999</v>
      </c>
      <c r="L227" s="4">
        <v>26792596581</v>
      </c>
      <c r="M227" s="3">
        <v>1.89</v>
      </c>
    </row>
    <row r="228" spans="1:13" x14ac:dyDescent="0.25">
      <c r="A228" s="3">
        <v>227</v>
      </c>
      <c r="B228" s="3" t="s">
        <v>34</v>
      </c>
      <c r="C228" s="33">
        <v>44972</v>
      </c>
      <c r="D228" s="3" t="s">
        <v>18</v>
      </c>
      <c r="E228" s="3" t="s">
        <v>16</v>
      </c>
      <c r="F228" s="3" t="s">
        <v>24</v>
      </c>
      <c r="G228" s="3">
        <v>53</v>
      </c>
      <c r="H228" s="3" t="s">
        <v>17</v>
      </c>
      <c r="I228" s="23">
        <v>4.6430001258850098</v>
      </c>
      <c r="J228" s="4">
        <v>1854</v>
      </c>
      <c r="K228" s="4">
        <v>24307.84</v>
      </c>
      <c r="L228" s="4">
        <v>32483312909</v>
      </c>
      <c r="M228" s="3">
        <v>9.39</v>
      </c>
    </row>
    <row r="229" spans="1:13" x14ac:dyDescent="0.25">
      <c r="A229" s="3">
        <v>228</v>
      </c>
      <c r="B229" s="3" t="s">
        <v>34</v>
      </c>
      <c r="C229" s="33">
        <v>44973</v>
      </c>
      <c r="D229" s="3" t="s">
        <v>19</v>
      </c>
      <c r="E229" s="3" t="s">
        <v>16</v>
      </c>
      <c r="F229" s="3" t="s">
        <v>24</v>
      </c>
      <c r="G229" s="3">
        <v>62</v>
      </c>
      <c r="H229" s="3" t="s">
        <v>17</v>
      </c>
      <c r="I229" s="23">
        <v>4.6649999618530202</v>
      </c>
      <c r="J229" s="4">
        <v>1834.19995117187</v>
      </c>
      <c r="K229" s="4">
        <v>23623.47</v>
      </c>
      <c r="L229" s="4">
        <v>39316664596</v>
      </c>
      <c r="M229" s="3">
        <v>-2.82</v>
      </c>
    </row>
    <row r="230" spans="1:13" x14ac:dyDescent="0.25">
      <c r="A230" s="3">
        <v>229</v>
      </c>
      <c r="B230" s="3" t="s">
        <v>34</v>
      </c>
      <c r="C230" s="33">
        <v>44974</v>
      </c>
      <c r="D230" s="3" t="s">
        <v>20</v>
      </c>
      <c r="E230" s="3" t="s">
        <v>16</v>
      </c>
      <c r="F230" s="3" t="s">
        <v>24</v>
      </c>
      <c r="G230" s="3">
        <v>61</v>
      </c>
      <c r="H230" s="3" t="s">
        <v>17</v>
      </c>
      <c r="I230" s="23">
        <v>4.6799998283386204</v>
      </c>
      <c r="J230" s="4">
        <v>1842</v>
      </c>
      <c r="K230" s="4">
        <v>24565.599999999999</v>
      </c>
      <c r="L230" s="4">
        <v>41358451255</v>
      </c>
      <c r="M230" s="3">
        <v>3.99</v>
      </c>
    </row>
    <row r="231" spans="1:13" x14ac:dyDescent="0.25">
      <c r="A231" s="3">
        <v>230</v>
      </c>
      <c r="B231" s="3" t="s">
        <v>34</v>
      </c>
      <c r="C231" s="33">
        <v>44975</v>
      </c>
      <c r="D231" s="3" t="s">
        <v>21</v>
      </c>
      <c r="E231" s="3" t="s">
        <v>13</v>
      </c>
      <c r="F231" s="3" t="s">
        <v>24</v>
      </c>
      <c r="G231" s="3">
        <v>60</v>
      </c>
      <c r="H231" s="3" t="s">
        <v>17</v>
      </c>
      <c r="I231" s="23">
        <v>4.6799998283386204</v>
      </c>
      <c r="J231" s="4">
        <v>1840.40002441406</v>
      </c>
      <c r="K231" s="4">
        <v>24641.279999999999</v>
      </c>
      <c r="L231" s="4">
        <v>19625427158</v>
      </c>
      <c r="M231" s="3">
        <v>0.31</v>
      </c>
    </row>
    <row r="232" spans="1:13" x14ac:dyDescent="0.25">
      <c r="A232" s="3">
        <v>231</v>
      </c>
      <c r="B232" s="3" t="s">
        <v>34</v>
      </c>
      <c r="C232" s="33">
        <v>44976</v>
      </c>
      <c r="D232" s="3" t="s">
        <v>22</v>
      </c>
      <c r="E232" s="3" t="s">
        <v>13</v>
      </c>
      <c r="F232" s="3" t="s">
        <v>24</v>
      </c>
      <c r="G232" s="3">
        <v>60</v>
      </c>
      <c r="H232" s="3" t="s">
        <v>17</v>
      </c>
      <c r="I232" s="23">
        <v>4.6799998283386204</v>
      </c>
      <c r="J232" s="4">
        <v>1842</v>
      </c>
      <c r="K232" s="4">
        <v>24327.64</v>
      </c>
      <c r="L232" s="4">
        <v>25555105670</v>
      </c>
      <c r="M232" s="3">
        <v>-1.27</v>
      </c>
    </row>
    <row r="233" spans="1:13" x14ac:dyDescent="0.25">
      <c r="A233" s="3">
        <v>232</v>
      </c>
      <c r="B233" s="3" t="s">
        <v>34</v>
      </c>
      <c r="C233" s="33">
        <v>44977</v>
      </c>
      <c r="D233" s="3" t="s">
        <v>12</v>
      </c>
      <c r="E233" s="3" t="s">
        <v>16</v>
      </c>
      <c r="F233" s="3" t="s">
        <v>24</v>
      </c>
      <c r="G233" s="3">
        <v>58</v>
      </c>
      <c r="H233" s="3" t="s">
        <v>17</v>
      </c>
      <c r="I233" s="23">
        <v>4.6799998283386204</v>
      </c>
      <c r="J233" s="4">
        <v>1840.40002441406</v>
      </c>
      <c r="K233" s="4">
        <v>24829.15</v>
      </c>
      <c r="L233" s="4">
        <v>28987376573</v>
      </c>
      <c r="M233" s="3">
        <v>2.06</v>
      </c>
    </row>
    <row r="234" spans="1:13" x14ac:dyDescent="0.25">
      <c r="A234" s="3">
        <v>233</v>
      </c>
      <c r="B234" s="3" t="s">
        <v>34</v>
      </c>
      <c r="C234" s="33">
        <v>44978</v>
      </c>
      <c r="D234" s="3" t="s">
        <v>15</v>
      </c>
      <c r="E234" s="3" t="s">
        <v>16</v>
      </c>
      <c r="F234" s="3" t="s">
        <v>24</v>
      </c>
      <c r="G234" s="3">
        <v>60</v>
      </c>
      <c r="H234" s="3" t="s">
        <v>17</v>
      </c>
      <c r="I234" s="23">
        <v>4.6880002021789497</v>
      </c>
      <c r="J234" s="4">
        <v>1842</v>
      </c>
      <c r="K234" s="4">
        <v>24436.35</v>
      </c>
      <c r="L234" s="4">
        <v>31252098714</v>
      </c>
      <c r="M234" s="3">
        <v>-1.58</v>
      </c>
    </row>
    <row r="235" spans="1:13" x14ac:dyDescent="0.25">
      <c r="A235" s="3">
        <v>234</v>
      </c>
      <c r="B235" s="3" t="s">
        <v>34</v>
      </c>
      <c r="C235" s="33">
        <v>44979</v>
      </c>
      <c r="D235" s="3" t="s">
        <v>18</v>
      </c>
      <c r="E235" s="3" t="s">
        <v>16</v>
      </c>
      <c r="F235" s="3" t="s">
        <v>24</v>
      </c>
      <c r="G235" s="3">
        <v>59</v>
      </c>
      <c r="H235" s="3" t="s">
        <v>17</v>
      </c>
      <c r="I235" s="23">
        <v>4.6950001716613698</v>
      </c>
      <c r="J235" s="4">
        <v>1833</v>
      </c>
      <c r="K235" s="4">
        <v>24188.84</v>
      </c>
      <c r="L235" s="4">
        <v>30199996781</v>
      </c>
      <c r="M235" s="3">
        <v>-1.01</v>
      </c>
    </row>
    <row r="236" spans="1:13" x14ac:dyDescent="0.25">
      <c r="A236" s="3">
        <v>235</v>
      </c>
      <c r="B236" s="3" t="s">
        <v>34</v>
      </c>
      <c r="C236" s="33">
        <v>44980</v>
      </c>
      <c r="D236" s="3" t="s">
        <v>19</v>
      </c>
      <c r="E236" s="3" t="s">
        <v>16</v>
      </c>
      <c r="F236" s="3" t="s">
        <v>24</v>
      </c>
      <c r="G236" s="3">
        <v>56</v>
      </c>
      <c r="H236" s="3" t="s">
        <v>17</v>
      </c>
      <c r="I236" s="23">
        <v>4.6900000572204501</v>
      </c>
      <c r="J236" s="4">
        <v>1832</v>
      </c>
      <c r="K236" s="4">
        <v>23947.49</v>
      </c>
      <c r="L236" s="4">
        <v>30476264066</v>
      </c>
      <c r="M236" s="3">
        <v>-1</v>
      </c>
    </row>
    <row r="237" spans="1:13" x14ac:dyDescent="0.25">
      <c r="A237" s="3">
        <v>236</v>
      </c>
      <c r="B237" s="3" t="s">
        <v>34</v>
      </c>
      <c r="C237" s="33">
        <v>44981</v>
      </c>
      <c r="D237" s="3" t="s">
        <v>20</v>
      </c>
      <c r="E237" s="3" t="s">
        <v>16</v>
      </c>
      <c r="F237" s="3" t="s">
        <v>24</v>
      </c>
      <c r="G237" s="3">
        <v>53</v>
      </c>
      <c r="H237" s="3" t="s">
        <v>17</v>
      </c>
      <c r="I237" s="23">
        <v>4.7030000686645499</v>
      </c>
      <c r="J237" s="4">
        <v>1818</v>
      </c>
      <c r="K237" s="4">
        <v>23198.13</v>
      </c>
      <c r="L237" s="4">
        <v>26811744928</v>
      </c>
      <c r="M237" s="3">
        <v>-3.13</v>
      </c>
    </row>
    <row r="238" spans="1:13" x14ac:dyDescent="0.25">
      <c r="A238" s="3">
        <v>237</v>
      </c>
      <c r="B238" s="3" t="s">
        <v>34</v>
      </c>
      <c r="C238" s="33">
        <v>44982</v>
      </c>
      <c r="D238" s="3" t="s">
        <v>21</v>
      </c>
      <c r="E238" s="3" t="s">
        <v>13</v>
      </c>
      <c r="F238" s="3" t="s">
        <v>24</v>
      </c>
      <c r="G238" s="3">
        <v>52</v>
      </c>
      <c r="H238" s="3" t="s">
        <v>17</v>
      </c>
      <c r="I238" s="23">
        <v>4.7030000686645499</v>
      </c>
      <c r="J238" s="4">
        <v>1808.80004882812</v>
      </c>
      <c r="K238" s="4">
        <v>23175.38</v>
      </c>
      <c r="L238" s="4">
        <v>16100721565</v>
      </c>
      <c r="M238" s="3">
        <v>-0.1</v>
      </c>
    </row>
    <row r="239" spans="1:13" x14ac:dyDescent="0.25">
      <c r="A239" s="3">
        <v>238</v>
      </c>
      <c r="B239" s="3" t="s">
        <v>34</v>
      </c>
      <c r="C239" s="33">
        <v>44983</v>
      </c>
      <c r="D239" s="3" t="s">
        <v>22</v>
      </c>
      <c r="E239" s="3" t="s">
        <v>13</v>
      </c>
      <c r="F239" s="3" t="s">
        <v>24</v>
      </c>
      <c r="G239" s="3">
        <v>51</v>
      </c>
      <c r="H239" s="3" t="s">
        <v>17</v>
      </c>
      <c r="I239" s="23">
        <v>4.7030000686645499</v>
      </c>
      <c r="J239" s="4">
        <v>1818</v>
      </c>
      <c r="K239" s="4">
        <v>23561.21</v>
      </c>
      <c r="L239" s="4">
        <v>16644534842</v>
      </c>
      <c r="M239" s="3">
        <v>1.66</v>
      </c>
    </row>
    <row r="240" spans="1:13" x14ac:dyDescent="0.25">
      <c r="A240" s="3">
        <v>239</v>
      </c>
      <c r="B240" s="3" t="s">
        <v>34</v>
      </c>
      <c r="C240" s="33">
        <v>44984</v>
      </c>
      <c r="D240" s="3" t="s">
        <v>12</v>
      </c>
      <c r="E240" s="3" t="s">
        <v>16</v>
      </c>
      <c r="F240" s="3" t="s">
        <v>24</v>
      </c>
      <c r="G240" s="3">
        <v>50</v>
      </c>
      <c r="H240" s="3" t="s">
        <v>17</v>
      </c>
      <c r="I240" s="23">
        <v>4.6649999618530202</v>
      </c>
      <c r="J240" s="4">
        <v>1808.80004882812</v>
      </c>
      <c r="K240" s="4">
        <v>23522.87</v>
      </c>
      <c r="L240" s="4">
        <v>22660763494</v>
      </c>
      <c r="M240" s="3">
        <v>-0.16</v>
      </c>
    </row>
    <row r="241" spans="1:13" x14ac:dyDescent="0.25">
      <c r="A241" s="3">
        <v>240</v>
      </c>
      <c r="B241" s="3" t="s">
        <v>34</v>
      </c>
      <c r="C241" s="33">
        <v>44985</v>
      </c>
      <c r="D241" s="3" t="s">
        <v>15</v>
      </c>
      <c r="E241" s="3" t="s">
        <v>16</v>
      </c>
      <c r="F241" s="3" t="s">
        <v>24</v>
      </c>
      <c r="G241" s="3">
        <v>53</v>
      </c>
      <c r="H241" s="3" t="s">
        <v>17</v>
      </c>
      <c r="I241" s="23">
        <v>4.71000003814697</v>
      </c>
      <c r="J241" s="4">
        <v>1817</v>
      </c>
      <c r="K241" s="4">
        <v>23147.35</v>
      </c>
      <c r="L241" s="4">
        <v>20535363434</v>
      </c>
      <c r="M241" s="3">
        <v>-1.6</v>
      </c>
    </row>
    <row r="242" spans="1:13" x14ac:dyDescent="0.25">
      <c r="A242" s="3">
        <v>241</v>
      </c>
      <c r="B242" s="3" t="s">
        <v>35</v>
      </c>
      <c r="C242" s="33">
        <v>44986</v>
      </c>
      <c r="D242" s="3" t="s">
        <v>18</v>
      </c>
      <c r="E242" s="3" t="s">
        <v>16</v>
      </c>
      <c r="F242" s="3" t="s">
        <v>24</v>
      </c>
      <c r="G242" s="3">
        <v>50</v>
      </c>
      <c r="H242" s="3" t="s">
        <v>17</v>
      </c>
      <c r="I242" s="23">
        <v>4.7249999046325604</v>
      </c>
      <c r="J242" s="4">
        <v>1828.90002441406</v>
      </c>
      <c r="K242" s="4">
        <v>23646.55</v>
      </c>
      <c r="L242" s="4">
        <v>24662841200</v>
      </c>
      <c r="M242" s="3">
        <v>2.16</v>
      </c>
    </row>
    <row r="243" spans="1:13" x14ac:dyDescent="0.25">
      <c r="A243" s="3">
        <v>242</v>
      </c>
      <c r="B243" s="3" t="s">
        <v>35</v>
      </c>
      <c r="C243" s="33">
        <v>44987</v>
      </c>
      <c r="D243" s="3" t="s">
        <v>19</v>
      </c>
      <c r="E243" s="3" t="s">
        <v>16</v>
      </c>
      <c r="F243" s="3" t="s">
        <v>24</v>
      </c>
      <c r="G243" s="3">
        <v>51</v>
      </c>
      <c r="H243" s="3" t="s">
        <v>17</v>
      </c>
      <c r="I243" s="23">
        <v>4.72300004959106</v>
      </c>
      <c r="J243" s="4">
        <v>1837.69995117187</v>
      </c>
      <c r="K243" s="4">
        <v>23475.47</v>
      </c>
      <c r="L243" s="4">
        <v>20386398516</v>
      </c>
      <c r="M243" s="3">
        <v>-0.72</v>
      </c>
    </row>
    <row r="244" spans="1:13" x14ac:dyDescent="0.25">
      <c r="A244" s="3">
        <v>243</v>
      </c>
      <c r="B244" s="3" t="s">
        <v>35</v>
      </c>
      <c r="C244" s="33">
        <v>44988</v>
      </c>
      <c r="D244" s="3" t="s">
        <v>20</v>
      </c>
      <c r="E244" s="3" t="s">
        <v>16</v>
      </c>
      <c r="F244" s="3" t="s">
        <v>24</v>
      </c>
      <c r="G244" s="3">
        <v>50</v>
      </c>
      <c r="H244" s="3" t="s">
        <v>17</v>
      </c>
      <c r="I244" s="23">
        <v>4.7179999351501403</v>
      </c>
      <c r="J244" s="4">
        <v>1833.5</v>
      </c>
      <c r="K244" s="4">
        <v>22362.68</v>
      </c>
      <c r="L244" s="4">
        <v>26062404610</v>
      </c>
      <c r="M244" s="3">
        <v>-4.74</v>
      </c>
    </row>
    <row r="245" spans="1:13" x14ac:dyDescent="0.25">
      <c r="A245" s="3">
        <v>244</v>
      </c>
      <c r="B245" s="3" t="s">
        <v>35</v>
      </c>
      <c r="C245" s="33">
        <v>44989</v>
      </c>
      <c r="D245" s="3" t="s">
        <v>21</v>
      </c>
      <c r="E245" s="3" t="s">
        <v>13</v>
      </c>
      <c r="F245" s="3" t="s">
        <v>24</v>
      </c>
      <c r="G245" s="3">
        <v>50</v>
      </c>
      <c r="H245" s="3" t="s">
        <v>17</v>
      </c>
      <c r="I245" s="23">
        <v>4.7179999351501403</v>
      </c>
      <c r="J245" s="4">
        <v>1847.69995117187</v>
      </c>
      <c r="K245" s="4">
        <v>22353.35</v>
      </c>
      <c r="L245" s="4">
        <v>11166012913</v>
      </c>
      <c r="M245" s="3">
        <v>-0.04</v>
      </c>
    </row>
    <row r="246" spans="1:13" x14ac:dyDescent="0.25">
      <c r="A246" s="3">
        <v>245</v>
      </c>
      <c r="B246" s="3" t="s">
        <v>35</v>
      </c>
      <c r="C246" s="33">
        <v>44990</v>
      </c>
      <c r="D246" s="3" t="s">
        <v>22</v>
      </c>
      <c r="E246" s="3" t="s">
        <v>13</v>
      </c>
      <c r="F246" s="3" t="s">
        <v>23</v>
      </c>
      <c r="G246" s="3">
        <v>47</v>
      </c>
      <c r="H246" s="3" t="s">
        <v>17</v>
      </c>
      <c r="I246" s="23">
        <v>4.7179999351501403</v>
      </c>
      <c r="J246" s="4">
        <v>1833.5</v>
      </c>
      <c r="K246" s="4">
        <v>22435.51</v>
      </c>
      <c r="L246" s="4">
        <v>13317001733</v>
      </c>
      <c r="M246" s="3">
        <v>0.37</v>
      </c>
    </row>
    <row r="247" spans="1:13" x14ac:dyDescent="0.25">
      <c r="A247" s="3">
        <v>246</v>
      </c>
      <c r="B247" s="3" t="s">
        <v>35</v>
      </c>
      <c r="C247" s="33">
        <v>44991</v>
      </c>
      <c r="D247" s="3" t="s">
        <v>12</v>
      </c>
      <c r="E247" s="3" t="s">
        <v>16</v>
      </c>
      <c r="F247" s="3" t="s">
        <v>23</v>
      </c>
      <c r="G247" s="3">
        <v>48</v>
      </c>
      <c r="H247" s="3" t="s">
        <v>17</v>
      </c>
      <c r="I247" s="23">
        <v>4.7280001640319798</v>
      </c>
      <c r="J247" s="4">
        <v>1847.69995117187</v>
      </c>
      <c r="K247" s="4">
        <v>22429.759999999998</v>
      </c>
      <c r="L247" s="4">
        <v>17353192895</v>
      </c>
      <c r="M247" s="3">
        <v>-0.03</v>
      </c>
    </row>
    <row r="248" spans="1:13" x14ac:dyDescent="0.25">
      <c r="A248" s="3">
        <v>247</v>
      </c>
      <c r="B248" s="3" t="s">
        <v>35</v>
      </c>
      <c r="C248" s="33">
        <v>44992</v>
      </c>
      <c r="D248" s="3" t="s">
        <v>15</v>
      </c>
      <c r="E248" s="3" t="s">
        <v>16</v>
      </c>
      <c r="F248" s="3" t="s">
        <v>23</v>
      </c>
      <c r="G248" s="3">
        <v>49</v>
      </c>
      <c r="H248" s="3" t="s">
        <v>17</v>
      </c>
      <c r="I248" s="23">
        <v>4.8449997901916504</v>
      </c>
      <c r="J248" s="4">
        <v>1847.90002441406</v>
      </c>
      <c r="K248" s="4">
        <v>22219.77</v>
      </c>
      <c r="L248" s="4">
        <v>22765452204</v>
      </c>
      <c r="M248" s="3">
        <v>-0.94</v>
      </c>
    </row>
    <row r="249" spans="1:13" x14ac:dyDescent="0.25">
      <c r="A249" s="3">
        <v>248</v>
      </c>
      <c r="B249" s="3" t="s">
        <v>35</v>
      </c>
      <c r="C249" s="33">
        <v>44993</v>
      </c>
      <c r="D249" s="3" t="s">
        <v>18</v>
      </c>
      <c r="E249" s="3" t="s">
        <v>16</v>
      </c>
      <c r="F249" s="3" t="s">
        <v>24</v>
      </c>
      <c r="G249" s="3">
        <v>50</v>
      </c>
      <c r="H249" s="3" t="s">
        <v>17</v>
      </c>
      <c r="I249" s="23">
        <v>4.8829998970031703</v>
      </c>
      <c r="J249" s="4">
        <v>1813.90002441406</v>
      </c>
      <c r="K249" s="4">
        <v>21718.080000000002</v>
      </c>
      <c r="L249" s="4">
        <v>22536575684</v>
      </c>
      <c r="M249" s="3">
        <v>-2.2599999999999998</v>
      </c>
    </row>
    <row r="250" spans="1:13" x14ac:dyDescent="0.25">
      <c r="A250" s="3">
        <v>249</v>
      </c>
      <c r="B250" s="3" t="s">
        <v>35</v>
      </c>
      <c r="C250" s="33">
        <v>44994</v>
      </c>
      <c r="D250" s="3" t="s">
        <v>19</v>
      </c>
      <c r="E250" s="3" t="s">
        <v>16</v>
      </c>
      <c r="F250" s="3" t="s">
        <v>23</v>
      </c>
      <c r="G250" s="3">
        <v>44</v>
      </c>
      <c r="H250" s="3" t="s">
        <v>17</v>
      </c>
      <c r="I250" s="23">
        <v>4.84800004959106</v>
      </c>
      <c r="J250" s="4">
        <v>1812.69995117187</v>
      </c>
      <c r="K250" s="4">
        <v>20363.02</v>
      </c>
      <c r="L250" s="4">
        <v>30364664171</v>
      </c>
      <c r="M250" s="3">
        <v>-6.24</v>
      </c>
    </row>
    <row r="251" spans="1:13" x14ac:dyDescent="0.25">
      <c r="A251" s="3">
        <v>250</v>
      </c>
      <c r="B251" s="3" t="s">
        <v>35</v>
      </c>
      <c r="C251" s="33">
        <v>44995</v>
      </c>
      <c r="D251" s="3" t="s">
        <v>20</v>
      </c>
      <c r="E251" s="3" t="s">
        <v>16</v>
      </c>
      <c r="F251" s="3" t="s">
        <v>23</v>
      </c>
      <c r="G251" s="3">
        <v>34</v>
      </c>
      <c r="H251" s="3" t="s">
        <v>17</v>
      </c>
      <c r="I251" s="23">
        <v>4.8029999732971103</v>
      </c>
      <c r="J251" s="4">
        <v>1829.30004882812</v>
      </c>
      <c r="K251" s="4">
        <v>20187.240000000002</v>
      </c>
      <c r="L251" s="4">
        <v>39578257695</v>
      </c>
      <c r="M251" s="3">
        <v>-0.86</v>
      </c>
    </row>
    <row r="252" spans="1:13" x14ac:dyDescent="0.25">
      <c r="A252" s="3">
        <v>251</v>
      </c>
      <c r="B252" s="3" t="s">
        <v>35</v>
      </c>
      <c r="C252" s="33">
        <v>44996</v>
      </c>
      <c r="D252" s="3" t="s">
        <v>21</v>
      </c>
      <c r="E252" s="3" t="s">
        <v>13</v>
      </c>
      <c r="F252" s="3" t="s">
        <v>23</v>
      </c>
      <c r="G252" s="3">
        <v>33</v>
      </c>
      <c r="H252" s="3" t="s">
        <v>17</v>
      </c>
      <c r="I252" s="23">
        <v>4.8029999732971103</v>
      </c>
      <c r="J252" s="4">
        <v>1862</v>
      </c>
      <c r="K252" s="4">
        <v>20632.41</v>
      </c>
      <c r="L252" s="4">
        <v>30180288176</v>
      </c>
      <c r="M252" s="3">
        <v>2.21</v>
      </c>
    </row>
    <row r="253" spans="1:13" x14ac:dyDescent="0.25">
      <c r="A253" s="3">
        <v>252</v>
      </c>
      <c r="B253" s="3" t="s">
        <v>35</v>
      </c>
      <c r="C253" s="33">
        <v>44997</v>
      </c>
      <c r="D253" s="3" t="s">
        <v>22</v>
      </c>
      <c r="E253" s="3" t="s">
        <v>13</v>
      </c>
      <c r="F253" s="3" t="s">
        <v>23</v>
      </c>
      <c r="G253" s="3">
        <v>33</v>
      </c>
      <c r="H253" s="3" t="s">
        <v>17</v>
      </c>
      <c r="I253" s="23">
        <v>4.8029999732971103</v>
      </c>
      <c r="J253" s="4">
        <v>1829.30004882812</v>
      </c>
      <c r="K253" s="4">
        <v>22163.95</v>
      </c>
      <c r="L253" s="4">
        <v>29279035521</v>
      </c>
      <c r="M253" s="3">
        <v>7.42</v>
      </c>
    </row>
    <row r="254" spans="1:13" x14ac:dyDescent="0.25">
      <c r="A254" s="3">
        <v>253</v>
      </c>
      <c r="B254" s="3" t="s">
        <v>35</v>
      </c>
      <c r="C254" s="33">
        <v>44998</v>
      </c>
      <c r="D254" s="3" t="s">
        <v>12</v>
      </c>
      <c r="E254" s="3" t="s">
        <v>16</v>
      </c>
      <c r="F254" s="3" t="s">
        <v>23</v>
      </c>
      <c r="G254" s="3">
        <v>49</v>
      </c>
      <c r="H254" s="3" t="s">
        <v>17</v>
      </c>
      <c r="I254" s="23">
        <v>4.6579999923706001</v>
      </c>
      <c r="J254" s="4">
        <v>1862</v>
      </c>
      <c r="K254" s="4">
        <v>24197.53</v>
      </c>
      <c r="L254" s="4">
        <v>49466362688</v>
      </c>
      <c r="M254" s="3">
        <v>9.18</v>
      </c>
    </row>
    <row r="255" spans="1:13" x14ac:dyDescent="0.25">
      <c r="A255" s="3">
        <v>254</v>
      </c>
      <c r="B255" s="3" t="s">
        <v>35</v>
      </c>
      <c r="C255" s="33">
        <v>44999</v>
      </c>
      <c r="D255" s="3" t="s">
        <v>15</v>
      </c>
      <c r="E255" s="3" t="s">
        <v>16</v>
      </c>
      <c r="F255" s="3" t="s">
        <v>24</v>
      </c>
      <c r="G255" s="3">
        <v>56</v>
      </c>
      <c r="H255" s="3" t="s">
        <v>17</v>
      </c>
      <c r="I255" s="23">
        <v>4.6799998283386204</v>
      </c>
      <c r="J255" s="4">
        <v>1911.69995117187</v>
      </c>
      <c r="K255" s="4">
        <v>24746.07</v>
      </c>
      <c r="L255" s="4">
        <v>54622230164</v>
      </c>
      <c r="M255" s="3">
        <v>2.27</v>
      </c>
    </row>
    <row r="256" spans="1:13" x14ac:dyDescent="0.25">
      <c r="A256" s="3">
        <v>255</v>
      </c>
      <c r="B256" s="3" t="s">
        <v>35</v>
      </c>
      <c r="C256" s="33">
        <v>45000</v>
      </c>
      <c r="D256" s="3" t="s">
        <v>18</v>
      </c>
      <c r="E256" s="3" t="s">
        <v>16</v>
      </c>
      <c r="F256" s="3" t="s">
        <v>24</v>
      </c>
      <c r="G256" s="3">
        <v>50</v>
      </c>
      <c r="H256" s="3" t="s">
        <v>17</v>
      </c>
      <c r="I256" s="23">
        <v>4.55800008773803</v>
      </c>
      <c r="J256" s="4">
        <v>1906.19995117187</v>
      </c>
      <c r="K256" s="4">
        <v>24375.96</v>
      </c>
      <c r="L256" s="4">
        <v>43655701450</v>
      </c>
      <c r="M256" s="3">
        <v>-1.5</v>
      </c>
    </row>
    <row r="257" spans="1:13" x14ac:dyDescent="0.25">
      <c r="A257" s="3">
        <v>256</v>
      </c>
      <c r="B257" s="3" t="s">
        <v>35</v>
      </c>
      <c r="C257" s="33">
        <v>45001</v>
      </c>
      <c r="D257" s="3" t="s">
        <v>19</v>
      </c>
      <c r="E257" s="3" t="s">
        <v>16</v>
      </c>
      <c r="F257" s="3" t="s">
        <v>24</v>
      </c>
      <c r="G257" s="3">
        <v>52</v>
      </c>
      <c r="H257" s="3" t="s">
        <v>17</v>
      </c>
      <c r="I257" s="23">
        <v>4.5300002098083496</v>
      </c>
      <c r="J257" s="4">
        <v>1926.59997558593</v>
      </c>
      <c r="K257" s="4">
        <v>25052.79</v>
      </c>
      <c r="L257" s="4">
        <v>33866061747</v>
      </c>
      <c r="M257" s="3">
        <v>2.78</v>
      </c>
    </row>
    <row r="258" spans="1:13" x14ac:dyDescent="0.25">
      <c r="A258" s="3">
        <v>257</v>
      </c>
      <c r="B258" s="3" t="s">
        <v>35</v>
      </c>
      <c r="C258" s="33">
        <v>45002</v>
      </c>
      <c r="D258" s="3" t="s">
        <v>20</v>
      </c>
      <c r="E258" s="3" t="s">
        <v>16</v>
      </c>
      <c r="F258" s="3" t="s">
        <v>24</v>
      </c>
      <c r="G258" s="3">
        <v>51</v>
      </c>
      <c r="H258" s="3" t="s">
        <v>17</v>
      </c>
      <c r="I258" s="23">
        <v>4.2930002212524396</v>
      </c>
      <c r="J258" s="4">
        <v>1919</v>
      </c>
      <c r="K258" s="4">
        <v>27423.93</v>
      </c>
      <c r="L258" s="4">
        <v>50730261335</v>
      </c>
      <c r="M258" s="3">
        <v>9.4600000000000009</v>
      </c>
    </row>
    <row r="259" spans="1:13" x14ac:dyDescent="0.25">
      <c r="A259" s="3">
        <v>258</v>
      </c>
      <c r="B259" s="3" t="s">
        <v>35</v>
      </c>
      <c r="C259" s="33">
        <v>45003</v>
      </c>
      <c r="D259" s="3" t="s">
        <v>21</v>
      </c>
      <c r="E259" s="3" t="s">
        <v>13</v>
      </c>
      <c r="F259" s="3" t="s">
        <v>24</v>
      </c>
      <c r="G259" s="3">
        <v>64</v>
      </c>
      <c r="H259" s="3" t="s">
        <v>17</v>
      </c>
      <c r="I259" s="23">
        <v>4.2930002212524396</v>
      </c>
      <c r="J259" s="4">
        <v>1969.80004882812</v>
      </c>
      <c r="K259" s="4">
        <v>26965.88</v>
      </c>
      <c r="L259" s="4">
        <v>35723036817</v>
      </c>
      <c r="M259" s="3">
        <v>-1.67</v>
      </c>
    </row>
    <row r="260" spans="1:13" x14ac:dyDescent="0.25">
      <c r="A260" s="3">
        <v>259</v>
      </c>
      <c r="B260" s="3" t="s">
        <v>35</v>
      </c>
      <c r="C260" s="33">
        <v>45004</v>
      </c>
      <c r="D260" s="3" t="s">
        <v>22</v>
      </c>
      <c r="E260" s="3" t="s">
        <v>13</v>
      </c>
      <c r="F260" s="3" t="s">
        <v>24</v>
      </c>
      <c r="G260" s="3">
        <v>63</v>
      </c>
      <c r="H260" s="3" t="s">
        <v>17</v>
      </c>
      <c r="I260" s="23">
        <v>4.2930002212524396</v>
      </c>
      <c r="J260" s="4">
        <v>1919</v>
      </c>
      <c r="K260" s="4">
        <v>28038.68</v>
      </c>
      <c r="L260" s="4">
        <v>37769448859</v>
      </c>
      <c r="M260" s="3">
        <v>3.98</v>
      </c>
    </row>
    <row r="261" spans="1:13" x14ac:dyDescent="0.25">
      <c r="A261" s="3">
        <v>260</v>
      </c>
      <c r="B261" s="3" t="s">
        <v>35</v>
      </c>
      <c r="C261" s="33">
        <v>45005</v>
      </c>
      <c r="D261" s="3" t="s">
        <v>12</v>
      </c>
      <c r="E261" s="3" t="s">
        <v>16</v>
      </c>
      <c r="F261" s="3" t="s">
        <v>24</v>
      </c>
      <c r="G261" s="3">
        <v>66</v>
      </c>
      <c r="H261" s="3" t="s">
        <v>17</v>
      </c>
      <c r="I261" s="23">
        <v>4.4650001525878897</v>
      </c>
      <c r="J261" s="4">
        <v>1969.80004882812</v>
      </c>
      <c r="K261" s="4">
        <v>27767.24</v>
      </c>
      <c r="L261" s="4">
        <v>44774027664</v>
      </c>
      <c r="M261" s="3">
        <v>-0.97</v>
      </c>
    </row>
    <row r="262" spans="1:13" x14ac:dyDescent="0.25">
      <c r="A262" s="3">
        <v>261</v>
      </c>
      <c r="B262" s="3" t="s">
        <v>35</v>
      </c>
      <c r="C262" s="33">
        <v>45006</v>
      </c>
      <c r="D262" s="3" t="s">
        <v>15</v>
      </c>
      <c r="E262" s="3" t="s">
        <v>16</v>
      </c>
      <c r="F262" s="3" t="s">
        <v>24</v>
      </c>
      <c r="G262" s="3">
        <v>68</v>
      </c>
      <c r="H262" s="3" t="s">
        <v>17</v>
      </c>
      <c r="I262" s="23">
        <v>4.6050000190734801</v>
      </c>
      <c r="J262" s="4">
        <v>1979.19995117187</v>
      </c>
      <c r="K262" s="4">
        <v>28175.82</v>
      </c>
      <c r="L262" s="4">
        <v>36102192830</v>
      </c>
      <c r="M262" s="3">
        <v>1.47</v>
      </c>
    </row>
    <row r="263" spans="1:13" x14ac:dyDescent="0.25">
      <c r="A263" s="3">
        <v>262</v>
      </c>
      <c r="B263" s="3" t="s">
        <v>35</v>
      </c>
      <c r="C263" s="33">
        <v>45007</v>
      </c>
      <c r="D263" s="3" t="s">
        <v>18</v>
      </c>
      <c r="E263" s="3" t="s">
        <v>16</v>
      </c>
      <c r="F263" s="3" t="s">
        <v>24</v>
      </c>
      <c r="G263" s="3">
        <v>62</v>
      </c>
      <c r="H263" s="3">
        <v>6</v>
      </c>
      <c r="I263" s="23">
        <v>4.5630002021789497</v>
      </c>
      <c r="J263" s="4">
        <v>1938</v>
      </c>
      <c r="K263" s="4">
        <v>27307.439999999999</v>
      </c>
      <c r="L263" s="4">
        <v>33382021890</v>
      </c>
      <c r="M263" s="3">
        <v>-3.08</v>
      </c>
    </row>
    <row r="264" spans="1:13" x14ac:dyDescent="0.25">
      <c r="A264" s="3">
        <v>263</v>
      </c>
      <c r="B264" s="3" t="s">
        <v>35</v>
      </c>
      <c r="C264" s="33">
        <v>45008</v>
      </c>
      <c r="D264" s="3" t="s">
        <v>19</v>
      </c>
      <c r="E264" s="3" t="s">
        <v>16</v>
      </c>
      <c r="F264" s="3" t="s">
        <v>24</v>
      </c>
      <c r="G264" s="3">
        <v>57</v>
      </c>
      <c r="H264" s="3" t="s">
        <v>17</v>
      </c>
      <c r="I264" s="23">
        <v>4.5029997825622496</v>
      </c>
      <c r="J264" s="4">
        <v>1946.80004882812</v>
      </c>
      <c r="K264" s="4">
        <v>28333.97</v>
      </c>
      <c r="L264" s="4">
        <v>24220433689</v>
      </c>
      <c r="M264" s="3">
        <v>3.76</v>
      </c>
    </row>
    <row r="265" spans="1:13" x14ac:dyDescent="0.25">
      <c r="A265" s="3">
        <v>264</v>
      </c>
      <c r="B265" s="3" t="s">
        <v>35</v>
      </c>
      <c r="C265" s="33">
        <v>45009</v>
      </c>
      <c r="D265" s="3" t="s">
        <v>20</v>
      </c>
      <c r="E265" s="3" t="s">
        <v>16</v>
      </c>
      <c r="F265" s="3" t="s">
        <v>24</v>
      </c>
      <c r="G265" s="3">
        <v>61</v>
      </c>
      <c r="H265" s="3" t="s">
        <v>17</v>
      </c>
      <c r="I265" s="23">
        <v>4.5029997825622496</v>
      </c>
      <c r="J265" s="4">
        <v>1993.80004882812</v>
      </c>
      <c r="K265" s="4">
        <v>27493.29</v>
      </c>
      <c r="L265" s="4">
        <v>25980310960</v>
      </c>
      <c r="M265" s="3">
        <v>-2.97</v>
      </c>
    </row>
    <row r="266" spans="1:13" x14ac:dyDescent="0.25">
      <c r="A266" s="3">
        <v>265</v>
      </c>
      <c r="B266" s="3" t="s">
        <v>35</v>
      </c>
      <c r="C266" s="33">
        <v>45010</v>
      </c>
      <c r="D266" s="3" t="s">
        <v>21</v>
      </c>
      <c r="E266" s="3" t="s">
        <v>13</v>
      </c>
      <c r="F266" s="3" t="s">
        <v>24</v>
      </c>
      <c r="G266" s="3">
        <v>64</v>
      </c>
      <c r="H266" s="3" t="s">
        <v>17</v>
      </c>
      <c r="I266" s="23">
        <v>4.5029997825622496</v>
      </c>
      <c r="J266" s="4">
        <v>1982.09997558593</v>
      </c>
      <c r="K266" s="4">
        <v>27494.71</v>
      </c>
      <c r="L266" s="4">
        <v>13383005987</v>
      </c>
      <c r="M266" s="3">
        <v>0.01</v>
      </c>
    </row>
    <row r="267" spans="1:13" x14ac:dyDescent="0.25">
      <c r="A267" s="3">
        <v>266</v>
      </c>
      <c r="B267" s="3" t="s">
        <v>35</v>
      </c>
      <c r="C267" s="33">
        <v>45011</v>
      </c>
      <c r="D267" s="3" t="s">
        <v>22</v>
      </c>
      <c r="E267" s="3" t="s">
        <v>13</v>
      </c>
      <c r="F267" s="3" t="s">
        <v>24</v>
      </c>
      <c r="G267" s="3">
        <v>64</v>
      </c>
      <c r="H267" s="3" t="s">
        <v>17</v>
      </c>
      <c r="I267" s="23">
        <v>4.5029997825622496</v>
      </c>
      <c r="J267" s="4">
        <v>1993.80004882812</v>
      </c>
      <c r="K267" s="4">
        <v>27994.33</v>
      </c>
      <c r="L267" s="4">
        <v>13878363192</v>
      </c>
      <c r="M267" s="3">
        <v>1.82</v>
      </c>
    </row>
    <row r="268" spans="1:13" x14ac:dyDescent="0.25">
      <c r="A268" s="3">
        <v>267</v>
      </c>
      <c r="B268" s="3" t="s">
        <v>35</v>
      </c>
      <c r="C268" s="33">
        <v>45012</v>
      </c>
      <c r="D268" s="3" t="s">
        <v>12</v>
      </c>
      <c r="E268" s="3" t="s">
        <v>16</v>
      </c>
      <c r="F268" s="3" t="s">
        <v>24</v>
      </c>
      <c r="G268" s="3">
        <v>64</v>
      </c>
      <c r="H268" s="3" t="s">
        <v>17</v>
      </c>
      <c r="I268" s="23">
        <v>4.5830001831054599</v>
      </c>
      <c r="J268" s="4">
        <v>1982.09997558593</v>
      </c>
      <c r="K268" s="4">
        <v>27139.89</v>
      </c>
      <c r="L268" s="4">
        <v>18188895178</v>
      </c>
      <c r="M268" s="3">
        <v>-3.05</v>
      </c>
    </row>
    <row r="269" spans="1:13" x14ac:dyDescent="0.25">
      <c r="A269" s="3">
        <v>268</v>
      </c>
      <c r="B269" s="3" t="s">
        <v>35</v>
      </c>
      <c r="C269" s="33">
        <v>45013</v>
      </c>
      <c r="D269" s="3" t="s">
        <v>15</v>
      </c>
      <c r="E269" s="3" t="s">
        <v>16</v>
      </c>
      <c r="F269" s="3" t="s">
        <v>24</v>
      </c>
      <c r="G269" s="3">
        <v>59</v>
      </c>
      <c r="H269" s="3" t="s">
        <v>17</v>
      </c>
      <c r="I269" s="23">
        <v>4.6279997825622496</v>
      </c>
      <c r="J269" s="4">
        <v>1952.40002441406</v>
      </c>
      <c r="K269" s="4">
        <v>27268.13</v>
      </c>
      <c r="L269" s="4">
        <v>17783600385</v>
      </c>
      <c r="M269" s="3">
        <v>0.47</v>
      </c>
    </row>
    <row r="270" spans="1:13" x14ac:dyDescent="0.25">
      <c r="A270" s="3">
        <v>269</v>
      </c>
      <c r="B270" s="3" t="s">
        <v>35</v>
      </c>
      <c r="C270" s="33">
        <v>45014</v>
      </c>
      <c r="D270" s="3" t="s">
        <v>18</v>
      </c>
      <c r="E270" s="3" t="s">
        <v>16</v>
      </c>
      <c r="F270" s="3" t="s">
        <v>24</v>
      </c>
      <c r="G270" s="3">
        <v>57</v>
      </c>
      <c r="H270" s="3" t="s">
        <v>17</v>
      </c>
      <c r="I270" s="23">
        <v>4.63000011444091</v>
      </c>
      <c r="J270" s="4">
        <v>1972.40002441406</v>
      </c>
      <c r="K270" s="4">
        <v>28348.44</v>
      </c>
      <c r="L270" s="4">
        <v>20684945906</v>
      </c>
      <c r="M270" s="3">
        <v>3.96</v>
      </c>
    </row>
    <row r="271" spans="1:13" x14ac:dyDescent="0.25">
      <c r="A271" s="3">
        <v>270</v>
      </c>
      <c r="B271" s="3" t="s">
        <v>35</v>
      </c>
      <c r="C271" s="33">
        <v>45015</v>
      </c>
      <c r="D271" s="3" t="s">
        <v>19</v>
      </c>
      <c r="E271" s="3" t="s">
        <v>16</v>
      </c>
      <c r="F271" s="3" t="s">
        <v>24</v>
      </c>
      <c r="G271" s="3">
        <v>60</v>
      </c>
      <c r="H271" s="3" t="s">
        <v>17</v>
      </c>
      <c r="I271" s="23">
        <v>4.6649999618530202</v>
      </c>
      <c r="J271" s="4">
        <v>1966.09997558593</v>
      </c>
      <c r="K271" s="4">
        <v>28033.56</v>
      </c>
      <c r="L271" s="4">
        <v>22435349951</v>
      </c>
      <c r="M271" s="3">
        <v>-1.1100000000000001</v>
      </c>
    </row>
    <row r="272" spans="1:13" x14ac:dyDescent="0.25">
      <c r="A272" s="3">
        <v>271</v>
      </c>
      <c r="B272" s="3" t="s">
        <v>35</v>
      </c>
      <c r="C272" s="33">
        <v>45016</v>
      </c>
      <c r="D272" s="3" t="s">
        <v>20</v>
      </c>
      <c r="E272" s="3" t="s">
        <v>16</v>
      </c>
      <c r="F272" s="3" t="s">
        <v>24</v>
      </c>
      <c r="G272" s="3">
        <v>63</v>
      </c>
      <c r="H272" s="3" t="s">
        <v>17</v>
      </c>
      <c r="I272" s="23">
        <v>4.58500003814697</v>
      </c>
      <c r="J272" s="4">
        <v>1980.30004882812</v>
      </c>
      <c r="K272" s="4">
        <v>28478.48</v>
      </c>
      <c r="L272" s="4">
        <v>19001327598</v>
      </c>
      <c r="M272" s="3">
        <v>1.59</v>
      </c>
    </row>
    <row r="273" spans="1:13" x14ac:dyDescent="0.25">
      <c r="A273" s="3">
        <v>272</v>
      </c>
      <c r="B273" s="3" t="s">
        <v>36</v>
      </c>
      <c r="C273" s="33">
        <v>45017</v>
      </c>
      <c r="D273" s="3" t="s">
        <v>21</v>
      </c>
      <c r="E273" s="3" t="s">
        <v>13</v>
      </c>
      <c r="F273" s="3" t="s">
        <v>24</v>
      </c>
      <c r="G273" s="3">
        <v>61</v>
      </c>
      <c r="H273" s="3" t="s">
        <v>17</v>
      </c>
      <c r="I273" s="23">
        <v>4.58500003814697</v>
      </c>
      <c r="J273" s="4">
        <v>1969</v>
      </c>
      <c r="K273" s="4">
        <v>28411.040000000001</v>
      </c>
      <c r="L273" s="4">
        <v>10876469901</v>
      </c>
      <c r="M273" s="3">
        <v>-0.24</v>
      </c>
    </row>
    <row r="274" spans="1:13" x14ac:dyDescent="0.25">
      <c r="A274" s="3">
        <v>273</v>
      </c>
      <c r="B274" s="3" t="s">
        <v>36</v>
      </c>
      <c r="C274" s="33">
        <v>45018</v>
      </c>
      <c r="D274" s="3" t="s">
        <v>22</v>
      </c>
      <c r="E274" s="3" t="s">
        <v>13</v>
      </c>
      <c r="F274" s="3" t="s">
        <v>24</v>
      </c>
      <c r="G274" s="3">
        <v>63</v>
      </c>
      <c r="H274" s="3" t="s">
        <v>17</v>
      </c>
      <c r="I274" s="23">
        <v>4.58500003814697</v>
      </c>
      <c r="J274" s="4">
        <v>1980.30004882812</v>
      </c>
      <c r="K274" s="4">
        <v>28199.31</v>
      </c>
      <c r="L274" s="4">
        <v>12284641999</v>
      </c>
      <c r="M274" s="3">
        <v>-0.75</v>
      </c>
    </row>
    <row r="275" spans="1:13" x14ac:dyDescent="0.25">
      <c r="A275" s="3">
        <v>274</v>
      </c>
      <c r="B275" s="3" t="s">
        <v>36</v>
      </c>
      <c r="C275" s="33">
        <v>45019</v>
      </c>
      <c r="D275" s="3" t="s">
        <v>12</v>
      </c>
      <c r="E275" s="3" t="s">
        <v>16</v>
      </c>
      <c r="F275" s="3" t="s">
        <v>24</v>
      </c>
      <c r="G275" s="3">
        <v>63</v>
      </c>
      <c r="H275" s="3" t="s">
        <v>17</v>
      </c>
      <c r="I275" s="23">
        <v>4.5700001716613698</v>
      </c>
      <c r="J275" s="4">
        <v>1969</v>
      </c>
      <c r="K275" s="4">
        <v>27790.22</v>
      </c>
      <c r="L275" s="4">
        <v>19556501327</v>
      </c>
      <c r="M275" s="3">
        <v>-1.45</v>
      </c>
    </row>
    <row r="276" spans="1:13" x14ac:dyDescent="0.25">
      <c r="A276" s="3">
        <v>275</v>
      </c>
      <c r="B276" s="3" t="s">
        <v>36</v>
      </c>
      <c r="C276" s="33">
        <v>45020</v>
      </c>
      <c r="D276" s="3" t="s">
        <v>15</v>
      </c>
      <c r="E276" s="3" t="s">
        <v>16</v>
      </c>
      <c r="F276" s="3" t="s">
        <v>24</v>
      </c>
      <c r="G276" s="3">
        <v>62</v>
      </c>
      <c r="H276" s="3" t="s">
        <v>17</v>
      </c>
      <c r="I276" s="23">
        <v>4.7280001640319798</v>
      </c>
      <c r="J276" s="4">
        <v>1983.90002441406</v>
      </c>
      <c r="K276" s="4">
        <v>28168.09</v>
      </c>
      <c r="L276" s="4">
        <v>15284538859</v>
      </c>
      <c r="M276" s="3">
        <v>1.36</v>
      </c>
    </row>
    <row r="277" spans="1:13" x14ac:dyDescent="0.25">
      <c r="A277" s="3">
        <v>276</v>
      </c>
      <c r="B277" s="3" t="s">
        <v>36</v>
      </c>
      <c r="C277" s="33">
        <v>45021</v>
      </c>
      <c r="D277" s="3" t="s">
        <v>18</v>
      </c>
      <c r="E277" s="3" t="s">
        <v>16</v>
      </c>
      <c r="F277" s="3" t="s">
        <v>24</v>
      </c>
      <c r="G277" s="3">
        <v>62</v>
      </c>
      <c r="H277" s="3" t="s">
        <v>17</v>
      </c>
      <c r="I277" s="23">
        <v>4.7049999237060502</v>
      </c>
      <c r="J277" s="4">
        <v>2022.19995117187</v>
      </c>
      <c r="K277" s="4">
        <v>28177.98</v>
      </c>
      <c r="L277" s="4">
        <v>17052315986</v>
      </c>
      <c r="M277" s="3">
        <v>0.04</v>
      </c>
    </row>
    <row r="278" spans="1:13" x14ac:dyDescent="0.25">
      <c r="A278" s="3">
        <v>277</v>
      </c>
      <c r="B278" s="3" t="s">
        <v>36</v>
      </c>
      <c r="C278" s="33">
        <v>45022</v>
      </c>
      <c r="D278" s="3" t="s">
        <v>19</v>
      </c>
      <c r="E278" s="3" t="s">
        <v>16</v>
      </c>
      <c r="F278" s="3" t="s">
        <v>24</v>
      </c>
      <c r="G278" s="3">
        <v>63</v>
      </c>
      <c r="H278" s="3" t="s">
        <v>17</v>
      </c>
      <c r="I278" s="23">
        <v>4.71000003814697</v>
      </c>
      <c r="J278" s="4">
        <v>2020.90002441406</v>
      </c>
      <c r="K278" s="4">
        <v>28044.14</v>
      </c>
      <c r="L278" s="4">
        <v>13837809380</v>
      </c>
      <c r="M278" s="3">
        <v>-0.47</v>
      </c>
    </row>
    <row r="279" spans="1:13" x14ac:dyDescent="0.25">
      <c r="A279" s="3">
        <v>278</v>
      </c>
      <c r="B279" s="3" t="s">
        <v>36</v>
      </c>
      <c r="C279" s="33">
        <v>45023</v>
      </c>
      <c r="D279" s="3" t="s">
        <v>20</v>
      </c>
      <c r="E279" s="3" t="s">
        <v>16</v>
      </c>
      <c r="F279" s="3" t="s">
        <v>24</v>
      </c>
      <c r="G279" s="3">
        <v>64</v>
      </c>
      <c r="H279" s="3" t="s">
        <v>17</v>
      </c>
      <c r="I279" s="23">
        <v>4.71000003814697</v>
      </c>
      <c r="J279" s="4">
        <v>2011.90002441406</v>
      </c>
      <c r="K279" s="4">
        <v>27925.86</v>
      </c>
      <c r="L279" s="4">
        <v>10861680497</v>
      </c>
      <c r="M279" s="3">
        <v>-0.42</v>
      </c>
    </row>
    <row r="280" spans="1:13" x14ac:dyDescent="0.25">
      <c r="A280" s="3">
        <v>279</v>
      </c>
      <c r="B280" s="3" t="s">
        <v>36</v>
      </c>
      <c r="C280" s="33">
        <v>45024</v>
      </c>
      <c r="D280" s="3" t="s">
        <v>21</v>
      </c>
      <c r="E280" s="3" t="s">
        <v>13</v>
      </c>
      <c r="F280" s="3" t="s">
        <v>24</v>
      </c>
      <c r="G280" s="3">
        <v>61</v>
      </c>
      <c r="H280" s="3" t="s">
        <v>17</v>
      </c>
      <c r="I280" s="23">
        <v>4.71000003814697</v>
      </c>
      <c r="J280" s="4">
        <v>2020.90002441406</v>
      </c>
      <c r="K280" s="4">
        <v>27947.79</v>
      </c>
      <c r="L280" s="4">
        <v>9373255556</v>
      </c>
      <c r="M280" s="3">
        <v>0.08</v>
      </c>
    </row>
    <row r="281" spans="1:13" x14ac:dyDescent="0.25">
      <c r="A281" s="3">
        <v>280</v>
      </c>
      <c r="B281" s="3" t="s">
        <v>36</v>
      </c>
      <c r="C281" s="33">
        <v>45025</v>
      </c>
      <c r="D281" s="3" t="s">
        <v>22</v>
      </c>
      <c r="E281" s="3" t="s">
        <v>13</v>
      </c>
      <c r="F281" s="3" t="s">
        <v>24</v>
      </c>
      <c r="G281" s="3">
        <v>61</v>
      </c>
      <c r="H281" s="3" t="s">
        <v>17</v>
      </c>
      <c r="I281" s="23">
        <v>4.71000003814697</v>
      </c>
      <c r="J281" s="4">
        <v>2011.90002441406</v>
      </c>
      <c r="K281" s="4">
        <v>28333.05</v>
      </c>
      <c r="L281" s="4">
        <v>12175322951</v>
      </c>
      <c r="M281" s="3">
        <v>1.38</v>
      </c>
    </row>
    <row r="282" spans="1:13" x14ac:dyDescent="0.25">
      <c r="A282" s="3">
        <v>281</v>
      </c>
      <c r="B282" s="3" t="s">
        <v>36</v>
      </c>
      <c r="C282" s="33">
        <v>45026</v>
      </c>
      <c r="D282" s="3" t="s">
        <v>12</v>
      </c>
      <c r="E282" s="3" t="s">
        <v>16</v>
      </c>
      <c r="F282" s="3" t="s">
        <v>24</v>
      </c>
      <c r="G282" s="3">
        <v>62</v>
      </c>
      <c r="H282" s="3" t="s">
        <v>17</v>
      </c>
      <c r="I282" s="23">
        <v>4.8379998207092196</v>
      </c>
      <c r="J282" s="4">
        <v>2020.90002441406</v>
      </c>
      <c r="K282" s="4">
        <v>29652.98</v>
      </c>
      <c r="L282" s="4">
        <v>19282400094</v>
      </c>
      <c r="M282" s="3">
        <v>4.66</v>
      </c>
    </row>
    <row r="283" spans="1:13" x14ac:dyDescent="0.25">
      <c r="A283" s="3">
        <v>282</v>
      </c>
      <c r="B283" s="3" t="s">
        <v>36</v>
      </c>
      <c r="C283" s="33">
        <v>45027</v>
      </c>
      <c r="D283" s="3" t="s">
        <v>15</v>
      </c>
      <c r="E283" s="3" t="s">
        <v>16</v>
      </c>
      <c r="F283" s="3" t="s">
        <v>24</v>
      </c>
      <c r="G283" s="3">
        <v>68</v>
      </c>
      <c r="H283" s="3" t="s">
        <v>17</v>
      </c>
      <c r="I283" s="23">
        <v>4.88000011444091</v>
      </c>
      <c r="J283" s="4">
        <v>1989.09997558593</v>
      </c>
      <c r="K283" s="4">
        <v>30235.06</v>
      </c>
      <c r="L283" s="4">
        <v>20121259843</v>
      </c>
      <c r="M283" s="3">
        <v>1.96</v>
      </c>
    </row>
    <row r="284" spans="1:13" x14ac:dyDescent="0.25">
      <c r="A284" s="3">
        <v>283</v>
      </c>
      <c r="B284" s="3" t="s">
        <v>36</v>
      </c>
      <c r="C284" s="33">
        <v>45028</v>
      </c>
      <c r="D284" s="3" t="s">
        <v>18</v>
      </c>
      <c r="E284" s="3" t="s">
        <v>16</v>
      </c>
      <c r="F284" s="3" t="s">
        <v>24</v>
      </c>
      <c r="G284" s="3">
        <v>65</v>
      </c>
      <c r="H284" s="3" t="s">
        <v>17</v>
      </c>
      <c r="I284" s="23">
        <v>4.8600001335143999</v>
      </c>
      <c r="J284" s="4">
        <v>2004.80004882812</v>
      </c>
      <c r="K284" s="4">
        <v>30139.05</v>
      </c>
      <c r="L284" s="4">
        <v>18651929926</v>
      </c>
      <c r="M284" s="3">
        <v>-0.32</v>
      </c>
    </row>
    <row r="285" spans="1:13" x14ac:dyDescent="0.25">
      <c r="A285" s="3">
        <v>284</v>
      </c>
      <c r="B285" s="3" t="s">
        <v>36</v>
      </c>
      <c r="C285" s="33">
        <v>45029</v>
      </c>
      <c r="D285" s="3" t="s">
        <v>19</v>
      </c>
      <c r="E285" s="3" t="s">
        <v>16</v>
      </c>
      <c r="F285" s="3" t="s">
        <v>24</v>
      </c>
      <c r="G285" s="3">
        <v>61</v>
      </c>
      <c r="H285" s="3" t="s">
        <v>17</v>
      </c>
      <c r="I285" s="23">
        <v>4.8550000190734801</v>
      </c>
      <c r="J285" s="4">
        <v>2010.90002441406</v>
      </c>
      <c r="K285" s="4">
        <v>30399.07</v>
      </c>
      <c r="L285" s="4">
        <v>17487721001</v>
      </c>
      <c r="M285" s="3">
        <v>0.86</v>
      </c>
    </row>
    <row r="286" spans="1:13" x14ac:dyDescent="0.25">
      <c r="A286" s="3">
        <v>285</v>
      </c>
      <c r="B286" s="3" t="s">
        <v>36</v>
      </c>
      <c r="C286" s="33">
        <v>45030</v>
      </c>
      <c r="D286" s="3" t="s">
        <v>20</v>
      </c>
      <c r="E286" s="3" t="s">
        <v>16</v>
      </c>
      <c r="F286" s="3" t="s">
        <v>24</v>
      </c>
      <c r="G286" s="3">
        <v>68</v>
      </c>
      <c r="H286" s="3" t="s">
        <v>17</v>
      </c>
      <c r="I286" s="23">
        <v>4.9029998779296804</v>
      </c>
      <c r="J286" s="4">
        <v>2041.30004882812</v>
      </c>
      <c r="K286" s="4">
        <v>30485.7</v>
      </c>
      <c r="L286" s="4">
        <v>22659995079</v>
      </c>
      <c r="M286" s="3">
        <v>0.28000000000000003</v>
      </c>
    </row>
    <row r="287" spans="1:13" x14ac:dyDescent="0.25">
      <c r="A287" s="3">
        <v>286</v>
      </c>
      <c r="B287" s="3" t="s">
        <v>36</v>
      </c>
      <c r="C287" s="33">
        <v>45031</v>
      </c>
      <c r="D287" s="3" t="s">
        <v>21</v>
      </c>
      <c r="E287" s="3" t="s">
        <v>13</v>
      </c>
      <c r="F287" s="3" t="s">
        <v>24</v>
      </c>
      <c r="G287" s="3">
        <v>68</v>
      </c>
      <c r="H287" s="3">
        <v>7</v>
      </c>
      <c r="I287" s="23">
        <v>4.9029998779296804</v>
      </c>
      <c r="J287" s="4">
        <v>2002.19995117187</v>
      </c>
      <c r="K287" s="4">
        <v>30318.5</v>
      </c>
      <c r="L287" s="4">
        <v>11940685378</v>
      </c>
      <c r="M287" s="3">
        <v>-0.55000000000000004</v>
      </c>
    </row>
    <row r="288" spans="1:13" x14ac:dyDescent="0.25">
      <c r="A288" s="3">
        <v>287</v>
      </c>
      <c r="B288" s="3" t="s">
        <v>36</v>
      </c>
      <c r="C288" s="33">
        <v>45032</v>
      </c>
      <c r="D288" s="3" t="s">
        <v>22</v>
      </c>
      <c r="E288" s="3" t="s">
        <v>13</v>
      </c>
      <c r="F288" s="3" t="s">
        <v>24</v>
      </c>
      <c r="G288" s="3">
        <v>68</v>
      </c>
      <c r="H288" s="3" t="s">
        <v>17</v>
      </c>
      <c r="I288" s="23">
        <v>4.9029998779296804</v>
      </c>
      <c r="J288" s="4">
        <v>2041.30004882812</v>
      </c>
      <c r="K288" s="4">
        <v>30315.360000000001</v>
      </c>
      <c r="L288" s="4">
        <v>12854816417</v>
      </c>
      <c r="M288" s="3">
        <v>-0.01</v>
      </c>
    </row>
    <row r="289" spans="1:13" x14ac:dyDescent="0.25">
      <c r="A289" s="3">
        <v>288</v>
      </c>
      <c r="B289" s="3" t="s">
        <v>36</v>
      </c>
      <c r="C289" s="33">
        <v>45033</v>
      </c>
      <c r="D289" s="3" t="s">
        <v>12</v>
      </c>
      <c r="E289" s="3" t="s">
        <v>16</v>
      </c>
      <c r="F289" s="3" t="s">
        <v>24</v>
      </c>
      <c r="G289" s="3">
        <v>69</v>
      </c>
      <c r="H289" s="3" t="s">
        <v>17</v>
      </c>
      <c r="I289" s="23">
        <v>4.9229998588562003</v>
      </c>
      <c r="J289" s="4">
        <v>2002.19995117187</v>
      </c>
      <c r="K289" s="4">
        <v>29445.040000000001</v>
      </c>
      <c r="L289" s="4">
        <v>17872186762</v>
      </c>
      <c r="M289" s="3">
        <v>-2.87</v>
      </c>
    </row>
    <row r="290" spans="1:13" x14ac:dyDescent="0.25">
      <c r="A290" s="3">
        <v>289</v>
      </c>
      <c r="B290" s="3" t="s">
        <v>36</v>
      </c>
      <c r="C290" s="33">
        <v>45034</v>
      </c>
      <c r="D290" s="3" t="s">
        <v>15</v>
      </c>
      <c r="E290" s="3" t="s">
        <v>16</v>
      </c>
      <c r="F290" s="3" t="s">
        <v>24</v>
      </c>
      <c r="G290" s="3">
        <v>58</v>
      </c>
      <c r="H290" s="3" t="s">
        <v>17</v>
      </c>
      <c r="I290" s="23">
        <v>5.0300002098083496</v>
      </c>
      <c r="J290" s="4">
        <v>1994.19995117187</v>
      </c>
      <c r="K290" s="4">
        <v>30397.55</v>
      </c>
      <c r="L290" s="4">
        <v>19480529496</v>
      </c>
      <c r="M290" s="3">
        <v>3.23</v>
      </c>
    </row>
    <row r="291" spans="1:13" x14ac:dyDescent="0.25">
      <c r="A291" s="3">
        <v>290</v>
      </c>
      <c r="B291" s="3" t="s">
        <v>36</v>
      </c>
      <c r="C291" s="33">
        <v>45035</v>
      </c>
      <c r="D291" s="3" t="s">
        <v>18</v>
      </c>
      <c r="E291" s="3" t="s">
        <v>16</v>
      </c>
      <c r="F291" s="3" t="s">
        <v>24</v>
      </c>
      <c r="G291" s="3">
        <v>63</v>
      </c>
      <c r="H291" s="3" t="s">
        <v>17</v>
      </c>
      <c r="I291" s="23">
        <v>4.9949998855590803</v>
      </c>
      <c r="J291" s="4">
        <v>2007.40002441406</v>
      </c>
      <c r="K291" s="4">
        <v>28822.68</v>
      </c>
      <c r="L291" s="4">
        <v>24571565421</v>
      </c>
      <c r="M291" s="3">
        <v>-5.18</v>
      </c>
    </row>
    <row r="292" spans="1:13" x14ac:dyDescent="0.25">
      <c r="A292" s="3">
        <v>291</v>
      </c>
      <c r="B292" s="3" t="s">
        <v>36</v>
      </c>
      <c r="C292" s="33">
        <v>45036</v>
      </c>
      <c r="D292" s="3" t="s">
        <v>19</v>
      </c>
      <c r="E292" s="3" t="s">
        <v>16</v>
      </c>
      <c r="F292" s="3" t="s">
        <v>24</v>
      </c>
      <c r="G292" s="3">
        <v>52</v>
      </c>
      <c r="H292" s="3" t="s">
        <v>17</v>
      </c>
      <c r="I292" s="23">
        <v>4.9450001716613698</v>
      </c>
      <c r="J292" s="4">
        <v>1995.19995117187</v>
      </c>
      <c r="K292" s="4">
        <v>28245.99</v>
      </c>
      <c r="L292" s="4">
        <v>21340360360</v>
      </c>
      <c r="M292" s="3">
        <v>-2</v>
      </c>
    </row>
    <row r="293" spans="1:13" x14ac:dyDescent="0.25">
      <c r="A293" s="3">
        <v>292</v>
      </c>
      <c r="B293" s="3" t="s">
        <v>36</v>
      </c>
      <c r="C293" s="33">
        <v>45037</v>
      </c>
      <c r="D293" s="3" t="s">
        <v>20</v>
      </c>
      <c r="E293" s="3" t="s">
        <v>16</v>
      </c>
      <c r="F293" s="3" t="s">
        <v>24</v>
      </c>
      <c r="G293" s="3">
        <v>50</v>
      </c>
      <c r="H293" s="3" t="s">
        <v>17</v>
      </c>
      <c r="I293" s="23">
        <v>4.9499998092651296</v>
      </c>
      <c r="J293" s="4">
        <v>2007.59997558593</v>
      </c>
      <c r="K293" s="4">
        <v>27276.91</v>
      </c>
      <c r="L293" s="4">
        <v>20759504330</v>
      </c>
      <c r="M293" s="3">
        <v>-3.43</v>
      </c>
    </row>
    <row r="294" spans="1:13" x14ac:dyDescent="0.25">
      <c r="A294" s="3">
        <v>293</v>
      </c>
      <c r="B294" s="3" t="s">
        <v>36</v>
      </c>
      <c r="C294" s="33">
        <v>45038</v>
      </c>
      <c r="D294" s="3" t="s">
        <v>21</v>
      </c>
      <c r="E294" s="3" t="s">
        <v>13</v>
      </c>
      <c r="F294" s="3" t="s">
        <v>24</v>
      </c>
      <c r="G294" s="3">
        <v>53</v>
      </c>
      <c r="H294" s="3" t="s">
        <v>17</v>
      </c>
      <c r="I294" s="23">
        <v>4.9499998092651296</v>
      </c>
      <c r="J294" s="4">
        <v>1979.5</v>
      </c>
      <c r="K294" s="4">
        <v>27817.5</v>
      </c>
      <c r="L294" s="4">
        <v>13125734602</v>
      </c>
      <c r="M294" s="3">
        <v>1.98</v>
      </c>
    </row>
    <row r="295" spans="1:13" x14ac:dyDescent="0.25">
      <c r="A295" s="3">
        <v>294</v>
      </c>
      <c r="B295" s="3" t="s">
        <v>36</v>
      </c>
      <c r="C295" s="33">
        <v>45039</v>
      </c>
      <c r="D295" s="3" t="s">
        <v>22</v>
      </c>
      <c r="E295" s="3" t="s">
        <v>13</v>
      </c>
      <c r="F295" s="3" t="s">
        <v>24</v>
      </c>
      <c r="G295" s="3">
        <v>56</v>
      </c>
      <c r="H295" s="3" t="s">
        <v>17</v>
      </c>
      <c r="I295" s="23">
        <v>4.9499998092651296</v>
      </c>
      <c r="J295" s="4">
        <v>2007.59997558593</v>
      </c>
      <c r="K295" s="4">
        <v>27591.38</v>
      </c>
      <c r="L295" s="4">
        <v>12785446832</v>
      </c>
      <c r="M295" s="3">
        <v>-0.81</v>
      </c>
    </row>
    <row r="296" spans="1:13" x14ac:dyDescent="0.25">
      <c r="A296" s="3">
        <v>295</v>
      </c>
      <c r="B296" s="3" t="s">
        <v>36</v>
      </c>
      <c r="C296" s="33">
        <v>45040</v>
      </c>
      <c r="D296" s="3" t="s">
        <v>12</v>
      </c>
      <c r="E296" s="3" t="s">
        <v>16</v>
      </c>
      <c r="F296" s="3" t="s">
        <v>24</v>
      </c>
      <c r="G296" s="3">
        <v>53</v>
      </c>
      <c r="H296" s="3" t="s">
        <v>17</v>
      </c>
      <c r="I296" s="23">
        <v>4.8730001449584899</v>
      </c>
      <c r="J296" s="4">
        <v>1979.5</v>
      </c>
      <c r="K296" s="4">
        <v>27525.34</v>
      </c>
      <c r="L296" s="4">
        <v>17703288330</v>
      </c>
      <c r="M296" s="3">
        <v>-0.24</v>
      </c>
    </row>
    <row r="297" spans="1:13" x14ac:dyDescent="0.25">
      <c r="A297" s="3">
        <v>296</v>
      </c>
      <c r="B297" s="3" t="s">
        <v>36</v>
      </c>
      <c r="C297" s="33">
        <v>45041</v>
      </c>
      <c r="D297" s="3" t="s">
        <v>15</v>
      </c>
      <c r="E297" s="3" t="s">
        <v>16</v>
      </c>
      <c r="F297" s="3" t="s">
        <v>24</v>
      </c>
      <c r="G297" s="3">
        <v>53</v>
      </c>
      <c r="H297" s="3" t="s">
        <v>17</v>
      </c>
      <c r="I297" s="23">
        <v>4.9530000686645499</v>
      </c>
      <c r="J297" s="4">
        <v>1989.09997558593</v>
      </c>
      <c r="K297" s="4">
        <v>28307.599999999999</v>
      </c>
      <c r="L297" s="4">
        <v>17733373139</v>
      </c>
      <c r="M297" s="3">
        <v>2.84</v>
      </c>
    </row>
    <row r="298" spans="1:13" x14ac:dyDescent="0.25">
      <c r="A298" s="3">
        <v>297</v>
      </c>
      <c r="B298" s="3" t="s">
        <v>36</v>
      </c>
      <c r="C298" s="33">
        <v>45042</v>
      </c>
      <c r="D298" s="3" t="s">
        <v>18</v>
      </c>
      <c r="E298" s="3" t="s">
        <v>16</v>
      </c>
      <c r="F298" s="3" t="s">
        <v>24</v>
      </c>
      <c r="G298" s="3">
        <v>56</v>
      </c>
      <c r="H298" s="3" t="s">
        <v>17</v>
      </c>
      <c r="I298" s="23">
        <v>4.9850001335143999</v>
      </c>
      <c r="J298" s="4">
        <v>1994</v>
      </c>
      <c r="K298" s="4">
        <v>28422.7</v>
      </c>
      <c r="L298" s="4">
        <v>31854242019</v>
      </c>
      <c r="M298" s="3">
        <v>0.41</v>
      </c>
    </row>
    <row r="299" spans="1:13" x14ac:dyDescent="0.25">
      <c r="A299" s="3">
        <v>298</v>
      </c>
      <c r="B299" s="3" t="s">
        <v>36</v>
      </c>
      <c r="C299" s="33">
        <v>45043</v>
      </c>
      <c r="D299" s="3" t="s">
        <v>19</v>
      </c>
      <c r="E299" s="3" t="s">
        <v>16</v>
      </c>
      <c r="F299" s="3" t="s">
        <v>24</v>
      </c>
      <c r="G299" s="3">
        <v>59</v>
      </c>
      <c r="H299" s="3" t="s">
        <v>17</v>
      </c>
      <c r="I299" s="23">
        <v>5</v>
      </c>
      <c r="J299" s="4">
        <v>1985.69995117187</v>
      </c>
      <c r="K299" s="4">
        <v>29473.79</v>
      </c>
      <c r="L299" s="4">
        <v>27153445027</v>
      </c>
      <c r="M299" s="3">
        <v>3.7</v>
      </c>
    </row>
    <row r="300" spans="1:13" x14ac:dyDescent="0.25">
      <c r="A300" s="3">
        <v>299</v>
      </c>
      <c r="B300" s="3" t="s">
        <v>36</v>
      </c>
      <c r="C300" s="33">
        <v>45044</v>
      </c>
      <c r="D300" s="3" t="s">
        <v>20</v>
      </c>
      <c r="E300" s="3" t="s">
        <v>16</v>
      </c>
      <c r="F300" s="3" t="s">
        <v>24</v>
      </c>
      <c r="G300" s="3">
        <v>64</v>
      </c>
      <c r="H300" s="3" t="s">
        <v>17</v>
      </c>
      <c r="I300" s="23">
        <v>4.9229998588562003</v>
      </c>
      <c r="J300" s="4">
        <v>1989.90002441406</v>
      </c>
      <c r="K300" s="4">
        <v>29340.26</v>
      </c>
      <c r="L300" s="4">
        <v>17544464887</v>
      </c>
      <c r="M300" s="3">
        <v>-0.45</v>
      </c>
    </row>
    <row r="301" spans="1:13" x14ac:dyDescent="0.25">
      <c r="A301" s="3">
        <v>300</v>
      </c>
      <c r="B301" s="3" t="s">
        <v>36</v>
      </c>
      <c r="C301" s="33">
        <v>45045</v>
      </c>
      <c r="D301" s="3" t="s">
        <v>21</v>
      </c>
      <c r="E301" s="3" t="s">
        <v>13</v>
      </c>
      <c r="F301" s="3" t="s">
        <v>24</v>
      </c>
      <c r="G301" s="3">
        <v>64</v>
      </c>
      <c r="H301" s="3" t="s">
        <v>17</v>
      </c>
      <c r="I301" s="23">
        <v>4.9229998588562003</v>
      </c>
      <c r="J301" s="4">
        <v>1990.09997558593</v>
      </c>
      <c r="K301" s="4">
        <v>29248.49</v>
      </c>
      <c r="L301" s="4">
        <v>10662634333</v>
      </c>
      <c r="M301" s="3">
        <v>-0.31</v>
      </c>
    </row>
    <row r="302" spans="1:13" x14ac:dyDescent="0.25">
      <c r="A302" s="3">
        <v>301</v>
      </c>
      <c r="B302" s="3" t="s">
        <v>36</v>
      </c>
      <c r="C302" s="33">
        <v>45046</v>
      </c>
      <c r="D302" s="3" t="s">
        <v>22</v>
      </c>
      <c r="E302" s="3" t="s">
        <v>13</v>
      </c>
      <c r="F302" s="3" t="s">
        <v>24</v>
      </c>
      <c r="G302" s="3">
        <v>60</v>
      </c>
      <c r="H302" s="3" t="s">
        <v>17</v>
      </c>
      <c r="I302" s="23">
        <v>4.9229998588562003</v>
      </c>
      <c r="J302" s="4">
        <v>1989.90002441406</v>
      </c>
      <c r="K302" s="4">
        <v>29268.81</v>
      </c>
      <c r="L302" s="4">
        <v>14652199272</v>
      </c>
      <c r="M302" s="3">
        <v>7.0000000000000007E-2</v>
      </c>
    </row>
    <row r="303" spans="1:13" x14ac:dyDescent="0.25">
      <c r="A303" s="3">
        <v>302</v>
      </c>
      <c r="B303" s="3" t="s">
        <v>37</v>
      </c>
      <c r="C303" s="33">
        <v>45047</v>
      </c>
      <c r="D303" s="3" t="s">
        <v>12</v>
      </c>
      <c r="E303" s="3" t="s">
        <v>16</v>
      </c>
      <c r="F303" s="3" t="s">
        <v>24</v>
      </c>
      <c r="G303" s="3">
        <v>63</v>
      </c>
      <c r="H303" s="3" t="s">
        <v>17</v>
      </c>
      <c r="I303" s="23">
        <v>4.8649997711181596</v>
      </c>
      <c r="J303" s="4">
        <v>1990.09997558593</v>
      </c>
      <c r="K303" s="4">
        <v>28091.57</v>
      </c>
      <c r="L303" s="4">
        <v>18655599976</v>
      </c>
      <c r="M303" s="3">
        <v>-4.0199999999999996</v>
      </c>
    </row>
    <row r="304" spans="1:13" x14ac:dyDescent="0.25">
      <c r="A304" s="3">
        <v>303</v>
      </c>
      <c r="B304" s="3" t="s">
        <v>37</v>
      </c>
      <c r="C304" s="33">
        <v>45048</v>
      </c>
      <c r="D304" s="3" t="s">
        <v>15</v>
      </c>
      <c r="E304" s="3" t="s">
        <v>16</v>
      </c>
      <c r="F304" s="3" t="s">
        <v>24</v>
      </c>
      <c r="G304" s="3">
        <v>55</v>
      </c>
      <c r="H304" s="3" t="s">
        <v>17</v>
      </c>
      <c r="I304" s="23">
        <v>5.0399999618530202</v>
      </c>
      <c r="J304" s="4">
        <v>1983.40002441406</v>
      </c>
      <c r="K304" s="4">
        <v>28680.54</v>
      </c>
      <c r="L304" s="4">
        <v>16432924527</v>
      </c>
      <c r="M304" s="3">
        <v>2.1</v>
      </c>
    </row>
    <row r="305" spans="1:13" x14ac:dyDescent="0.25">
      <c r="A305" s="3">
        <v>304</v>
      </c>
      <c r="B305" s="3" t="s">
        <v>37</v>
      </c>
      <c r="C305" s="33">
        <v>45049</v>
      </c>
      <c r="D305" s="3" t="s">
        <v>18</v>
      </c>
      <c r="E305" s="3" t="s">
        <v>16</v>
      </c>
      <c r="F305" s="3" t="s">
        <v>24</v>
      </c>
      <c r="G305" s="3">
        <v>64</v>
      </c>
      <c r="H305" s="3" t="s">
        <v>17</v>
      </c>
      <c r="I305" s="23">
        <v>5.0949997901916504</v>
      </c>
      <c r="J305" s="4">
        <v>2014.30004882812</v>
      </c>
      <c r="K305" s="4">
        <v>29006.31</v>
      </c>
      <c r="L305" s="4">
        <v>19122972518</v>
      </c>
      <c r="M305" s="3">
        <v>1.1399999999999999</v>
      </c>
    </row>
    <row r="306" spans="1:13" x14ac:dyDescent="0.25">
      <c r="A306" s="3">
        <v>305</v>
      </c>
      <c r="B306" s="3" t="s">
        <v>37</v>
      </c>
      <c r="C306" s="33">
        <v>45050</v>
      </c>
      <c r="D306" s="3" t="s">
        <v>19</v>
      </c>
      <c r="E306" s="3" t="s">
        <v>16</v>
      </c>
      <c r="F306" s="3" t="s">
        <v>24</v>
      </c>
      <c r="G306" s="3">
        <v>64</v>
      </c>
      <c r="H306" s="3" t="s">
        <v>17</v>
      </c>
      <c r="I306" s="23">
        <v>5.0549998283386204</v>
      </c>
      <c r="J306" s="4">
        <v>2028.59997558593</v>
      </c>
      <c r="K306" s="4">
        <v>28847.71</v>
      </c>
      <c r="L306" s="4">
        <v>15548678514</v>
      </c>
      <c r="M306" s="3">
        <v>-0.55000000000000004</v>
      </c>
    </row>
    <row r="307" spans="1:13" x14ac:dyDescent="0.25">
      <c r="A307" s="3">
        <v>306</v>
      </c>
      <c r="B307" s="3" t="s">
        <v>37</v>
      </c>
      <c r="C307" s="33">
        <v>45051</v>
      </c>
      <c r="D307" s="3" t="s">
        <v>20</v>
      </c>
      <c r="E307" s="3" t="s">
        <v>16</v>
      </c>
      <c r="F307" s="3" t="s">
        <v>24</v>
      </c>
      <c r="G307" s="3">
        <v>61</v>
      </c>
      <c r="H307" s="3">
        <v>8</v>
      </c>
      <c r="I307" s="23">
        <v>5.0799999237060502</v>
      </c>
      <c r="J307" s="4">
        <v>2048</v>
      </c>
      <c r="K307" s="4">
        <v>29534.38</v>
      </c>
      <c r="L307" s="4">
        <v>17936566518</v>
      </c>
      <c r="M307" s="3">
        <v>2.38</v>
      </c>
    </row>
    <row r="308" spans="1:13" x14ac:dyDescent="0.25">
      <c r="A308" s="3">
        <v>307</v>
      </c>
      <c r="B308" s="3" t="s">
        <v>37</v>
      </c>
      <c r="C308" s="33">
        <v>45052</v>
      </c>
      <c r="D308" s="3" t="s">
        <v>21</v>
      </c>
      <c r="E308" s="3" t="s">
        <v>13</v>
      </c>
      <c r="F308" s="3" t="s">
        <v>24</v>
      </c>
      <c r="G308" s="3">
        <v>60</v>
      </c>
      <c r="H308" s="3" t="s">
        <v>17</v>
      </c>
      <c r="I308" s="23">
        <v>5.0799999237060502</v>
      </c>
      <c r="J308" s="4">
        <v>2017.40002441406</v>
      </c>
      <c r="K308" s="4">
        <v>28904.62</v>
      </c>
      <c r="L308" s="4">
        <v>15913866714</v>
      </c>
      <c r="M308" s="3">
        <v>-2.13</v>
      </c>
    </row>
    <row r="309" spans="1:13" x14ac:dyDescent="0.25">
      <c r="A309" s="3">
        <v>308</v>
      </c>
      <c r="B309" s="3" t="s">
        <v>37</v>
      </c>
      <c r="C309" s="33">
        <v>45053</v>
      </c>
      <c r="D309" s="3" t="s">
        <v>22</v>
      </c>
      <c r="E309" s="3" t="s">
        <v>13</v>
      </c>
      <c r="F309" s="3" t="s">
        <v>24</v>
      </c>
      <c r="G309" s="3">
        <v>64</v>
      </c>
      <c r="H309" s="3" t="s">
        <v>17</v>
      </c>
      <c r="I309" s="23">
        <v>5.0799999237060502</v>
      </c>
      <c r="J309" s="4">
        <v>2048</v>
      </c>
      <c r="K309" s="4">
        <v>28454.98</v>
      </c>
      <c r="L309" s="4">
        <v>11301355486</v>
      </c>
      <c r="M309" s="3">
        <v>-1.56</v>
      </c>
    </row>
    <row r="310" spans="1:13" x14ac:dyDescent="0.25">
      <c r="A310" s="3">
        <v>309</v>
      </c>
      <c r="B310" s="3" t="s">
        <v>37</v>
      </c>
      <c r="C310" s="33">
        <v>45054</v>
      </c>
      <c r="D310" s="3" t="s">
        <v>12</v>
      </c>
      <c r="E310" s="3" t="s">
        <v>16</v>
      </c>
      <c r="F310" s="3" t="s">
        <v>24</v>
      </c>
      <c r="G310" s="3">
        <v>60</v>
      </c>
      <c r="H310" s="3" t="s">
        <v>17</v>
      </c>
      <c r="I310" s="23">
        <v>5.0830001831054599</v>
      </c>
      <c r="J310" s="4">
        <v>2017.40002441406</v>
      </c>
      <c r="K310" s="4">
        <v>27694.27</v>
      </c>
      <c r="L310" s="4">
        <v>19122903752</v>
      </c>
      <c r="M310" s="3">
        <v>-2.67</v>
      </c>
    </row>
    <row r="311" spans="1:13" x14ac:dyDescent="0.25">
      <c r="A311" s="3">
        <v>310</v>
      </c>
      <c r="B311" s="3" t="s">
        <v>37</v>
      </c>
      <c r="C311" s="33">
        <v>45055</v>
      </c>
      <c r="D311" s="3" t="s">
        <v>15</v>
      </c>
      <c r="E311" s="3" t="s">
        <v>16</v>
      </c>
      <c r="F311" s="3" t="s">
        <v>24</v>
      </c>
      <c r="G311" s="3">
        <v>51</v>
      </c>
      <c r="H311" s="3" t="s">
        <v>17</v>
      </c>
      <c r="I311" s="23">
        <v>5.1230001449584899</v>
      </c>
      <c r="J311" s="4">
        <v>2026.30004882812</v>
      </c>
      <c r="K311" s="4">
        <v>27658.78</v>
      </c>
      <c r="L311" s="4">
        <v>14128593256</v>
      </c>
      <c r="M311" s="3">
        <v>-0.13</v>
      </c>
    </row>
    <row r="312" spans="1:13" x14ac:dyDescent="0.25">
      <c r="A312" s="3">
        <v>311</v>
      </c>
      <c r="B312" s="3" t="s">
        <v>37</v>
      </c>
      <c r="C312" s="33">
        <v>45056</v>
      </c>
      <c r="D312" s="3" t="s">
        <v>18</v>
      </c>
      <c r="E312" s="3" t="s">
        <v>16</v>
      </c>
      <c r="F312" s="3" t="s">
        <v>24</v>
      </c>
      <c r="G312" s="3">
        <v>52</v>
      </c>
      <c r="H312" s="3" t="s">
        <v>17</v>
      </c>
      <c r="I312" s="23">
        <v>5.0650000572204501</v>
      </c>
      <c r="J312" s="4">
        <v>2036.19995117187</v>
      </c>
      <c r="K312" s="4">
        <v>27621.759999999998</v>
      </c>
      <c r="L312" s="4">
        <v>20656025026</v>
      </c>
      <c r="M312" s="3">
        <v>-0.13</v>
      </c>
    </row>
    <row r="313" spans="1:13" x14ac:dyDescent="0.25">
      <c r="A313" s="3">
        <v>312</v>
      </c>
      <c r="B313" s="3" t="s">
        <v>37</v>
      </c>
      <c r="C313" s="33">
        <v>45057</v>
      </c>
      <c r="D313" s="3" t="s">
        <v>19</v>
      </c>
      <c r="E313" s="3" t="s">
        <v>16</v>
      </c>
      <c r="F313" s="3" t="s">
        <v>24</v>
      </c>
      <c r="G313" s="3">
        <v>52</v>
      </c>
      <c r="H313" s="3" t="s">
        <v>17</v>
      </c>
      <c r="I313" s="23">
        <v>5.0149998664855904</v>
      </c>
      <c r="J313" s="4">
        <v>2030.5</v>
      </c>
      <c r="K313" s="4">
        <v>27000.79</v>
      </c>
      <c r="L313" s="4">
        <v>16724343943</v>
      </c>
      <c r="M313" s="3">
        <v>-2.25</v>
      </c>
    </row>
    <row r="314" spans="1:13" x14ac:dyDescent="0.25">
      <c r="A314" s="3">
        <v>313</v>
      </c>
      <c r="B314" s="3" t="s">
        <v>37</v>
      </c>
      <c r="C314" s="33">
        <v>45058</v>
      </c>
      <c r="D314" s="3" t="s">
        <v>20</v>
      </c>
      <c r="E314" s="3" t="s">
        <v>16</v>
      </c>
      <c r="F314" s="3" t="s">
        <v>23</v>
      </c>
      <c r="G314" s="3">
        <v>49</v>
      </c>
      <c r="H314" s="3" t="s">
        <v>17</v>
      </c>
      <c r="I314" s="23">
        <v>5.0279998779296804</v>
      </c>
      <c r="J314" s="4">
        <v>2014.69995117187</v>
      </c>
      <c r="K314" s="4">
        <v>26804.99</v>
      </c>
      <c r="L314" s="4">
        <v>19313599897</v>
      </c>
      <c r="M314" s="3">
        <v>-0.73</v>
      </c>
    </row>
    <row r="315" spans="1:13" x14ac:dyDescent="0.25">
      <c r="A315" s="3">
        <v>314</v>
      </c>
      <c r="B315" s="3" t="s">
        <v>37</v>
      </c>
      <c r="C315" s="33">
        <v>45059</v>
      </c>
      <c r="D315" s="3" t="s">
        <v>21</v>
      </c>
      <c r="E315" s="3" t="s">
        <v>13</v>
      </c>
      <c r="F315" s="3" t="s">
        <v>23</v>
      </c>
      <c r="G315" s="3">
        <v>48</v>
      </c>
      <c r="H315" s="3" t="s">
        <v>17</v>
      </c>
      <c r="I315" s="23">
        <v>5.0279998779296804</v>
      </c>
      <c r="J315" s="4">
        <v>2014.5</v>
      </c>
      <c r="K315" s="4">
        <v>26784.080000000002</v>
      </c>
      <c r="L315" s="4">
        <v>9999171605</v>
      </c>
      <c r="M315" s="3">
        <v>-0.08</v>
      </c>
    </row>
    <row r="316" spans="1:13" x14ac:dyDescent="0.25">
      <c r="A316" s="3">
        <v>315</v>
      </c>
      <c r="B316" s="3" t="s">
        <v>37</v>
      </c>
      <c r="C316" s="33">
        <v>45060</v>
      </c>
      <c r="D316" s="3" t="s">
        <v>22</v>
      </c>
      <c r="E316" s="3" t="s">
        <v>13</v>
      </c>
      <c r="F316" s="3" t="s">
        <v>23</v>
      </c>
      <c r="G316" s="3">
        <v>48</v>
      </c>
      <c r="H316" s="3" t="s">
        <v>17</v>
      </c>
      <c r="I316" s="23">
        <v>5.0279998779296804</v>
      </c>
      <c r="J316" s="4">
        <v>2014.69995117187</v>
      </c>
      <c r="K316" s="4">
        <v>26930.639999999999</v>
      </c>
      <c r="L316" s="4">
        <v>10014858959</v>
      </c>
      <c r="M316" s="3">
        <v>0.55000000000000004</v>
      </c>
    </row>
    <row r="317" spans="1:13" x14ac:dyDescent="0.25">
      <c r="A317" s="3">
        <v>316</v>
      </c>
      <c r="B317" s="3" t="s">
        <v>37</v>
      </c>
      <c r="C317" s="33">
        <v>45061</v>
      </c>
      <c r="D317" s="3" t="s">
        <v>12</v>
      </c>
      <c r="E317" s="3" t="s">
        <v>16</v>
      </c>
      <c r="F317" s="3" t="s">
        <v>24</v>
      </c>
      <c r="G317" s="3">
        <v>50</v>
      </c>
      <c r="H317" s="3" t="s">
        <v>17</v>
      </c>
      <c r="I317" s="23">
        <v>5</v>
      </c>
      <c r="J317" s="4">
        <v>2014.5</v>
      </c>
      <c r="K317" s="4">
        <v>27192.69</v>
      </c>
      <c r="L317" s="4">
        <v>14413231792</v>
      </c>
      <c r="M317" s="3">
        <v>0.97</v>
      </c>
    </row>
    <row r="318" spans="1:13" x14ac:dyDescent="0.25">
      <c r="A318" s="3">
        <v>317</v>
      </c>
      <c r="B318" s="3" t="s">
        <v>37</v>
      </c>
      <c r="C318" s="33">
        <v>45062</v>
      </c>
      <c r="D318" s="3" t="s">
        <v>15</v>
      </c>
      <c r="E318" s="3" t="s">
        <v>16</v>
      </c>
      <c r="F318" s="3" t="s">
        <v>24</v>
      </c>
      <c r="G318" s="3">
        <v>54</v>
      </c>
      <c r="H318" s="3" t="s">
        <v>17</v>
      </c>
      <c r="I318" s="23">
        <v>5.05800008773803</v>
      </c>
      <c r="J318" s="4">
        <v>2018</v>
      </c>
      <c r="K318" s="4">
        <v>27036.65</v>
      </c>
      <c r="L318" s="4">
        <v>12732238816</v>
      </c>
      <c r="M318" s="3">
        <v>-0.56999999999999995</v>
      </c>
    </row>
    <row r="319" spans="1:13" x14ac:dyDescent="0.25">
      <c r="A319" s="3">
        <v>318</v>
      </c>
      <c r="B319" s="3" t="s">
        <v>37</v>
      </c>
      <c r="C319" s="33">
        <v>45063</v>
      </c>
      <c r="D319" s="3" t="s">
        <v>18</v>
      </c>
      <c r="E319" s="3" t="s">
        <v>16</v>
      </c>
      <c r="F319" s="3" t="s">
        <v>24</v>
      </c>
      <c r="G319" s="3">
        <v>50</v>
      </c>
      <c r="H319" s="3" t="s">
        <v>17</v>
      </c>
      <c r="I319" s="23">
        <v>5.0879998207092196</v>
      </c>
      <c r="J319" s="4">
        <v>1988.40002441406</v>
      </c>
      <c r="K319" s="4">
        <v>27398.799999999999</v>
      </c>
      <c r="L319" s="4">
        <v>15140006925</v>
      </c>
      <c r="M319" s="3">
        <v>1.34</v>
      </c>
    </row>
    <row r="320" spans="1:13" x14ac:dyDescent="0.25">
      <c r="A320" s="3">
        <v>319</v>
      </c>
      <c r="B320" s="3" t="s">
        <v>37</v>
      </c>
      <c r="C320" s="33">
        <v>45064</v>
      </c>
      <c r="D320" s="3" t="s">
        <v>19</v>
      </c>
      <c r="E320" s="3" t="s">
        <v>16</v>
      </c>
      <c r="F320" s="3" t="s">
        <v>24</v>
      </c>
      <c r="G320" s="3">
        <v>51</v>
      </c>
      <c r="H320" s="3" t="s">
        <v>17</v>
      </c>
      <c r="I320" s="23">
        <v>5.125</v>
      </c>
      <c r="J320" s="4">
        <v>1980.69995117187</v>
      </c>
      <c r="K320" s="4">
        <v>26832.21</v>
      </c>
      <c r="L320" s="4">
        <v>15222938600</v>
      </c>
      <c r="M320" s="3">
        <v>-2.0699999999999998</v>
      </c>
    </row>
    <row r="321" spans="1:13" x14ac:dyDescent="0.25">
      <c r="A321" s="3">
        <v>320</v>
      </c>
      <c r="B321" s="3" t="s">
        <v>37</v>
      </c>
      <c r="C321" s="33">
        <v>45065</v>
      </c>
      <c r="D321" s="3" t="s">
        <v>20</v>
      </c>
      <c r="E321" s="3" t="s">
        <v>16</v>
      </c>
      <c r="F321" s="3" t="s">
        <v>23</v>
      </c>
      <c r="G321" s="3">
        <v>48</v>
      </c>
      <c r="H321" s="3" t="s">
        <v>17</v>
      </c>
      <c r="I321" s="23">
        <v>5.08500003814697</v>
      </c>
      <c r="J321" s="4">
        <v>1956.5</v>
      </c>
      <c r="K321" s="4">
        <v>26890.13</v>
      </c>
      <c r="L321" s="4">
        <v>11258983301</v>
      </c>
      <c r="M321" s="3">
        <v>0.22</v>
      </c>
    </row>
    <row r="322" spans="1:13" x14ac:dyDescent="0.25">
      <c r="A322" s="3">
        <v>321</v>
      </c>
      <c r="B322" s="3" t="s">
        <v>37</v>
      </c>
      <c r="C322" s="33">
        <v>45066</v>
      </c>
      <c r="D322" s="3" t="s">
        <v>21</v>
      </c>
      <c r="E322" s="3" t="s">
        <v>13</v>
      </c>
      <c r="F322" s="3" t="s">
        <v>23</v>
      </c>
      <c r="G322" s="3">
        <v>48</v>
      </c>
      <c r="H322" s="3" t="s">
        <v>17</v>
      </c>
      <c r="I322" s="23">
        <v>5.08500003814697</v>
      </c>
      <c r="J322" s="4">
        <v>1978.69995117187</v>
      </c>
      <c r="K322" s="4">
        <v>27129.59</v>
      </c>
      <c r="L322" s="4">
        <v>7044911360</v>
      </c>
      <c r="M322" s="3">
        <v>0.89</v>
      </c>
    </row>
    <row r="323" spans="1:13" x14ac:dyDescent="0.25">
      <c r="A323" s="3">
        <v>322</v>
      </c>
      <c r="B323" s="3" t="s">
        <v>37</v>
      </c>
      <c r="C323" s="33">
        <v>45067</v>
      </c>
      <c r="D323" s="3" t="s">
        <v>22</v>
      </c>
      <c r="E323" s="3" t="s">
        <v>13</v>
      </c>
      <c r="F323" s="3" t="s">
        <v>24</v>
      </c>
      <c r="G323" s="3">
        <v>52</v>
      </c>
      <c r="H323" s="3" t="s">
        <v>17</v>
      </c>
      <c r="I323" s="23">
        <v>5.08500003814697</v>
      </c>
      <c r="J323" s="4">
        <v>1956.5</v>
      </c>
      <c r="K323" s="4">
        <v>26753.83</v>
      </c>
      <c r="L323" s="4">
        <v>8647416921</v>
      </c>
      <c r="M323" s="3">
        <v>-1.39</v>
      </c>
    </row>
    <row r="324" spans="1:13" x14ac:dyDescent="0.25">
      <c r="A324" s="3">
        <v>323</v>
      </c>
      <c r="B324" s="3" t="s">
        <v>37</v>
      </c>
      <c r="C324" s="33">
        <v>45068</v>
      </c>
      <c r="D324" s="3" t="s">
        <v>12</v>
      </c>
      <c r="E324" s="3" t="s">
        <v>16</v>
      </c>
      <c r="F324" s="3" t="s">
        <v>23</v>
      </c>
      <c r="G324" s="3">
        <v>49</v>
      </c>
      <c r="H324" s="3" t="s">
        <v>17</v>
      </c>
      <c r="I324" s="23">
        <v>5.0949997901916504</v>
      </c>
      <c r="J324" s="4">
        <v>1978.69995117187</v>
      </c>
      <c r="K324" s="4">
        <v>26851.279999999999</v>
      </c>
      <c r="L324" s="4">
        <v>11056770492</v>
      </c>
      <c r="M324" s="3">
        <v>0.36</v>
      </c>
    </row>
    <row r="325" spans="1:13" x14ac:dyDescent="0.25">
      <c r="A325" s="3">
        <v>324</v>
      </c>
      <c r="B325" s="3" t="s">
        <v>37</v>
      </c>
      <c r="C325" s="33">
        <v>45069</v>
      </c>
      <c r="D325" s="3" t="s">
        <v>15</v>
      </c>
      <c r="E325" s="3" t="s">
        <v>16</v>
      </c>
      <c r="F325" s="3" t="s">
        <v>24</v>
      </c>
      <c r="G325" s="3">
        <v>50</v>
      </c>
      <c r="H325" s="3" t="s">
        <v>17</v>
      </c>
      <c r="I325" s="23">
        <v>5.1529998779296804</v>
      </c>
      <c r="J325" s="4">
        <v>1974.80004882812</v>
      </c>
      <c r="K325" s="4">
        <v>27225.73</v>
      </c>
      <c r="L325" s="4">
        <v>13697203143</v>
      </c>
      <c r="M325" s="3">
        <v>1.39</v>
      </c>
    </row>
    <row r="326" spans="1:13" x14ac:dyDescent="0.25">
      <c r="A326" s="3">
        <v>325</v>
      </c>
      <c r="B326" s="3" t="s">
        <v>37</v>
      </c>
      <c r="C326" s="33">
        <v>45070</v>
      </c>
      <c r="D326" s="3" t="s">
        <v>18</v>
      </c>
      <c r="E326" s="3" t="s">
        <v>16</v>
      </c>
      <c r="F326" s="3" t="s">
        <v>24</v>
      </c>
      <c r="G326" s="3">
        <v>50</v>
      </c>
      <c r="H326" s="3" t="s">
        <v>17</v>
      </c>
      <c r="I326" s="23">
        <v>5.1849999427795401</v>
      </c>
      <c r="J326" s="4">
        <v>1972.40002441406</v>
      </c>
      <c r="K326" s="4">
        <v>26334.82</v>
      </c>
      <c r="L326" s="4">
        <v>16299104428</v>
      </c>
      <c r="M326" s="3">
        <v>-3.27</v>
      </c>
    </row>
    <row r="327" spans="1:13" x14ac:dyDescent="0.25">
      <c r="A327" s="3">
        <v>326</v>
      </c>
      <c r="B327" s="3" t="s">
        <v>37</v>
      </c>
      <c r="C327" s="33">
        <v>45071</v>
      </c>
      <c r="D327" s="3" t="s">
        <v>19</v>
      </c>
      <c r="E327" s="3" t="s">
        <v>16</v>
      </c>
      <c r="F327" s="3" t="s">
        <v>24</v>
      </c>
      <c r="G327" s="3">
        <v>51</v>
      </c>
      <c r="H327" s="3" t="s">
        <v>17</v>
      </c>
      <c r="I327" s="23">
        <v>5.1630001068115199</v>
      </c>
      <c r="J327" s="4">
        <v>1962.80004882812</v>
      </c>
      <c r="K327" s="4">
        <v>26476.21</v>
      </c>
      <c r="L327" s="4">
        <v>13851122697</v>
      </c>
      <c r="M327" s="3">
        <v>0.54</v>
      </c>
    </row>
    <row r="328" spans="1:13" x14ac:dyDescent="0.25">
      <c r="A328" s="3">
        <v>327</v>
      </c>
      <c r="B328" s="3" t="s">
        <v>37</v>
      </c>
      <c r="C328" s="33">
        <v>45072</v>
      </c>
      <c r="D328" s="3" t="s">
        <v>20</v>
      </c>
      <c r="E328" s="3" t="s">
        <v>16</v>
      </c>
      <c r="F328" s="3" t="s">
        <v>23</v>
      </c>
      <c r="G328" s="3">
        <v>49</v>
      </c>
      <c r="H328" s="3" t="s">
        <v>17</v>
      </c>
      <c r="I328" s="23">
        <v>5.1149997711181596</v>
      </c>
      <c r="J328" s="4">
        <v>1943.09997558593</v>
      </c>
      <c r="K328" s="4">
        <v>26719.29</v>
      </c>
      <c r="L328" s="4">
        <v>12711619225</v>
      </c>
      <c r="M328" s="3">
        <v>0.92</v>
      </c>
    </row>
    <row r="329" spans="1:13" x14ac:dyDescent="0.25">
      <c r="A329" s="3">
        <v>328</v>
      </c>
      <c r="B329" s="3" t="s">
        <v>37</v>
      </c>
      <c r="C329" s="33">
        <v>45073</v>
      </c>
      <c r="D329" s="3" t="s">
        <v>21</v>
      </c>
      <c r="E329" s="3" t="s">
        <v>13</v>
      </c>
      <c r="F329" s="3" t="s">
        <v>23</v>
      </c>
      <c r="G329" s="3">
        <v>48</v>
      </c>
      <c r="H329" s="3" t="s">
        <v>17</v>
      </c>
      <c r="I329" s="23">
        <v>5.1149997711181596</v>
      </c>
      <c r="J329" s="4">
        <v>1944.09997558593</v>
      </c>
      <c r="K329" s="4">
        <v>26868.35</v>
      </c>
      <c r="L329" s="4">
        <v>7892015141</v>
      </c>
      <c r="M329" s="3">
        <v>0.56000000000000005</v>
      </c>
    </row>
    <row r="330" spans="1:13" x14ac:dyDescent="0.25">
      <c r="A330" s="3">
        <v>329</v>
      </c>
      <c r="B330" s="3" t="s">
        <v>37</v>
      </c>
      <c r="C330" s="33">
        <v>45074</v>
      </c>
      <c r="D330" s="3" t="s">
        <v>22</v>
      </c>
      <c r="E330" s="3" t="s">
        <v>13</v>
      </c>
      <c r="F330" s="3" t="s">
        <v>24</v>
      </c>
      <c r="G330" s="3">
        <v>50</v>
      </c>
      <c r="H330" s="3" t="s">
        <v>17</v>
      </c>
      <c r="I330" s="23">
        <v>5.1149997711181596</v>
      </c>
      <c r="J330" s="4">
        <v>1943.09997558593</v>
      </c>
      <c r="K330" s="4">
        <v>28085.65</v>
      </c>
      <c r="L330" s="4">
        <v>14545229578</v>
      </c>
      <c r="M330" s="3">
        <v>4.53</v>
      </c>
    </row>
    <row r="331" spans="1:13" x14ac:dyDescent="0.25">
      <c r="A331" s="3">
        <v>330</v>
      </c>
      <c r="B331" s="3" t="s">
        <v>37</v>
      </c>
      <c r="C331" s="33">
        <v>45075</v>
      </c>
      <c r="D331" s="3" t="s">
        <v>12</v>
      </c>
      <c r="E331" s="3" t="s">
        <v>16</v>
      </c>
      <c r="F331" s="3" t="s">
        <v>24</v>
      </c>
      <c r="G331" s="3">
        <v>52</v>
      </c>
      <c r="H331" s="3" t="s">
        <v>17</v>
      </c>
      <c r="I331" s="23">
        <v>5.1149997711181596</v>
      </c>
      <c r="J331" s="4">
        <v>1944.09997558593</v>
      </c>
      <c r="K331" s="4">
        <v>27745.88</v>
      </c>
      <c r="L331" s="4">
        <v>15181308984</v>
      </c>
      <c r="M331" s="3">
        <v>-1.21</v>
      </c>
    </row>
    <row r="332" spans="1:13" x14ac:dyDescent="0.25">
      <c r="A332" s="3">
        <v>331</v>
      </c>
      <c r="B332" s="3" t="s">
        <v>37</v>
      </c>
      <c r="C332" s="33">
        <v>45076</v>
      </c>
      <c r="D332" s="3" t="s">
        <v>15</v>
      </c>
      <c r="E332" s="3" t="s">
        <v>16</v>
      </c>
      <c r="F332" s="3" t="s">
        <v>24</v>
      </c>
      <c r="G332" s="3">
        <v>51</v>
      </c>
      <c r="H332" s="3" t="s">
        <v>17</v>
      </c>
      <c r="I332" s="23">
        <v>5.1430001258850098</v>
      </c>
      <c r="J332" s="4">
        <v>1943.09997558593</v>
      </c>
      <c r="K332" s="4">
        <v>27702.35</v>
      </c>
      <c r="L332" s="4">
        <v>13251081851</v>
      </c>
      <c r="M332" s="3">
        <v>-0.16</v>
      </c>
    </row>
    <row r="333" spans="1:13" x14ac:dyDescent="0.25">
      <c r="A333" s="3">
        <v>332</v>
      </c>
      <c r="B333" s="3" t="s">
        <v>37</v>
      </c>
      <c r="C333" s="33">
        <v>45077</v>
      </c>
      <c r="D333" s="3" t="s">
        <v>18</v>
      </c>
      <c r="E333" s="3" t="s">
        <v>16</v>
      </c>
      <c r="F333" s="3" t="s">
        <v>24</v>
      </c>
      <c r="G333" s="3">
        <v>51</v>
      </c>
      <c r="H333" s="3" t="s">
        <v>17</v>
      </c>
      <c r="I333" s="23">
        <v>5.2480001449584899</v>
      </c>
      <c r="J333" s="4">
        <v>1958</v>
      </c>
      <c r="K333" s="4">
        <v>27219.66</v>
      </c>
      <c r="L333" s="4">
        <v>15656371534</v>
      </c>
      <c r="M333" s="3">
        <v>-1.74</v>
      </c>
    </row>
    <row r="334" spans="1:13" x14ac:dyDescent="0.25">
      <c r="A334" s="3">
        <v>333</v>
      </c>
      <c r="B334" s="3" t="s">
        <v>38</v>
      </c>
      <c r="C334" s="33">
        <v>45078</v>
      </c>
      <c r="D334" s="3" t="s">
        <v>19</v>
      </c>
      <c r="E334" s="3" t="s">
        <v>16</v>
      </c>
      <c r="F334" s="3" t="s">
        <v>24</v>
      </c>
      <c r="G334" s="3">
        <v>52</v>
      </c>
      <c r="H334" s="3" t="s">
        <v>17</v>
      </c>
      <c r="I334" s="23">
        <v>5.2030000686645499</v>
      </c>
      <c r="J334" s="4">
        <v>1963.90002441406</v>
      </c>
      <c r="K334" s="4">
        <v>26819.97</v>
      </c>
      <c r="L334" s="4">
        <v>14678970415</v>
      </c>
      <c r="M334" s="3">
        <v>-1.47</v>
      </c>
    </row>
    <row r="335" spans="1:13" x14ac:dyDescent="0.25">
      <c r="A335" s="3">
        <v>334</v>
      </c>
      <c r="B335" s="3" t="s">
        <v>38</v>
      </c>
      <c r="C335" s="33">
        <v>45079</v>
      </c>
      <c r="D335" s="3" t="s">
        <v>20</v>
      </c>
      <c r="E335" s="3" t="s">
        <v>16</v>
      </c>
      <c r="F335" s="3" t="s">
        <v>24</v>
      </c>
      <c r="G335" s="3">
        <v>50</v>
      </c>
      <c r="H335" s="3" t="s">
        <v>17</v>
      </c>
      <c r="I335" s="23">
        <v>5.2150001525878897</v>
      </c>
      <c r="J335" s="4">
        <v>1978</v>
      </c>
      <c r="K335" s="4">
        <v>27249.59</v>
      </c>
      <c r="L335" s="4">
        <v>14837415000</v>
      </c>
      <c r="M335" s="3">
        <v>1.6</v>
      </c>
    </row>
    <row r="336" spans="1:13" x14ac:dyDescent="0.25">
      <c r="A336" s="3">
        <v>335</v>
      </c>
      <c r="B336" s="3" t="s">
        <v>38</v>
      </c>
      <c r="C336" s="33">
        <v>45080</v>
      </c>
      <c r="D336" s="3" t="s">
        <v>21</v>
      </c>
      <c r="E336" s="3" t="s">
        <v>13</v>
      </c>
      <c r="F336" s="3" t="s">
        <v>24</v>
      </c>
      <c r="G336" s="3">
        <v>53</v>
      </c>
      <c r="H336" s="3" t="s">
        <v>17</v>
      </c>
      <c r="I336" s="23">
        <v>5.2150001525878897</v>
      </c>
      <c r="J336" s="4">
        <v>1952.40002441406</v>
      </c>
      <c r="K336" s="4">
        <v>27075.13</v>
      </c>
      <c r="L336" s="4">
        <v>8385597470</v>
      </c>
      <c r="M336" s="3">
        <v>-0.64</v>
      </c>
    </row>
    <row r="337" spans="1:13" x14ac:dyDescent="0.25">
      <c r="A337" s="3">
        <v>336</v>
      </c>
      <c r="B337" s="3" t="s">
        <v>38</v>
      </c>
      <c r="C337" s="33">
        <v>45081</v>
      </c>
      <c r="D337" s="3" t="s">
        <v>22</v>
      </c>
      <c r="E337" s="3" t="s">
        <v>13</v>
      </c>
      <c r="F337" s="3" t="s">
        <v>24</v>
      </c>
      <c r="G337" s="3">
        <v>52</v>
      </c>
      <c r="H337" s="3" t="s">
        <v>17</v>
      </c>
      <c r="I337" s="23">
        <v>5.2150001525878897</v>
      </c>
      <c r="J337" s="4">
        <v>1978</v>
      </c>
      <c r="K337" s="4">
        <v>27119.07</v>
      </c>
      <c r="L337" s="4">
        <v>9360912318</v>
      </c>
      <c r="M337" s="3">
        <v>0.16</v>
      </c>
    </row>
    <row r="338" spans="1:13" x14ac:dyDescent="0.25">
      <c r="A338" s="3">
        <v>337</v>
      </c>
      <c r="B338" s="3" t="s">
        <v>38</v>
      </c>
      <c r="C338" s="33">
        <v>45082</v>
      </c>
      <c r="D338" s="3" t="s">
        <v>12</v>
      </c>
      <c r="E338" s="3" t="s">
        <v>16</v>
      </c>
      <c r="F338" s="3" t="s">
        <v>24</v>
      </c>
      <c r="G338" s="3">
        <v>53</v>
      </c>
      <c r="H338" s="3" t="s">
        <v>17</v>
      </c>
      <c r="I338" s="23">
        <v>5.1430001258850098</v>
      </c>
      <c r="J338" s="4">
        <v>1952.40002441406</v>
      </c>
      <c r="K338" s="4">
        <v>25760.1</v>
      </c>
      <c r="L338" s="4">
        <v>21513292646</v>
      </c>
      <c r="M338" s="3">
        <v>-5.01</v>
      </c>
    </row>
    <row r="339" spans="1:13" x14ac:dyDescent="0.25">
      <c r="A339" s="3">
        <v>338</v>
      </c>
      <c r="B339" s="3" t="s">
        <v>38</v>
      </c>
      <c r="C339" s="33">
        <v>45083</v>
      </c>
      <c r="D339" s="3" t="s">
        <v>15</v>
      </c>
      <c r="E339" s="3" t="s">
        <v>16</v>
      </c>
      <c r="F339" s="3" t="s">
        <v>23</v>
      </c>
      <c r="G339" s="3">
        <v>44</v>
      </c>
      <c r="H339" s="3" t="s">
        <v>17</v>
      </c>
      <c r="I339" s="23">
        <v>5.1579999923706001</v>
      </c>
      <c r="J339" s="4">
        <v>1958</v>
      </c>
      <c r="K339" s="4">
        <v>27238.78</v>
      </c>
      <c r="L339" s="4">
        <v>21929670693</v>
      </c>
      <c r="M339" s="3">
        <v>5.74</v>
      </c>
    </row>
    <row r="340" spans="1:13" x14ac:dyDescent="0.25">
      <c r="A340" s="3">
        <v>339</v>
      </c>
      <c r="B340" s="3" t="s">
        <v>38</v>
      </c>
      <c r="C340" s="33">
        <v>45084</v>
      </c>
      <c r="D340" s="3" t="s">
        <v>18</v>
      </c>
      <c r="E340" s="3" t="s">
        <v>16</v>
      </c>
      <c r="F340" s="3" t="s">
        <v>24</v>
      </c>
      <c r="G340" s="3">
        <v>53</v>
      </c>
      <c r="H340" s="3" t="s">
        <v>17</v>
      </c>
      <c r="I340" s="23">
        <v>5.1529998779296804</v>
      </c>
      <c r="J340" s="4">
        <v>1965.5</v>
      </c>
      <c r="K340" s="4">
        <v>26346</v>
      </c>
      <c r="L340" s="4">
        <v>19530045082</v>
      </c>
      <c r="M340" s="3">
        <v>-3.28</v>
      </c>
    </row>
    <row r="341" spans="1:13" x14ac:dyDescent="0.25">
      <c r="A341" s="3">
        <v>340</v>
      </c>
      <c r="B341" s="3" t="s">
        <v>38</v>
      </c>
      <c r="C341" s="33">
        <v>45085</v>
      </c>
      <c r="D341" s="3" t="s">
        <v>19</v>
      </c>
      <c r="E341" s="3" t="s">
        <v>16</v>
      </c>
      <c r="F341" s="3" t="s">
        <v>24</v>
      </c>
      <c r="G341" s="3">
        <v>50</v>
      </c>
      <c r="H341" s="3" t="s">
        <v>17</v>
      </c>
      <c r="I341" s="23">
        <v>5.0999999046325604</v>
      </c>
      <c r="J341" s="4">
        <v>1942.69995117187</v>
      </c>
      <c r="K341" s="4">
        <v>26508.22</v>
      </c>
      <c r="L341" s="4">
        <v>11904824295</v>
      </c>
      <c r="M341" s="3">
        <v>0.62</v>
      </c>
    </row>
    <row r="342" spans="1:13" x14ac:dyDescent="0.25">
      <c r="A342" s="3">
        <v>341</v>
      </c>
      <c r="B342" s="3" t="s">
        <v>38</v>
      </c>
      <c r="C342" s="33">
        <v>45086</v>
      </c>
      <c r="D342" s="3" t="s">
        <v>20</v>
      </c>
      <c r="E342" s="3" t="s">
        <v>16</v>
      </c>
      <c r="F342" s="3" t="s">
        <v>24</v>
      </c>
      <c r="G342" s="3">
        <v>50</v>
      </c>
      <c r="H342" s="3" t="s">
        <v>17</v>
      </c>
      <c r="I342" s="23">
        <v>5.0949997901916504</v>
      </c>
      <c r="J342" s="4">
        <v>1963.59997558593</v>
      </c>
      <c r="K342" s="4">
        <v>26480.38</v>
      </c>
      <c r="L342" s="4">
        <v>11015551640</v>
      </c>
      <c r="M342" s="3">
        <v>-0.11</v>
      </c>
    </row>
    <row r="343" spans="1:13" x14ac:dyDescent="0.25">
      <c r="A343" s="3">
        <v>342</v>
      </c>
      <c r="B343" s="3" t="s">
        <v>38</v>
      </c>
      <c r="C343" s="33">
        <v>45087</v>
      </c>
      <c r="D343" s="3" t="s">
        <v>21</v>
      </c>
      <c r="E343" s="3" t="s">
        <v>13</v>
      </c>
      <c r="F343" s="3" t="s">
        <v>23</v>
      </c>
      <c r="G343" s="3">
        <v>49</v>
      </c>
      <c r="H343" s="3" t="s">
        <v>17</v>
      </c>
      <c r="I343" s="23">
        <v>5.0949997901916504</v>
      </c>
      <c r="J343" s="4">
        <v>1962.19995117187</v>
      </c>
      <c r="K343" s="4">
        <v>25851.24</v>
      </c>
      <c r="L343" s="4">
        <v>19872933189</v>
      </c>
      <c r="M343" s="3">
        <v>-2.38</v>
      </c>
    </row>
    <row r="344" spans="1:13" x14ac:dyDescent="0.25">
      <c r="A344" s="3">
        <v>343</v>
      </c>
      <c r="B344" s="3" t="s">
        <v>38</v>
      </c>
      <c r="C344" s="33">
        <v>45088</v>
      </c>
      <c r="D344" s="3" t="s">
        <v>22</v>
      </c>
      <c r="E344" s="3" t="s">
        <v>13</v>
      </c>
      <c r="F344" s="3" t="s">
        <v>23</v>
      </c>
      <c r="G344" s="3">
        <v>47</v>
      </c>
      <c r="H344" s="3" t="s">
        <v>17</v>
      </c>
      <c r="I344" s="23">
        <v>5.0949997901916504</v>
      </c>
      <c r="J344" s="4">
        <v>1963.59997558593</v>
      </c>
      <c r="K344" s="4">
        <v>25940.17</v>
      </c>
      <c r="L344" s="4">
        <v>10732609603</v>
      </c>
      <c r="M344" s="3">
        <v>0.34</v>
      </c>
    </row>
    <row r="345" spans="1:13" x14ac:dyDescent="0.25">
      <c r="A345" s="3">
        <v>344</v>
      </c>
      <c r="B345" s="3" t="s">
        <v>38</v>
      </c>
      <c r="C345" s="33">
        <v>45089</v>
      </c>
      <c r="D345" s="3" t="s">
        <v>12</v>
      </c>
      <c r="E345" s="3" t="s">
        <v>16</v>
      </c>
      <c r="F345" s="3" t="s">
        <v>23</v>
      </c>
      <c r="G345" s="3">
        <v>47</v>
      </c>
      <c r="H345" s="3" t="s">
        <v>17</v>
      </c>
      <c r="I345" s="23">
        <v>5.0949997901916504</v>
      </c>
      <c r="J345" s="4">
        <v>1962.19995117187</v>
      </c>
      <c r="K345" s="4">
        <v>25902.5</v>
      </c>
      <c r="L345" s="4">
        <v>11677889997</v>
      </c>
      <c r="M345" s="3">
        <v>-0.15</v>
      </c>
    </row>
    <row r="346" spans="1:13" x14ac:dyDescent="0.25">
      <c r="A346" s="3">
        <v>345</v>
      </c>
      <c r="B346" s="3" t="s">
        <v>38</v>
      </c>
      <c r="C346" s="33">
        <v>45090</v>
      </c>
      <c r="D346" s="3" t="s">
        <v>15</v>
      </c>
      <c r="E346" s="3" t="s">
        <v>16</v>
      </c>
      <c r="F346" s="3" t="s">
        <v>23</v>
      </c>
      <c r="G346" s="3">
        <v>45</v>
      </c>
      <c r="H346" s="3" t="s">
        <v>17</v>
      </c>
      <c r="I346" s="23">
        <v>5.0999999046325604</v>
      </c>
      <c r="J346" s="4">
        <v>1955.30004882812</v>
      </c>
      <c r="K346" s="4">
        <v>25918.73</v>
      </c>
      <c r="L346" s="4">
        <v>14143474486</v>
      </c>
      <c r="M346" s="3">
        <v>0.06</v>
      </c>
    </row>
    <row r="347" spans="1:13" x14ac:dyDescent="0.25">
      <c r="A347" s="3">
        <v>346</v>
      </c>
      <c r="B347" s="3" t="s">
        <v>38</v>
      </c>
      <c r="C347" s="33">
        <v>45091</v>
      </c>
      <c r="D347" s="3" t="s">
        <v>18</v>
      </c>
      <c r="E347" s="3" t="s">
        <v>16</v>
      </c>
      <c r="F347" s="3" t="s">
        <v>23</v>
      </c>
      <c r="G347" s="3">
        <v>46</v>
      </c>
      <c r="H347" s="3" t="s">
        <v>17</v>
      </c>
      <c r="I347" s="23">
        <v>5.0799999237060502</v>
      </c>
      <c r="J347" s="4">
        <v>1944.59997558593</v>
      </c>
      <c r="K347" s="4">
        <v>25124.68</v>
      </c>
      <c r="L347" s="4">
        <v>14265717766</v>
      </c>
      <c r="M347" s="3">
        <v>-3.06</v>
      </c>
    </row>
    <row r="348" spans="1:13" x14ac:dyDescent="0.25">
      <c r="A348" s="3">
        <v>347</v>
      </c>
      <c r="B348" s="3" t="s">
        <v>38</v>
      </c>
      <c r="C348" s="33">
        <v>45092</v>
      </c>
      <c r="D348" s="3" t="s">
        <v>19</v>
      </c>
      <c r="E348" s="3" t="s">
        <v>16</v>
      </c>
      <c r="F348" s="3" t="s">
        <v>23</v>
      </c>
      <c r="G348" s="3">
        <v>41</v>
      </c>
      <c r="H348" s="3" t="s">
        <v>17</v>
      </c>
      <c r="I348" s="23">
        <v>5.0549998283386204</v>
      </c>
      <c r="J348" s="4">
        <v>1955.30004882812</v>
      </c>
      <c r="K348" s="4">
        <v>25576.39</v>
      </c>
      <c r="L348" s="4">
        <v>15837384409</v>
      </c>
      <c r="M348" s="3">
        <v>1.8</v>
      </c>
    </row>
    <row r="349" spans="1:13" x14ac:dyDescent="0.25">
      <c r="A349" s="3">
        <v>348</v>
      </c>
      <c r="B349" s="3" t="s">
        <v>38</v>
      </c>
      <c r="C349" s="33">
        <v>45093</v>
      </c>
      <c r="D349" s="3" t="s">
        <v>20</v>
      </c>
      <c r="E349" s="3" t="s">
        <v>16</v>
      </c>
      <c r="F349" s="3" t="s">
        <v>23</v>
      </c>
      <c r="G349" s="3">
        <v>47</v>
      </c>
      <c r="H349" s="3" t="s">
        <v>17</v>
      </c>
      <c r="I349" s="23">
        <v>5.0650000572204501</v>
      </c>
      <c r="J349" s="4">
        <v>1957.80004882812</v>
      </c>
      <c r="K349" s="4">
        <v>26327.46</v>
      </c>
      <c r="L349" s="4">
        <v>16324646965</v>
      </c>
      <c r="M349" s="3">
        <v>2.94</v>
      </c>
    </row>
    <row r="350" spans="1:13" x14ac:dyDescent="0.25">
      <c r="A350" s="3">
        <v>349</v>
      </c>
      <c r="B350" s="3" t="s">
        <v>38</v>
      </c>
      <c r="C350" s="33">
        <v>45094</v>
      </c>
      <c r="D350" s="3" t="s">
        <v>21</v>
      </c>
      <c r="E350" s="3" t="s">
        <v>13</v>
      </c>
      <c r="F350" s="3" t="s">
        <v>23</v>
      </c>
      <c r="G350" s="3">
        <v>47</v>
      </c>
      <c r="H350" s="3" t="s">
        <v>17</v>
      </c>
      <c r="I350" s="23">
        <v>5.0650000572204501</v>
      </c>
      <c r="J350" s="4">
        <v>1958.40002441406</v>
      </c>
      <c r="K350" s="4">
        <v>26510.68</v>
      </c>
      <c r="L350" s="4">
        <v>11090276850</v>
      </c>
      <c r="M350" s="3">
        <v>0.7</v>
      </c>
    </row>
    <row r="351" spans="1:13" x14ac:dyDescent="0.25">
      <c r="A351" s="3">
        <v>350</v>
      </c>
      <c r="B351" s="3" t="s">
        <v>38</v>
      </c>
      <c r="C351" s="33">
        <v>45095</v>
      </c>
      <c r="D351" s="3" t="s">
        <v>22</v>
      </c>
      <c r="E351" s="3" t="s">
        <v>13</v>
      </c>
      <c r="F351" s="3" t="s">
        <v>23</v>
      </c>
      <c r="G351" s="3">
        <v>49</v>
      </c>
      <c r="H351" s="3" t="s">
        <v>17</v>
      </c>
      <c r="I351" s="23">
        <v>5.0650000572204501</v>
      </c>
      <c r="J351" s="4">
        <v>1957.80004882812</v>
      </c>
      <c r="K351" s="4">
        <v>26336.21</v>
      </c>
      <c r="L351" s="4">
        <v>9565695129</v>
      </c>
      <c r="M351" s="3">
        <v>-0.66</v>
      </c>
    </row>
    <row r="352" spans="1:13" x14ac:dyDescent="0.25">
      <c r="A352" s="3">
        <v>351</v>
      </c>
      <c r="B352" s="3" t="s">
        <v>38</v>
      </c>
      <c r="C352" s="33">
        <v>45096</v>
      </c>
      <c r="D352" s="3" t="s">
        <v>12</v>
      </c>
      <c r="E352" s="3" t="s">
        <v>16</v>
      </c>
      <c r="F352" s="3" t="s">
        <v>23</v>
      </c>
      <c r="G352" s="3">
        <v>47</v>
      </c>
      <c r="H352" s="3" t="s">
        <v>17</v>
      </c>
      <c r="I352" s="23">
        <v>5.0650000572204501</v>
      </c>
      <c r="J352" s="4">
        <v>1958.40002441406</v>
      </c>
      <c r="K352" s="4">
        <v>26851.03</v>
      </c>
      <c r="L352" s="4">
        <v>12826986222</v>
      </c>
      <c r="M352" s="3">
        <v>1.95</v>
      </c>
    </row>
    <row r="353" spans="1:13" x14ac:dyDescent="0.25">
      <c r="A353" s="3">
        <v>352</v>
      </c>
      <c r="B353" s="3" t="s">
        <v>38</v>
      </c>
      <c r="C353" s="33">
        <v>45097</v>
      </c>
      <c r="D353" s="3" t="s">
        <v>15</v>
      </c>
      <c r="E353" s="3" t="s">
        <v>16</v>
      </c>
      <c r="F353" s="3" t="s">
        <v>23</v>
      </c>
      <c r="G353" s="3">
        <v>49</v>
      </c>
      <c r="H353" s="3" t="s">
        <v>17</v>
      </c>
      <c r="I353" s="23">
        <v>5.0749998092651296</v>
      </c>
      <c r="J353" s="4">
        <v>1957.80004882812</v>
      </c>
      <c r="K353" s="4">
        <v>28327.49</v>
      </c>
      <c r="L353" s="4">
        <v>22211859147</v>
      </c>
      <c r="M353" s="3">
        <v>5.5</v>
      </c>
    </row>
    <row r="354" spans="1:13" x14ac:dyDescent="0.25">
      <c r="A354" s="3">
        <v>353</v>
      </c>
      <c r="B354" s="3" t="s">
        <v>38</v>
      </c>
      <c r="C354" s="33">
        <v>45098</v>
      </c>
      <c r="D354" s="3" t="s">
        <v>18</v>
      </c>
      <c r="E354" s="3" t="s">
        <v>16</v>
      </c>
      <c r="F354" s="3" t="s">
        <v>24</v>
      </c>
      <c r="G354" s="3">
        <v>59</v>
      </c>
      <c r="H354" s="3" t="s">
        <v>17</v>
      </c>
      <c r="I354" s="23">
        <v>5.1350002288818297</v>
      </c>
      <c r="J354" s="4">
        <v>1935.5</v>
      </c>
      <c r="K354" s="4">
        <v>30027.3</v>
      </c>
      <c r="L354" s="4">
        <v>33346760979</v>
      </c>
      <c r="M354" s="3">
        <v>6</v>
      </c>
    </row>
    <row r="355" spans="1:13" x14ac:dyDescent="0.25">
      <c r="A355" s="3">
        <v>354</v>
      </c>
      <c r="B355" s="3" t="s">
        <v>38</v>
      </c>
      <c r="C355" s="33">
        <v>45099</v>
      </c>
      <c r="D355" s="3" t="s">
        <v>19</v>
      </c>
      <c r="E355" s="3" t="s">
        <v>16</v>
      </c>
      <c r="F355" s="3" t="s">
        <v>24</v>
      </c>
      <c r="G355" s="3">
        <v>65</v>
      </c>
      <c r="H355" s="3" t="s">
        <v>17</v>
      </c>
      <c r="I355" s="23">
        <v>5.1350002288818297</v>
      </c>
      <c r="J355" s="4">
        <v>1933.30004882812</v>
      </c>
      <c r="K355" s="4">
        <v>29912.28</v>
      </c>
      <c r="L355" s="4">
        <v>20653160491</v>
      </c>
      <c r="M355" s="3">
        <v>-0.38</v>
      </c>
    </row>
    <row r="356" spans="1:13" x14ac:dyDescent="0.25">
      <c r="A356" s="3">
        <v>355</v>
      </c>
      <c r="B356" s="3" t="s">
        <v>38</v>
      </c>
      <c r="C356" s="33">
        <v>45100</v>
      </c>
      <c r="D356" s="3" t="s">
        <v>20</v>
      </c>
      <c r="E356" s="3" t="s">
        <v>16</v>
      </c>
      <c r="F356" s="3" t="s">
        <v>24</v>
      </c>
      <c r="G356" s="3">
        <v>65</v>
      </c>
      <c r="H356" s="3" t="s">
        <v>17</v>
      </c>
      <c r="I356" s="23">
        <v>5.13800001144409</v>
      </c>
      <c r="J356" s="4">
        <v>1912.69995117187</v>
      </c>
      <c r="K356" s="4">
        <v>30695.47</v>
      </c>
      <c r="L356" s="4">
        <v>24115570085</v>
      </c>
      <c r="M356" s="3">
        <v>2.62</v>
      </c>
    </row>
    <row r="357" spans="1:13" x14ac:dyDescent="0.25">
      <c r="A357" s="3">
        <v>356</v>
      </c>
      <c r="B357" s="3" t="s">
        <v>38</v>
      </c>
      <c r="C357" s="33">
        <v>45101</v>
      </c>
      <c r="D357" s="3" t="s">
        <v>21</v>
      </c>
      <c r="E357" s="3" t="s">
        <v>13</v>
      </c>
      <c r="F357" s="3" t="s">
        <v>24</v>
      </c>
      <c r="G357" s="3">
        <v>62</v>
      </c>
      <c r="H357" s="3" t="s">
        <v>17</v>
      </c>
      <c r="I357" s="23">
        <v>5.13800001144409</v>
      </c>
      <c r="J357" s="4">
        <v>1919.09997558593</v>
      </c>
      <c r="K357" s="4">
        <v>30548.7</v>
      </c>
      <c r="L357" s="4">
        <v>12147822496</v>
      </c>
      <c r="M357" s="3">
        <v>-0.48</v>
      </c>
    </row>
    <row r="358" spans="1:13" x14ac:dyDescent="0.25">
      <c r="A358" s="3">
        <v>357</v>
      </c>
      <c r="B358" s="3" t="s">
        <v>38</v>
      </c>
      <c r="C358" s="33">
        <v>45102</v>
      </c>
      <c r="D358" s="3" t="s">
        <v>22</v>
      </c>
      <c r="E358" s="3" t="s">
        <v>13</v>
      </c>
      <c r="F358" s="3" t="s">
        <v>24</v>
      </c>
      <c r="G358" s="3">
        <v>64</v>
      </c>
      <c r="H358" s="3" t="s">
        <v>17</v>
      </c>
      <c r="I358" s="23">
        <v>5.13800001144409</v>
      </c>
      <c r="J358" s="4">
        <v>1912.69995117187</v>
      </c>
      <c r="K358" s="4">
        <v>30480.26</v>
      </c>
      <c r="L358" s="4">
        <v>12703464114</v>
      </c>
      <c r="M358" s="3">
        <v>-0.22</v>
      </c>
    </row>
    <row r="359" spans="1:13" x14ac:dyDescent="0.25">
      <c r="A359" s="3">
        <v>358</v>
      </c>
      <c r="B359" s="3" t="s">
        <v>38</v>
      </c>
      <c r="C359" s="33">
        <v>45103</v>
      </c>
      <c r="D359" s="3" t="s">
        <v>12</v>
      </c>
      <c r="E359" s="3" t="s">
        <v>16</v>
      </c>
      <c r="F359" s="3" t="s">
        <v>24</v>
      </c>
      <c r="G359" s="3">
        <v>55</v>
      </c>
      <c r="H359" s="3" t="s">
        <v>17</v>
      </c>
      <c r="I359" s="23">
        <v>5.1550002098083496</v>
      </c>
      <c r="J359" s="4">
        <v>1919.09997558593</v>
      </c>
      <c r="K359" s="4">
        <v>30271.13</v>
      </c>
      <c r="L359" s="4">
        <v>16493186997</v>
      </c>
      <c r="M359" s="3">
        <v>-0.69</v>
      </c>
    </row>
    <row r="360" spans="1:13" x14ac:dyDescent="0.25">
      <c r="A360" s="3">
        <v>359</v>
      </c>
      <c r="B360" s="3" t="s">
        <v>38</v>
      </c>
      <c r="C360" s="33">
        <v>45104</v>
      </c>
      <c r="D360" s="3" t="s">
        <v>15</v>
      </c>
      <c r="E360" s="3" t="s">
        <v>16</v>
      </c>
      <c r="F360" s="3" t="s">
        <v>24</v>
      </c>
      <c r="G360" s="3">
        <v>59</v>
      </c>
      <c r="H360" s="3" t="s">
        <v>17</v>
      </c>
      <c r="I360" s="23">
        <v>5.1799998283386204</v>
      </c>
      <c r="J360" s="4">
        <v>1923.69995117187</v>
      </c>
      <c r="K360" s="4">
        <v>30688.16</v>
      </c>
      <c r="L360" s="4">
        <v>16428827944</v>
      </c>
      <c r="M360" s="3">
        <v>1.38</v>
      </c>
    </row>
    <row r="361" spans="1:13" x14ac:dyDescent="0.25">
      <c r="A361" s="3">
        <v>360</v>
      </c>
      <c r="B361" s="3" t="s">
        <v>38</v>
      </c>
      <c r="C361" s="33">
        <v>45105</v>
      </c>
      <c r="D361" s="3" t="s">
        <v>18</v>
      </c>
      <c r="E361" s="3" t="s">
        <v>16</v>
      </c>
      <c r="F361" s="3" t="s">
        <v>24</v>
      </c>
      <c r="G361" s="3">
        <v>62</v>
      </c>
      <c r="H361" s="3" t="s">
        <v>17</v>
      </c>
      <c r="I361" s="23">
        <v>5.17000007629394</v>
      </c>
      <c r="J361" s="4">
        <v>1914</v>
      </c>
      <c r="K361" s="4">
        <v>30086.25</v>
      </c>
      <c r="L361" s="4">
        <v>14571500779</v>
      </c>
      <c r="M361" s="3">
        <v>-1.96</v>
      </c>
    </row>
    <row r="362" spans="1:13" x14ac:dyDescent="0.25">
      <c r="A362" s="3">
        <v>361</v>
      </c>
      <c r="B362" s="3" t="s">
        <v>38</v>
      </c>
      <c r="C362" s="33">
        <v>45106</v>
      </c>
      <c r="D362" s="3" t="s">
        <v>19</v>
      </c>
      <c r="E362" s="3" t="s">
        <v>16</v>
      </c>
      <c r="F362" s="3" t="s">
        <v>24</v>
      </c>
      <c r="G362" s="3">
        <v>54</v>
      </c>
      <c r="H362" s="3" t="s">
        <v>17</v>
      </c>
      <c r="I362" s="23">
        <v>5.1750001907348597</v>
      </c>
      <c r="J362" s="4">
        <v>1912.30004882812</v>
      </c>
      <c r="K362" s="4">
        <v>30445.35</v>
      </c>
      <c r="L362" s="4">
        <v>13180860821</v>
      </c>
      <c r="M362" s="3">
        <v>1.19</v>
      </c>
    </row>
    <row r="363" spans="1:13" x14ac:dyDescent="0.25">
      <c r="A363" s="3">
        <v>362</v>
      </c>
      <c r="B363" s="3" t="s">
        <v>38</v>
      </c>
      <c r="C363" s="33">
        <v>45107</v>
      </c>
      <c r="D363" s="3" t="s">
        <v>20</v>
      </c>
      <c r="E363" s="3" t="s">
        <v>16</v>
      </c>
      <c r="F363" s="3" t="s">
        <v>24</v>
      </c>
      <c r="G363" s="3">
        <v>56</v>
      </c>
      <c r="H363" s="3" t="s">
        <v>17</v>
      </c>
      <c r="I363" s="23">
        <v>5.1529998779296804</v>
      </c>
      <c r="J363" s="4">
        <v>1909.19995117187</v>
      </c>
      <c r="K363" s="4">
        <v>30477.25</v>
      </c>
      <c r="L363" s="4">
        <v>26387306197</v>
      </c>
      <c r="M363" s="3">
        <v>0.1</v>
      </c>
    </row>
    <row r="364" spans="1:13" x14ac:dyDescent="0.25">
      <c r="A364" s="3">
        <v>363</v>
      </c>
      <c r="B364" s="3" t="s">
        <v>39</v>
      </c>
      <c r="C364" s="33">
        <v>45108</v>
      </c>
      <c r="D364" s="3" t="s">
        <v>21</v>
      </c>
      <c r="E364" s="3" t="s">
        <v>13</v>
      </c>
      <c r="F364" s="3" t="s">
        <v>24</v>
      </c>
      <c r="G364" s="3">
        <v>59</v>
      </c>
      <c r="H364" s="3" t="s">
        <v>17</v>
      </c>
      <c r="I364" s="23">
        <v>5.1529998779296804</v>
      </c>
      <c r="J364" s="4">
        <v>1921.09997558593</v>
      </c>
      <c r="K364" s="4">
        <v>30590.080000000002</v>
      </c>
      <c r="L364" s="4">
        <v>9086606733</v>
      </c>
      <c r="M364" s="3">
        <v>0.37</v>
      </c>
    </row>
    <row r="365" spans="1:13" x14ac:dyDescent="0.25">
      <c r="A365" s="3">
        <v>364</v>
      </c>
      <c r="B365" s="3" t="s">
        <v>39</v>
      </c>
      <c r="C365" s="33">
        <v>45109</v>
      </c>
      <c r="D365" s="3" t="s">
        <v>22</v>
      </c>
      <c r="E365" s="3" t="s">
        <v>13</v>
      </c>
      <c r="F365" s="3" t="s">
        <v>24</v>
      </c>
      <c r="G365" s="3">
        <v>63</v>
      </c>
      <c r="H365" s="3" t="s">
        <v>17</v>
      </c>
      <c r="I365" s="23">
        <v>5.1529998779296804</v>
      </c>
      <c r="J365" s="4">
        <v>1909.19995117187</v>
      </c>
      <c r="K365" s="4">
        <v>30620.77</v>
      </c>
      <c r="L365" s="4">
        <v>10533418042</v>
      </c>
      <c r="M365" s="3">
        <v>0.1</v>
      </c>
    </row>
    <row r="366" spans="1:13" x14ac:dyDescent="0.25">
      <c r="A366" s="3">
        <v>365</v>
      </c>
      <c r="B366" s="3" t="s">
        <v>39</v>
      </c>
      <c r="C366" s="33">
        <v>45110</v>
      </c>
      <c r="D366" s="3" t="s">
        <v>12</v>
      </c>
      <c r="E366" s="3" t="s">
        <v>16</v>
      </c>
      <c r="F366" s="3" t="s">
        <v>24</v>
      </c>
      <c r="G366" s="3">
        <v>62</v>
      </c>
      <c r="H366" s="3" t="s">
        <v>17</v>
      </c>
      <c r="I366" s="23">
        <v>5.1449999809265101</v>
      </c>
      <c r="J366" s="4">
        <v>1921.09997558593</v>
      </c>
      <c r="K366" s="4">
        <v>31156.44</v>
      </c>
      <c r="L366" s="4">
        <v>15271884873</v>
      </c>
      <c r="M366" s="3">
        <v>1.75</v>
      </c>
    </row>
    <row r="367" spans="1:13" x14ac:dyDescent="0.25">
      <c r="A367" s="3">
        <v>366</v>
      </c>
      <c r="B367" s="3" t="s">
        <v>39</v>
      </c>
      <c r="C367" s="33">
        <v>45111</v>
      </c>
      <c r="D367" s="3" t="s">
        <v>15</v>
      </c>
      <c r="E367" s="3" t="s">
        <v>16</v>
      </c>
      <c r="F367" s="3" t="s">
        <v>24</v>
      </c>
      <c r="G367" s="3">
        <v>64</v>
      </c>
      <c r="H367" s="3">
        <v>9</v>
      </c>
      <c r="I367" s="23">
        <v>5.1449999809265101</v>
      </c>
      <c r="J367" s="4">
        <v>1921.69995117187</v>
      </c>
      <c r="K367" s="4">
        <v>30777.58</v>
      </c>
      <c r="L367" s="4">
        <v>12810828427</v>
      </c>
      <c r="M367" s="3">
        <v>-1.22</v>
      </c>
    </row>
    <row r="368" spans="1:13" x14ac:dyDescent="0.25">
      <c r="A368" s="3">
        <v>367</v>
      </c>
      <c r="B368" s="3" t="s">
        <v>39</v>
      </c>
      <c r="C368" s="33">
        <v>45112</v>
      </c>
      <c r="D368" s="3" t="s">
        <v>18</v>
      </c>
      <c r="E368" s="3" t="s">
        <v>16</v>
      </c>
      <c r="F368" s="3" t="s">
        <v>24</v>
      </c>
      <c r="G368" s="3">
        <v>61</v>
      </c>
      <c r="H368" s="3" t="s">
        <v>17</v>
      </c>
      <c r="I368" s="23">
        <v>5.1929998397827104</v>
      </c>
      <c r="J368" s="4">
        <v>1921.09997558593</v>
      </c>
      <c r="K368" s="4">
        <v>30514.17</v>
      </c>
      <c r="L368" s="4">
        <v>12481622280</v>
      </c>
      <c r="M368" s="3">
        <v>-0.86</v>
      </c>
    </row>
    <row r="369" spans="1:13" x14ac:dyDescent="0.25">
      <c r="A369" s="3">
        <v>368</v>
      </c>
      <c r="B369" s="3" t="s">
        <v>39</v>
      </c>
      <c r="C369" s="33">
        <v>45113</v>
      </c>
      <c r="D369" s="3" t="s">
        <v>19</v>
      </c>
      <c r="E369" s="3" t="s">
        <v>16</v>
      </c>
      <c r="F369" s="3" t="s">
        <v>24</v>
      </c>
      <c r="G369" s="3">
        <v>56</v>
      </c>
      <c r="H369" s="3" t="s">
        <v>17</v>
      </c>
      <c r="I369" s="23">
        <v>5.2129998207092196</v>
      </c>
      <c r="J369" s="4">
        <v>1919.59997558593</v>
      </c>
      <c r="K369" s="4">
        <v>29909.34</v>
      </c>
      <c r="L369" s="4">
        <v>21129219509</v>
      </c>
      <c r="M369" s="3">
        <v>-1.98</v>
      </c>
    </row>
    <row r="370" spans="1:13" x14ac:dyDescent="0.25">
      <c r="A370" s="3">
        <v>369</v>
      </c>
      <c r="B370" s="3" t="s">
        <v>39</v>
      </c>
      <c r="C370" s="33">
        <v>45114</v>
      </c>
      <c r="D370" s="3" t="s">
        <v>20</v>
      </c>
      <c r="E370" s="3" t="s">
        <v>16</v>
      </c>
      <c r="F370" s="3" t="s">
        <v>24</v>
      </c>
      <c r="G370" s="3">
        <v>55</v>
      </c>
      <c r="H370" s="3" t="s">
        <v>17</v>
      </c>
      <c r="I370" s="23">
        <v>5.2129998207092196</v>
      </c>
      <c r="J370" s="4">
        <v>1908.69995117187</v>
      </c>
      <c r="K370" s="4">
        <v>30342.27</v>
      </c>
      <c r="L370" s="4">
        <v>13384770155</v>
      </c>
      <c r="M370" s="3">
        <v>1.45</v>
      </c>
    </row>
    <row r="371" spans="1:13" x14ac:dyDescent="0.25">
      <c r="A371" s="3">
        <v>370</v>
      </c>
      <c r="B371" s="3" t="s">
        <v>39</v>
      </c>
      <c r="C371" s="33">
        <v>45115</v>
      </c>
      <c r="D371" s="3" t="s">
        <v>21</v>
      </c>
      <c r="E371" s="3" t="s">
        <v>13</v>
      </c>
      <c r="F371" s="3" t="s">
        <v>24</v>
      </c>
      <c r="G371" s="3">
        <v>58</v>
      </c>
      <c r="H371" s="3" t="s">
        <v>17</v>
      </c>
      <c r="I371" s="23">
        <v>5.2129998207092196</v>
      </c>
      <c r="J371" s="4">
        <v>1926.19995117187</v>
      </c>
      <c r="K371" s="4">
        <v>30292.54</v>
      </c>
      <c r="L371" s="4">
        <v>7509378699</v>
      </c>
      <c r="M371" s="3">
        <v>-0.16</v>
      </c>
    </row>
    <row r="372" spans="1:13" x14ac:dyDescent="0.25">
      <c r="A372" s="3">
        <v>371</v>
      </c>
      <c r="B372" s="3" t="s">
        <v>39</v>
      </c>
      <c r="C372" s="33">
        <v>45116</v>
      </c>
      <c r="D372" s="3" t="s">
        <v>22</v>
      </c>
      <c r="E372" s="3" t="s">
        <v>13</v>
      </c>
      <c r="F372" s="3" t="s">
        <v>24</v>
      </c>
      <c r="G372" s="3">
        <v>55</v>
      </c>
      <c r="H372" s="3" t="s">
        <v>17</v>
      </c>
      <c r="I372" s="23">
        <v>5.2129998207092196</v>
      </c>
      <c r="J372" s="4">
        <v>1908.69995117187</v>
      </c>
      <c r="K372" s="4">
        <v>30171.23</v>
      </c>
      <c r="L372" s="4">
        <v>7903327692</v>
      </c>
      <c r="M372" s="3">
        <v>-0.4</v>
      </c>
    </row>
    <row r="373" spans="1:13" x14ac:dyDescent="0.25">
      <c r="A373" s="3">
        <v>372</v>
      </c>
      <c r="B373" s="3" t="s">
        <v>39</v>
      </c>
      <c r="C373" s="33">
        <v>45117</v>
      </c>
      <c r="D373" s="3" t="s">
        <v>12</v>
      </c>
      <c r="E373" s="3" t="s">
        <v>16</v>
      </c>
      <c r="F373" s="3" t="s">
        <v>24</v>
      </c>
      <c r="G373" s="3">
        <v>56</v>
      </c>
      <c r="H373" s="3" t="s">
        <v>17</v>
      </c>
      <c r="I373" s="23">
        <v>5.2249999046325604</v>
      </c>
      <c r="J373" s="4">
        <v>1926.19995117187</v>
      </c>
      <c r="K373" s="4">
        <v>30414.47</v>
      </c>
      <c r="L373" s="4">
        <v>14828209155</v>
      </c>
      <c r="M373" s="3">
        <v>0.81</v>
      </c>
    </row>
    <row r="374" spans="1:13" x14ac:dyDescent="0.25">
      <c r="A374" s="3">
        <v>373</v>
      </c>
      <c r="B374" s="3" t="s">
        <v>39</v>
      </c>
      <c r="C374" s="33">
        <v>45118</v>
      </c>
      <c r="D374" s="3" t="s">
        <v>15</v>
      </c>
      <c r="E374" s="3" t="s">
        <v>16</v>
      </c>
      <c r="F374" s="3" t="s">
        <v>24</v>
      </c>
      <c r="G374" s="3">
        <v>57</v>
      </c>
      <c r="H374" s="3" t="s">
        <v>17</v>
      </c>
      <c r="I374" s="23">
        <v>5.2430000305175701</v>
      </c>
      <c r="J374" s="4">
        <v>1925</v>
      </c>
      <c r="K374" s="4">
        <v>30620.95</v>
      </c>
      <c r="L374" s="4">
        <v>12151839152</v>
      </c>
      <c r="M374" s="3">
        <v>0.68</v>
      </c>
    </row>
    <row r="375" spans="1:13" x14ac:dyDescent="0.25">
      <c r="A375" s="3">
        <v>374</v>
      </c>
      <c r="B375" s="3" t="s">
        <v>39</v>
      </c>
      <c r="C375" s="33">
        <v>45119</v>
      </c>
      <c r="D375" s="3" t="s">
        <v>18</v>
      </c>
      <c r="E375" s="3" t="s">
        <v>16</v>
      </c>
      <c r="F375" s="3" t="s">
        <v>24</v>
      </c>
      <c r="G375" s="3">
        <v>64</v>
      </c>
      <c r="H375" s="3" t="s">
        <v>17</v>
      </c>
      <c r="I375" s="23">
        <v>5.2300000190734801</v>
      </c>
      <c r="J375" s="4">
        <v>1931.30004882812</v>
      </c>
      <c r="K375" s="4">
        <v>30391.65</v>
      </c>
      <c r="L375" s="4">
        <v>14805659717</v>
      </c>
      <c r="M375" s="3">
        <v>-0.75</v>
      </c>
    </row>
    <row r="376" spans="1:13" x14ac:dyDescent="0.25">
      <c r="A376" s="3">
        <v>375</v>
      </c>
      <c r="B376" s="3" t="s">
        <v>39</v>
      </c>
      <c r="C376" s="33">
        <v>45120</v>
      </c>
      <c r="D376" s="3" t="s">
        <v>19</v>
      </c>
      <c r="E376" s="3" t="s">
        <v>16</v>
      </c>
      <c r="F376" s="3" t="s">
        <v>24</v>
      </c>
      <c r="G376" s="3">
        <v>57</v>
      </c>
      <c r="H376" s="3" t="s">
        <v>17</v>
      </c>
      <c r="I376" s="23">
        <v>5.22300004959106</v>
      </c>
      <c r="J376" s="4">
        <v>1956.19995117187</v>
      </c>
      <c r="K376" s="4">
        <v>31476.05</v>
      </c>
      <c r="L376" s="4">
        <v>23686079548</v>
      </c>
      <c r="M376" s="3">
        <v>3.57</v>
      </c>
    </row>
    <row r="377" spans="1:13" x14ac:dyDescent="0.25">
      <c r="A377" s="3">
        <v>376</v>
      </c>
      <c r="B377" s="3" t="s">
        <v>39</v>
      </c>
      <c r="C377" s="33">
        <v>45121</v>
      </c>
      <c r="D377" s="3" t="s">
        <v>20</v>
      </c>
      <c r="E377" s="3" t="s">
        <v>16</v>
      </c>
      <c r="F377" s="3" t="s">
        <v>24</v>
      </c>
      <c r="G377" s="3">
        <v>60</v>
      </c>
      <c r="H377" s="3" t="s">
        <v>17</v>
      </c>
      <c r="I377" s="23">
        <v>5.2150001525878897</v>
      </c>
      <c r="J377" s="4">
        <v>1959.19995117187</v>
      </c>
      <c r="K377" s="4">
        <v>30334.07</v>
      </c>
      <c r="L377" s="4">
        <v>20917902660</v>
      </c>
      <c r="M377" s="3">
        <v>-3.63</v>
      </c>
    </row>
    <row r="378" spans="1:13" x14ac:dyDescent="0.25">
      <c r="A378" s="3">
        <v>377</v>
      </c>
      <c r="B378" s="3" t="s">
        <v>39</v>
      </c>
      <c r="C378" s="33">
        <v>45122</v>
      </c>
      <c r="D378" s="3" t="s">
        <v>21</v>
      </c>
      <c r="E378" s="3" t="s">
        <v>13</v>
      </c>
      <c r="F378" s="3" t="s">
        <v>24</v>
      </c>
      <c r="G378" s="3">
        <v>56</v>
      </c>
      <c r="H378" s="3" t="s">
        <v>17</v>
      </c>
      <c r="I378" s="23">
        <v>5.2150001525878897</v>
      </c>
      <c r="J378" s="4">
        <v>1960.09997558593</v>
      </c>
      <c r="K378" s="4">
        <v>30295.81</v>
      </c>
      <c r="L378" s="4">
        <v>8011667756</v>
      </c>
      <c r="M378" s="3">
        <v>-0.13</v>
      </c>
    </row>
    <row r="379" spans="1:13" x14ac:dyDescent="0.25">
      <c r="A379" s="3">
        <v>378</v>
      </c>
      <c r="B379" s="3" t="s">
        <v>39</v>
      </c>
      <c r="C379" s="33">
        <v>45123</v>
      </c>
      <c r="D379" s="3" t="s">
        <v>22</v>
      </c>
      <c r="E379" s="3" t="s">
        <v>13</v>
      </c>
      <c r="F379" s="3" t="s">
        <v>24</v>
      </c>
      <c r="G379" s="3">
        <v>57</v>
      </c>
      <c r="H379" s="3" t="s">
        <v>17</v>
      </c>
      <c r="I379" s="23">
        <v>5.2150001525878897</v>
      </c>
      <c r="J379" s="4">
        <v>1959.19995117187</v>
      </c>
      <c r="K379" s="4">
        <v>30249.13</v>
      </c>
      <c r="L379" s="4">
        <v>8516564470</v>
      </c>
      <c r="M379" s="3">
        <v>-0.15</v>
      </c>
    </row>
    <row r="380" spans="1:13" x14ac:dyDescent="0.25">
      <c r="A380" s="3">
        <v>379</v>
      </c>
      <c r="B380" s="3" t="s">
        <v>39</v>
      </c>
      <c r="C380" s="33">
        <v>45124</v>
      </c>
      <c r="D380" s="3" t="s">
        <v>12</v>
      </c>
      <c r="E380" s="3" t="s">
        <v>16</v>
      </c>
      <c r="F380" s="3" t="s">
        <v>24</v>
      </c>
      <c r="G380" s="3">
        <v>54</v>
      </c>
      <c r="H380" s="3" t="s">
        <v>17</v>
      </c>
      <c r="I380" s="23">
        <v>5.2329998016357404</v>
      </c>
      <c r="J380" s="4">
        <v>1960.09997558593</v>
      </c>
      <c r="K380" s="4">
        <v>30145.89</v>
      </c>
      <c r="L380" s="4">
        <v>13240156074</v>
      </c>
      <c r="M380" s="3">
        <v>-0.34</v>
      </c>
    </row>
    <row r="381" spans="1:13" x14ac:dyDescent="0.25">
      <c r="A381" s="3">
        <v>380</v>
      </c>
      <c r="B381" s="3" t="s">
        <v>39</v>
      </c>
      <c r="C381" s="33">
        <v>45125</v>
      </c>
      <c r="D381" s="3" t="s">
        <v>15</v>
      </c>
      <c r="E381" s="3" t="s">
        <v>16</v>
      </c>
      <c r="F381" s="3" t="s">
        <v>24</v>
      </c>
      <c r="G381" s="3">
        <v>56</v>
      </c>
      <c r="H381" s="3" t="s">
        <v>17</v>
      </c>
      <c r="I381" s="23">
        <v>5.2480001449584899</v>
      </c>
      <c r="J381" s="4">
        <v>1952.40002441406</v>
      </c>
      <c r="K381" s="4">
        <v>29856.560000000001</v>
      </c>
      <c r="L381" s="4">
        <v>13138897269</v>
      </c>
      <c r="M381" s="3">
        <v>-0.96</v>
      </c>
    </row>
    <row r="382" spans="1:13" x14ac:dyDescent="0.25">
      <c r="A382" s="3">
        <v>381</v>
      </c>
      <c r="B382" s="3" t="s">
        <v>39</v>
      </c>
      <c r="C382" s="33">
        <v>45126</v>
      </c>
      <c r="D382" s="3" t="s">
        <v>18</v>
      </c>
      <c r="E382" s="3" t="s">
        <v>16</v>
      </c>
      <c r="F382" s="3" t="s">
        <v>24</v>
      </c>
      <c r="G382" s="3">
        <v>50</v>
      </c>
      <c r="H382" s="3" t="s">
        <v>17</v>
      </c>
      <c r="I382" s="23">
        <v>5.2449998855590803</v>
      </c>
      <c r="J382" s="4">
        <v>1977.19995117187</v>
      </c>
      <c r="K382" s="4">
        <v>29913.919999999998</v>
      </c>
      <c r="L382" s="4">
        <v>12128602812</v>
      </c>
      <c r="M382" s="3">
        <v>0.19</v>
      </c>
    </row>
    <row r="383" spans="1:13" x14ac:dyDescent="0.25">
      <c r="A383" s="3">
        <v>382</v>
      </c>
      <c r="B383" s="3" t="s">
        <v>39</v>
      </c>
      <c r="C383" s="33">
        <v>45127</v>
      </c>
      <c r="D383" s="3" t="s">
        <v>19</v>
      </c>
      <c r="E383" s="3" t="s">
        <v>16</v>
      </c>
      <c r="F383" s="3" t="s">
        <v>24</v>
      </c>
      <c r="G383" s="3">
        <v>56</v>
      </c>
      <c r="H383" s="3" t="s">
        <v>17</v>
      </c>
      <c r="I383" s="23">
        <v>5.2430000305175701</v>
      </c>
      <c r="J383" s="4">
        <v>1977.5</v>
      </c>
      <c r="K383" s="4">
        <v>29792.02</v>
      </c>
      <c r="L383" s="4">
        <v>14655207121</v>
      </c>
      <c r="M383" s="3">
        <v>-0.41</v>
      </c>
    </row>
    <row r="384" spans="1:13" x14ac:dyDescent="0.25">
      <c r="A384" s="3">
        <v>383</v>
      </c>
      <c r="B384" s="3" t="s">
        <v>39</v>
      </c>
      <c r="C384" s="33">
        <v>45128</v>
      </c>
      <c r="D384" s="3" t="s">
        <v>20</v>
      </c>
      <c r="E384" s="3" t="s">
        <v>16</v>
      </c>
      <c r="F384" s="3" t="s">
        <v>24</v>
      </c>
      <c r="G384" s="3">
        <v>50</v>
      </c>
      <c r="H384" s="3" t="s">
        <v>17</v>
      </c>
      <c r="I384" s="23">
        <v>5.2480001449584899</v>
      </c>
      <c r="J384" s="4">
        <v>1968.30004882812</v>
      </c>
      <c r="K384" s="4">
        <v>29908.74</v>
      </c>
      <c r="L384" s="4">
        <v>10972789818</v>
      </c>
      <c r="M384" s="3">
        <v>0.39</v>
      </c>
    </row>
    <row r="385" spans="1:13" x14ac:dyDescent="0.25">
      <c r="A385" s="3">
        <v>384</v>
      </c>
      <c r="B385" s="3" t="s">
        <v>39</v>
      </c>
      <c r="C385" s="33">
        <v>45129</v>
      </c>
      <c r="D385" s="3" t="s">
        <v>21</v>
      </c>
      <c r="E385" s="3" t="s">
        <v>13</v>
      </c>
      <c r="F385" s="3" t="s">
        <v>24</v>
      </c>
      <c r="G385" s="3">
        <v>52</v>
      </c>
      <c r="H385" s="3" t="s">
        <v>17</v>
      </c>
      <c r="I385" s="23">
        <v>5.2480001449584899</v>
      </c>
      <c r="J385" s="4">
        <v>1964.30004882812</v>
      </c>
      <c r="K385" s="4">
        <v>29771.8</v>
      </c>
      <c r="L385" s="4">
        <v>7873300598</v>
      </c>
      <c r="M385" s="3">
        <v>-0.46</v>
      </c>
    </row>
    <row r="386" spans="1:13" x14ac:dyDescent="0.25">
      <c r="A386" s="3">
        <v>385</v>
      </c>
      <c r="B386" s="3" t="s">
        <v>39</v>
      </c>
      <c r="C386" s="33">
        <v>45130</v>
      </c>
      <c r="D386" s="3" t="s">
        <v>22</v>
      </c>
      <c r="E386" s="3" t="s">
        <v>13</v>
      </c>
      <c r="F386" s="3" t="s">
        <v>24</v>
      </c>
      <c r="G386" s="3">
        <v>54</v>
      </c>
      <c r="H386" s="3" t="s">
        <v>17</v>
      </c>
      <c r="I386" s="23">
        <v>5.2480001449584899</v>
      </c>
      <c r="J386" s="4">
        <v>1968.30004882812</v>
      </c>
      <c r="K386" s="4">
        <v>30084.54</v>
      </c>
      <c r="L386" s="4">
        <v>9220145050</v>
      </c>
      <c r="M386" s="3">
        <v>1.05</v>
      </c>
    </row>
    <row r="387" spans="1:13" x14ac:dyDescent="0.25">
      <c r="A387" s="3">
        <v>386</v>
      </c>
      <c r="B387" s="3" t="s">
        <v>39</v>
      </c>
      <c r="C387" s="33">
        <v>45131</v>
      </c>
      <c r="D387" s="3" t="s">
        <v>12</v>
      </c>
      <c r="E387" s="3" t="s">
        <v>16</v>
      </c>
      <c r="F387" s="3" t="s">
        <v>24</v>
      </c>
      <c r="G387" s="3">
        <v>55</v>
      </c>
      <c r="H387" s="3" t="s">
        <v>17</v>
      </c>
      <c r="I387" s="23">
        <v>5.25</v>
      </c>
      <c r="J387" s="4">
        <v>1964.30004882812</v>
      </c>
      <c r="K387" s="4">
        <v>29176.92</v>
      </c>
      <c r="L387" s="4">
        <v>15395817395</v>
      </c>
      <c r="M387" s="3">
        <v>-3.02</v>
      </c>
    </row>
    <row r="388" spans="1:13" x14ac:dyDescent="0.25">
      <c r="A388" s="3">
        <v>387</v>
      </c>
      <c r="B388" s="3" t="s">
        <v>39</v>
      </c>
      <c r="C388" s="33">
        <v>45132</v>
      </c>
      <c r="D388" s="3" t="s">
        <v>15</v>
      </c>
      <c r="E388" s="3" t="s">
        <v>16</v>
      </c>
      <c r="F388" s="3" t="s">
        <v>24</v>
      </c>
      <c r="G388" s="3">
        <v>50</v>
      </c>
      <c r="H388" s="3" t="s">
        <v>17</v>
      </c>
      <c r="I388" s="23">
        <v>5.2649998664855904</v>
      </c>
      <c r="J388" s="4">
        <v>1960.30004882812</v>
      </c>
      <c r="K388" s="4">
        <v>29227.39</v>
      </c>
      <c r="L388" s="4">
        <v>10266772793</v>
      </c>
      <c r="M388" s="3">
        <v>0.17</v>
      </c>
    </row>
    <row r="389" spans="1:13" x14ac:dyDescent="0.25">
      <c r="A389" s="3">
        <v>388</v>
      </c>
      <c r="B389" s="3" t="s">
        <v>39</v>
      </c>
      <c r="C389" s="33">
        <v>45133</v>
      </c>
      <c r="D389" s="3" t="s">
        <v>18</v>
      </c>
      <c r="E389" s="3" t="s">
        <v>16</v>
      </c>
      <c r="F389" s="3" t="s">
        <v>24</v>
      </c>
      <c r="G389" s="3">
        <v>51</v>
      </c>
      <c r="H389" s="3" t="s">
        <v>17</v>
      </c>
      <c r="I389" s="23">
        <v>5.2680001258850098</v>
      </c>
      <c r="J389" s="4">
        <v>1962.09997558593</v>
      </c>
      <c r="K389" s="4">
        <v>29354.97</v>
      </c>
      <c r="L389" s="4">
        <v>13497554655</v>
      </c>
      <c r="M389" s="3">
        <v>0.44</v>
      </c>
    </row>
    <row r="390" spans="1:13" x14ac:dyDescent="0.25">
      <c r="A390" s="3">
        <v>389</v>
      </c>
      <c r="B390" s="3" t="s">
        <v>39</v>
      </c>
      <c r="C390" s="33">
        <v>45134</v>
      </c>
      <c r="D390" s="3" t="s">
        <v>19</v>
      </c>
      <c r="E390" s="3" t="s">
        <v>16</v>
      </c>
      <c r="F390" s="3" t="s">
        <v>24</v>
      </c>
      <c r="G390" s="3">
        <v>51</v>
      </c>
      <c r="H390" s="3" t="s">
        <v>17</v>
      </c>
      <c r="I390" s="23">
        <v>5.2680001258850098</v>
      </c>
      <c r="J390" s="4">
        <v>1968.90002441406</v>
      </c>
      <c r="K390" s="4">
        <v>29210.69</v>
      </c>
      <c r="L390" s="4">
        <v>10770779217</v>
      </c>
      <c r="M390" s="3">
        <v>-0.49</v>
      </c>
    </row>
    <row r="391" spans="1:13" x14ac:dyDescent="0.25">
      <c r="A391" s="3">
        <v>390</v>
      </c>
      <c r="B391" s="3" t="s">
        <v>39</v>
      </c>
      <c r="C391" s="33">
        <v>45135</v>
      </c>
      <c r="D391" s="3" t="s">
        <v>20</v>
      </c>
      <c r="E391" s="3" t="s">
        <v>16</v>
      </c>
      <c r="F391" s="3" t="s">
        <v>24</v>
      </c>
      <c r="G391" s="3">
        <v>52</v>
      </c>
      <c r="H391" s="3" t="s">
        <v>17</v>
      </c>
      <c r="I391" s="23">
        <v>5.25500011444091</v>
      </c>
      <c r="J391" s="4">
        <v>1945.40002441406</v>
      </c>
      <c r="K391" s="4">
        <v>29319.25</v>
      </c>
      <c r="L391" s="4">
        <v>11218474952</v>
      </c>
      <c r="M391" s="3">
        <v>0.37</v>
      </c>
    </row>
    <row r="392" spans="1:13" x14ac:dyDescent="0.25">
      <c r="A392" s="3">
        <v>391</v>
      </c>
      <c r="B392" s="3" t="s">
        <v>39</v>
      </c>
      <c r="C392" s="33">
        <v>45136</v>
      </c>
      <c r="D392" s="3" t="s">
        <v>21</v>
      </c>
      <c r="E392" s="3" t="s">
        <v>13</v>
      </c>
      <c r="F392" s="3" t="s">
        <v>24</v>
      </c>
      <c r="G392" s="3">
        <v>52</v>
      </c>
      <c r="H392" s="3" t="s">
        <v>17</v>
      </c>
      <c r="I392" s="23">
        <v>5.25500011444091</v>
      </c>
      <c r="J392" s="4">
        <v>1960.40002441406</v>
      </c>
      <c r="K392" s="4">
        <v>29356.92</v>
      </c>
      <c r="L392" s="4">
        <v>6481775959</v>
      </c>
      <c r="M392" s="3">
        <v>0.13</v>
      </c>
    </row>
    <row r="393" spans="1:13" x14ac:dyDescent="0.25">
      <c r="A393" s="3">
        <v>392</v>
      </c>
      <c r="B393" s="3" t="s">
        <v>39</v>
      </c>
      <c r="C393" s="33">
        <v>45137</v>
      </c>
      <c r="D393" s="3" t="s">
        <v>22</v>
      </c>
      <c r="E393" s="3" t="s">
        <v>13</v>
      </c>
      <c r="F393" s="3" t="s">
        <v>24</v>
      </c>
      <c r="G393" s="3">
        <v>52</v>
      </c>
      <c r="H393" s="3" t="s">
        <v>17</v>
      </c>
      <c r="I393" s="23">
        <v>5.25500011444091</v>
      </c>
      <c r="J393" s="4">
        <v>1945.40002441406</v>
      </c>
      <c r="K393" s="4">
        <v>29275.31</v>
      </c>
      <c r="L393" s="4">
        <v>8678454527</v>
      </c>
      <c r="M393" s="3">
        <v>-0.28000000000000003</v>
      </c>
    </row>
    <row r="394" spans="1:13" x14ac:dyDescent="0.25">
      <c r="A394" s="3">
        <v>393</v>
      </c>
      <c r="B394" s="3" t="s">
        <v>39</v>
      </c>
      <c r="C394" s="33">
        <v>45138</v>
      </c>
      <c r="D394" s="3" t="s">
        <v>12</v>
      </c>
      <c r="E394" s="3" t="s">
        <v>16</v>
      </c>
      <c r="F394" s="3" t="s">
        <v>24</v>
      </c>
      <c r="G394" s="3">
        <v>50</v>
      </c>
      <c r="H394" s="3" t="s">
        <v>17</v>
      </c>
      <c r="I394" s="23">
        <v>5.2480001449584899</v>
      </c>
      <c r="J394" s="4">
        <v>1960.40002441406</v>
      </c>
      <c r="K394" s="4">
        <v>29230.11</v>
      </c>
      <c r="L394" s="4">
        <v>11656781982</v>
      </c>
      <c r="M394" s="3">
        <v>-0.15</v>
      </c>
    </row>
    <row r="395" spans="1:13" x14ac:dyDescent="0.25">
      <c r="A395" s="3">
        <v>394</v>
      </c>
      <c r="B395" s="3" t="s">
        <v>40</v>
      </c>
      <c r="C395" s="33">
        <v>45139</v>
      </c>
      <c r="D395" s="3" t="s">
        <v>15</v>
      </c>
      <c r="E395" s="3" t="s">
        <v>16</v>
      </c>
      <c r="F395" s="3" t="s">
        <v>24</v>
      </c>
      <c r="G395" s="3">
        <v>53</v>
      </c>
      <c r="H395" s="3" t="s">
        <v>17</v>
      </c>
      <c r="I395" s="23">
        <v>5.2600002288818297</v>
      </c>
      <c r="J395" s="4">
        <v>1970.5</v>
      </c>
      <c r="K395" s="4">
        <v>29675.73</v>
      </c>
      <c r="L395" s="4">
        <v>18272392391</v>
      </c>
      <c r="M395" s="3">
        <v>1.52</v>
      </c>
    </row>
    <row r="396" spans="1:13" x14ac:dyDescent="0.25">
      <c r="A396" s="3">
        <v>395</v>
      </c>
      <c r="B396" s="3" t="s">
        <v>40</v>
      </c>
      <c r="C396" s="33">
        <v>45140</v>
      </c>
      <c r="D396" s="3" t="s">
        <v>18</v>
      </c>
      <c r="E396" s="3" t="s">
        <v>16</v>
      </c>
      <c r="F396" s="3" t="s">
        <v>24</v>
      </c>
      <c r="G396" s="3">
        <v>53</v>
      </c>
      <c r="H396" s="3" t="s">
        <v>17</v>
      </c>
      <c r="I396" s="23">
        <v>5.2600002288818297</v>
      </c>
      <c r="J396" s="4">
        <v>1940.69995117187</v>
      </c>
      <c r="K396" s="4">
        <v>29151.96</v>
      </c>
      <c r="L396" s="4">
        <v>19212655598</v>
      </c>
      <c r="M396" s="3">
        <v>-1.76</v>
      </c>
    </row>
    <row r="397" spans="1:13" x14ac:dyDescent="0.25">
      <c r="A397" s="3">
        <v>396</v>
      </c>
      <c r="B397" s="3" t="s">
        <v>40</v>
      </c>
      <c r="C397" s="33">
        <v>45141</v>
      </c>
      <c r="D397" s="3" t="s">
        <v>19</v>
      </c>
      <c r="E397" s="3" t="s">
        <v>16</v>
      </c>
      <c r="F397" s="3" t="s">
        <v>24</v>
      </c>
      <c r="G397" s="3">
        <v>52</v>
      </c>
      <c r="H397" s="3" t="s">
        <v>17</v>
      </c>
      <c r="I397" s="23">
        <v>5.2579998970031703</v>
      </c>
      <c r="J397" s="4">
        <v>1937.40002441406</v>
      </c>
      <c r="K397" s="4">
        <v>29178.68</v>
      </c>
      <c r="L397" s="4">
        <v>12780357746</v>
      </c>
      <c r="M397" s="3">
        <v>0.09</v>
      </c>
    </row>
    <row r="398" spans="1:13" x14ac:dyDescent="0.25">
      <c r="A398" s="3">
        <v>397</v>
      </c>
      <c r="B398" s="3" t="s">
        <v>40</v>
      </c>
      <c r="C398" s="33">
        <v>45142</v>
      </c>
      <c r="D398" s="3" t="s">
        <v>20</v>
      </c>
      <c r="E398" s="3" t="s">
        <v>16</v>
      </c>
      <c r="F398" s="3" t="s">
        <v>24</v>
      </c>
      <c r="G398" s="3">
        <v>54</v>
      </c>
      <c r="H398" s="3" t="s">
        <v>17</v>
      </c>
      <c r="I398" s="23">
        <v>5.2529997825622496</v>
      </c>
      <c r="J398" s="4">
        <v>1932</v>
      </c>
      <c r="K398" s="4">
        <v>29074.09</v>
      </c>
      <c r="L398" s="4">
        <v>12036639988</v>
      </c>
      <c r="M398" s="3">
        <v>-0.36</v>
      </c>
    </row>
    <row r="399" spans="1:13" x14ac:dyDescent="0.25">
      <c r="A399" s="3">
        <v>398</v>
      </c>
      <c r="B399" s="3" t="s">
        <v>40</v>
      </c>
      <c r="C399" s="33">
        <v>45143</v>
      </c>
      <c r="D399" s="3" t="s">
        <v>21</v>
      </c>
      <c r="E399" s="3" t="s">
        <v>13</v>
      </c>
      <c r="F399" s="3" t="s">
        <v>24</v>
      </c>
      <c r="G399" s="3">
        <v>50</v>
      </c>
      <c r="H399" s="3" t="s">
        <v>17</v>
      </c>
      <c r="I399" s="23">
        <v>5.2529997825622496</v>
      </c>
      <c r="J399" s="4">
        <v>1939.59997558593</v>
      </c>
      <c r="K399" s="4">
        <v>29042.13</v>
      </c>
      <c r="L399" s="4">
        <v>6598366353</v>
      </c>
      <c r="M399" s="3">
        <v>-0.11</v>
      </c>
    </row>
    <row r="400" spans="1:13" x14ac:dyDescent="0.25">
      <c r="A400" s="3">
        <v>399</v>
      </c>
      <c r="B400" s="3" t="s">
        <v>40</v>
      </c>
      <c r="C400" s="33">
        <v>45144</v>
      </c>
      <c r="D400" s="3" t="s">
        <v>22</v>
      </c>
      <c r="E400" s="3" t="s">
        <v>13</v>
      </c>
      <c r="F400" s="3" t="s">
        <v>23</v>
      </c>
      <c r="G400" s="3">
        <v>49</v>
      </c>
      <c r="H400" s="3" t="s">
        <v>17</v>
      </c>
      <c r="I400" s="23">
        <v>5.2529997825622496</v>
      </c>
      <c r="J400" s="4">
        <v>1932</v>
      </c>
      <c r="K400" s="4">
        <v>29041.86</v>
      </c>
      <c r="L400" s="4">
        <v>7269806994</v>
      </c>
      <c r="M400" s="3">
        <v>0</v>
      </c>
    </row>
    <row r="401" spans="1:13" x14ac:dyDescent="0.25">
      <c r="A401" s="3">
        <v>400</v>
      </c>
      <c r="B401" s="3" t="s">
        <v>40</v>
      </c>
      <c r="C401" s="33">
        <v>45145</v>
      </c>
      <c r="D401" s="3" t="s">
        <v>12</v>
      </c>
      <c r="E401" s="3" t="s">
        <v>16</v>
      </c>
      <c r="F401" s="3" t="s">
        <v>23</v>
      </c>
      <c r="G401" s="3">
        <v>49</v>
      </c>
      <c r="H401" s="3" t="s">
        <v>17</v>
      </c>
      <c r="I401" s="23">
        <v>5.2600002288818297</v>
      </c>
      <c r="J401" s="4">
        <v>1939.59997558593</v>
      </c>
      <c r="K401" s="4">
        <v>29180.58</v>
      </c>
      <c r="L401" s="4">
        <v>13618163710</v>
      </c>
      <c r="M401" s="3">
        <v>0.48</v>
      </c>
    </row>
    <row r="402" spans="1:13" x14ac:dyDescent="0.25">
      <c r="A402" s="3">
        <v>401</v>
      </c>
      <c r="B402" s="3" t="s">
        <v>40</v>
      </c>
      <c r="C402" s="33">
        <v>45146</v>
      </c>
      <c r="D402" s="3" t="s">
        <v>15</v>
      </c>
      <c r="E402" s="3" t="s">
        <v>16</v>
      </c>
      <c r="F402" s="3" t="s">
        <v>24</v>
      </c>
      <c r="G402" s="3">
        <v>54</v>
      </c>
      <c r="H402" s="3" t="s">
        <v>17</v>
      </c>
      <c r="I402" s="23">
        <v>5.2750000953674299</v>
      </c>
      <c r="J402" s="4">
        <v>1933.5</v>
      </c>
      <c r="K402" s="4">
        <v>29765.49</v>
      </c>
      <c r="L402" s="4">
        <v>17570561357</v>
      </c>
      <c r="M402" s="3">
        <v>2</v>
      </c>
    </row>
    <row r="403" spans="1:13" x14ac:dyDescent="0.25">
      <c r="A403" s="3">
        <v>402</v>
      </c>
      <c r="B403" s="3" t="s">
        <v>40</v>
      </c>
      <c r="C403" s="33">
        <v>45147</v>
      </c>
      <c r="D403" s="3" t="s">
        <v>18</v>
      </c>
      <c r="E403" s="3" t="s">
        <v>16</v>
      </c>
      <c r="F403" s="3" t="s">
        <v>24</v>
      </c>
      <c r="G403" s="3">
        <v>50</v>
      </c>
      <c r="H403" s="3" t="s">
        <v>17</v>
      </c>
      <c r="I403" s="23">
        <v>5.2800002098083496</v>
      </c>
      <c r="J403" s="4">
        <v>1924.09997558593</v>
      </c>
      <c r="K403" s="4">
        <v>29561.49</v>
      </c>
      <c r="L403" s="4">
        <v>18379521213</v>
      </c>
      <c r="M403" s="3">
        <v>-0.69</v>
      </c>
    </row>
    <row r="404" spans="1:13" x14ac:dyDescent="0.25">
      <c r="A404" s="3">
        <v>403</v>
      </c>
      <c r="B404" s="3" t="s">
        <v>40</v>
      </c>
      <c r="C404" s="33">
        <v>45148</v>
      </c>
      <c r="D404" s="3" t="s">
        <v>19</v>
      </c>
      <c r="E404" s="3" t="s">
        <v>16</v>
      </c>
      <c r="F404" s="3" t="s">
        <v>24</v>
      </c>
      <c r="G404" s="3">
        <v>53</v>
      </c>
      <c r="H404" s="3" t="s">
        <v>17</v>
      </c>
      <c r="I404" s="23">
        <v>5.2680001258850098</v>
      </c>
      <c r="J404" s="4">
        <v>1915.40002441406</v>
      </c>
      <c r="K404" s="4">
        <v>29429.59</v>
      </c>
      <c r="L404" s="4">
        <v>11865344789</v>
      </c>
      <c r="M404" s="3">
        <v>-0.45</v>
      </c>
    </row>
    <row r="405" spans="1:13" x14ac:dyDescent="0.25">
      <c r="A405" s="3">
        <v>404</v>
      </c>
      <c r="B405" s="3" t="s">
        <v>40</v>
      </c>
      <c r="C405" s="33">
        <v>45149</v>
      </c>
      <c r="D405" s="3" t="s">
        <v>20</v>
      </c>
      <c r="E405" s="3" t="s">
        <v>16</v>
      </c>
      <c r="F405" s="3" t="s">
        <v>24</v>
      </c>
      <c r="G405" s="3">
        <v>51</v>
      </c>
      <c r="H405" s="3" t="s">
        <v>17</v>
      </c>
      <c r="I405" s="23">
        <v>5.2649998664855904</v>
      </c>
      <c r="J405" s="4">
        <v>1914.40002441406</v>
      </c>
      <c r="K405" s="4">
        <v>29397.71</v>
      </c>
      <c r="L405" s="4">
        <v>10195168197</v>
      </c>
      <c r="M405" s="3">
        <v>-0.11</v>
      </c>
    </row>
    <row r="406" spans="1:13" x14ac:dyDescent="0.25">
      <c r="A406" s="3">
        <v>405</v>
      </c>
      <c r="B406" s="3" t="s">
        <v>40</v>
      </c>
      <c r="C406" s="33">
        <v>45150</v>
      </c>
      <c r="D406" s="3" t="s">
        <v>21</v>
      </c>
      <c r="E406" s="3" t="s">
        <v>13</v>
      </c>
      <c r="F406" s="3" t="s">
        <v>24</v>
      </c>
      <c r="G406" s="3">
        <v>54</v>
      </c>
      <c r="H406" s="3" t="s">
        <v>17</v>
      </c>
      <c r="I406" s="23">
        <v>5.2649998664855904</v>
      </c>
      <c r="J406" s="4">
        <v>1912.90002441406</v>
      </c>
      <c r="K406" s="4">
        <v>29415.96</v>
      </c>
      <c r="L406" s="4">
        <v>6194358008</v>
      </c>
      <c r="M406" s="3">
        <v>0.06</v>
      </c>
    </row>
    <row r="407" spans="1:13" x14ac:dyDescent="0.25">
      <c r="A407" s="3">
        <v>406</v>
      </c>
      <c r="B407" s="3" t="s">
        <v>40</v>
      </c>
      <c r="C407" s="33">
        <v>45151</v>
      </c>
      <c r="D407" s="3" t="s">
        <v>22</v>
      </c>
      <c r="E407" s="3" t="s">
        <v>13</v>
      </c>
      <c r="F407" s="3" t="s">
        <v>24</v>
      </c>
      <c r="G407" s="3">
        <v>54</v>
      </c>
      <c r="H407" s="3" t="s">
        <v>17</v>
      </c>
      <c r="I407" s="23">
        <v>5.2649998664855904</v>
      </c>
      <c r="J407" s="4">
        <v>1914.40002441406</v>
      </c>
      <c r="K407" s="4">
        <v>29282.91</v>
      </c>
      <c r="L407" s="4">
        <v>7329897180</v>
      </c>
      <c r="M407" s="3">
        <v>-0.45</v>
      </c>
    </row>
    <row r="408" spans="1:13" x14ac:dyDescent="0.25">
      <c r="A408" s="3">
        <v>407</v>
      </c>
      <c r="B408" s="3" t="s">
        <v>40</v>
      </c>
      <c r="C408" s="33">
        <v>45152</v>
      </c>
      <c r="D408" s="3" t="s">
        <v>12</v>
      </c>
      <c r="E408" s="3" t="s">
        <v>16</v>
      </c>
      <c r="F408" s="3" t="s">
        <v>24</v>
      </c>
      <c r="G408" s="3">
        <v>50</v>
      </c>
      <c r="H408" s="3" t="s">
        <v>17</v>
      </c>
      <c r="I408" s="23">
        <v>5.2699999809265101</v>
      </c>
      <c r="J408" s="4">
        <v>1912.90002441406</v>
      </c>
      <c r="K408" s="4">
        <v>29408.44</v>
      </c>
      <c r="L408" s="4">
        <v>14013695304</v>
      </c>
      <c r="M408" s="3">
        <v>0.43</v>
      </c>
    </row>
    <row r="409" spans="1:13" x14ac:dyDescent="0.25">
      <c r="A409" s="3">
        <v>408</v>
      </c>
      <c r="B409" s="3" t="s">
        <v>40</v>
      </c>
      <c r="C409" s="33">
        <v>45153</v>
      </c>
      <c r="D409" s="3" t="s">
        <v>15</v>
      </c>
      <c r="E409" s="3" t="s">
        <v>16</v>
      </c>
      <c r="F409" s="3" t="s">
        <v>24</v>
      </c>
      <c r="G409" s="3">
        <v>53</v>
      </c>
      <c r="H409" s="3" t="s">
        <v>17</v>
      </c>
      <c r="I409" s="23">
        <v>5.2800002098083496</v>
      </c>
      <c r="J409" s="4">
        <v>1910.59997558593</v>
      </c>
      <c r="K409" s="4">
        <v>29170.35</v>
      </c>
      <c r="L409" s="4">
        <v>12640195779</v>
      </c>
      <c r="M409" s="3">
        <v>-0.81</v>
      </c>
    </row>
    <row r="410" spans="1:13" x14ac:dyDescent="0.25">
      <c r="A410" s="3">
        <v>409</v>
      </c>
      <c r="B410" s="3" t="s">
        <v>40</v>
      </c>
      <c r="C410" s="33">
        <v>45154</v>
      </c>
      <c r="D410" s="3" t="s">
        <v>18</v>
      </c>
      <c r="E410" s="3" t="s">
        <v>16</v>
      </c>
      <c r="F410" s="3" t="s">
        <v>24</v>
      </c>
      <c r="G410" s="3">
        <v>52</v>
      </c>
      <c r="H410" s="3" t="s">
        <v>17</v>
      </c>
      <c r="I410" s="23">
        <v>5.2849998474120996</v>
      </c>
      <c r="J410" s="4">
        <v>1902.5</v>
      </c>
      <c r="K410" s="4">
        <v>28701.78</v>
      </c>
      <c r="L410" s="4">
        <v>14949271904</v>
      </c>
      <c r="M410" s="3">
        <v>-1.61</v>
      </c>
    </row>
    <row r="411" spans="1:13" x14ac:dyDescent="0.25">
      <c r="A411" s="3">
        <v>410</v>
      </c>
      <c r="B411" s="3" t="s">
        <v>40</v>
      </c>
      <c r="C411" s="33">
        <v>45155</v>
      </c>
      <c r="D411" s="3" t="s">
        <v>19</v>
      </c>
      <c r="E411" s="3" t="s">
        <v>16</v>
      </c>
      <c r="F411" s="3" t="s">
        <v>24</v>
      </c>
      <c r="G411" s="3">
        <v>50</v>
      </c>
      <c r="H411" s="3" t="s">
        <v>17</v>
      </c>
      <c r="I411" s="23">
        <v>5.2779998779296804</v>
      </c>
      <c r="J411" s="4">
        <v>1896.09997558593</v>
      </c>
      <c r="K411" s="4">
        <v>26664.55</v>
      </c>
      <c r="L411" s="4">
        <v>31120851211</v>
      </c>
      <c r="M411" s="3">
        <v>-7.1</v>
      </c>
    </row>
    <row r="412" spans="1:13" x14ac:dyDescent="0.25">
      <c r="A412" s="3">
        <v>411</v>
      </c>
      <c r="B412" s="3" t="s">
        <v>40</v>
      </c>
      <c r="C412" s="33">
        <v>45156</v>
      </c>
      <c r="D412" s="3" t="s">
        <v>20</v>
      </c>
      <c r="E412" s="3" t="s">
        <v>16</v>
      </c>
      <c r="F412" s="3" t="s">
        <v>23</v>
      </c>
      <c r="G412" s="3">
        <v>37</v>
      </c>
      <c r="H412" s="3" t="s">
        <v>17</v>
      </c>
      <c r="I412" s="23">
        <v>5.2779998779296804</v>
      </c>
      <c r="J412" s="4">
        <v>1884.09997558593</v>
      </c>
      <c r="K412" s="4">
        <v>26049.56</v>
      </c>
      <c r="L412" s="4">
        <v>24026236529</v>
      </c>
      <c r="M412" s="3">
        <v>-2.31</v>
      </c>
    </row>
    <row r="413" spans="1:13" x14ac:dyDescent="0.25">
      <c r="A413" s="3">
        <v>412</v>
      </c>
      <c r="B413" s="3" t="s">
        <v>40</v>
      </c>
      <c r="C413" s="33">
        <v>45157</v>
      </c>
      <c r="D413" s="3" t="s">
        <v>21</v>
      </c>
      <c r="E413" s="3" t="s">
        <v>13</v>
      </c>
      <c r="F413" s="3" t="s">
        <v>23</v>
      </c>
      <c r="G413" s="3">
        <v>39</v>
      </c>
      <c r="H413" s="3" t="s">
        <v>17</v>
      </c>
      <c r="I413" s="23">
        <v>5.2779998779296804</v>
      </c>
      <c r="J413" s="4">
        <v>1886.09997558593</v>
      </c>
      <c r="K413" s="4">
        <v>26096.21</v>
      </c>
      <c r="L413" s="4">
        <v>10631443812</v>
      </c>
      <c r="M413" s="3">
        <v>0.18</v>
      </c>
    </row>
    <row r="414" spans="1:13" x14ac:dyDescent="0.25">
      <c r="A414" s="3">
        <v>413</v>
      </c>
      <c r="B414" s="3" t="s">
        <v>40</v>
      </c>
      <c r="C414" s="33">
        <v>45158</v>
      </c>
      <c r="D414" s="3" t="s">
        <v>22</v>
      </c>
      <c r="E414" s="3" t="s">
        <v>13</v>
      </c>
      <c r="F414" s="3" t="s">
        <v>23</v>
      </c>
      <c r="G414" s="3">
        <v>37</v>
      </c>
      <c r="H414" s="3" t="s">
        <v>17</v>
      </c>
      <c r="I414" s="23">
        <v>5.2779998779296804</v>
      </c>
      <c r="J414" s="4">
        <v>1884.09997558593</v>
      </c>
      <c r="K414" s="4">
        <v>26189.58</v>
      </c>
      <c r="L414" s="4">
        <v>9036580420</v>
      </c>
      <c r="M414" s="3">
        <v>0.36</v>
      </c>
    </row>
    <row r="415" spans="1:13" x14ac:dyDescent="0.25">
      <c r="A415" s="3">
        <v>414</v>
      </c>
      <c r="B415" s="3" t="s">
        <v>40</v>
      </c>
      <c r="C415" s="33">
        <v>45159</v>
      </c>
      <c r="D415" s="3" t="s">
        <v>12</v>
      </c>
      <c r="E415" s="3" t="s">
        <v>16</v>
      </c>
      <c r="F415" s="3" t="s">
        <v>23</v>
      </c>
      <c r="G415" s="3">
        <v>38</v>
      </c>
      <c r="H415" s="3" t="s">
        <v>17</v>
      </c>
      <c r="I415" s="23">
        <v>5.2800002098083496</v>
      </c>
      <c r="J415" s="4">
        <v>1886.09997558593</v>
      </c>
      <c r="K415" s="4">
        <v>26124.14</v>
      </c>
      <c r="L415" s="4">
        <v>13371557893</v>
      </c>
      <c r="M415" s="3">
        <v>-0.25</v>
      </c>
    </row>
    <row r="416" spans="1:13" x14ac:dyDescent="0.25">
      <c r="A416" s="3">
        <v>415</v>
      </c>
      <c r="B416" s="3" t="s">
        <v>40</v>
      </c>
      <c r="C416" s="33">
        <v>45160</v>
      </c>
      <c r="D416" s="3" t="s">
        <v>15</v>
      </c>
      <c r="E416" s="3" t="s">
        <v>16</v>
      </c>
      <c r="F416" s="3" t="s">
        <v>23</v>
      </c>
      <c r="G416" s="3">
        <v>37</v>
      </c>
      <c r="H416" s="3" t="s">
        <v>17</v>
      </c>
      <c r="I416" s="23">
        <v>5.29500007629394</v>
      </c>
      <c r="J416" s="4">
        <v>1893.30004882812</v>
      </c>
      <c r="K416" s="4">
        <v>26031.66</v>
      </c>
      <c r="L416" s="4">
        <v>14503820706</v>
      </c>
      <c r="M416" s="3">
        <v>-0.35</v>
      </c>
    </row>
    <row r="417" spans="1:13" x14ac:dyDescent="0.25">
      <c r="A417" s="3">
        <v>416</v>
      </c>
      <c r="B417" s="3" t="s">
        <v>40</v>
      </c>
      <c r="C417" s="33">
        <v>45161</v>
      </c>
      <c r="D417" s="3" t="s">
        <v>18</v>
      </c>
      <c r="E417" s="3" t="s">
        <v>16</v>
      </c>
      <c r="F417" s="3" t="s">
        <v>23</v>
      </c>
      <c r="G417" s="3">
        <v>37</v>
      </c>
      <c r="H417" s="3" t="s">
        <v>17</v>
      </c>
      <c r="I417" s="23">
        <v>5.29500007629394</v>
      </c>
      <c r="J417" s="4">
        <v>1896.40002441406</v>
      </c>
      <c r="K417" s="4">
        <v>26431.64</v>
      </c>
      <c r="L417" s="4">
        <v>16985265785</v>
      </c>
      <c r="M417" s="3">
        <v>1.54</v>
      </c>
    </row>
    <row r="418" spans="1:13" x14ac:dyDescent="0.25">
      <c r="A418" s="3">
        <v>417</v>
      </c>
      <c r="B418" s="3" t="s">
        <v>40</v>
      </c>
      <c r="C418" s="33">
        <v>45162</v>
      </c>
      <c r="D418" s="3" t="s">
        <v>19</v>
      </c>
      <c r="E418" s="3" t="s">
        <v>16</v>
      </c>
      <c r="F418" s="3" t="s">
        <v>23</v>
      </c>
      <c r="G418" s="3">
        <v>41</v>
      </c>
      <c r="H418" s="3" t="s">
        <v>17</v>
      </c>
      <c r="I418" s="23">
        <v>5.3029999732971103</v>
      </c>
      <c r="J418" s="4">
        <v>1918.5</v>
      </c>
      <c r="K418" s="4">
        <v>26162.37</v>
      </c>
      <c r="L418" s="4">
        <v>12871532023</v>
      </c>
      <c r="M418" s="3">
        <v>-1.02</v>
      </c>
    </row>
    <row r="419" spans="1:13" x14ac:dyDescent="0.25">
      <c r="A419" s="3">
        <v>418</v>
      </c>
      <c r="B419" s="3" t="s">
        <v>40</v>
      </c>
      <c r="C419" s="33">
        <v>45163</v>
      </c>
      <c r="D419" s="3" t="s">
        <v>20</v>
      </c>
      <c r="E419" s="3" t="s">
        <v>16</v>
      </c>
      <c r="F419" s="3" t="s">
        <v>23</v>
      </c>
      <c r="G419" s="3">
        <v>39</v>
      </c>
      <c r="H419" s="3" t="s">
        <v>17</v>
      </c>
      <c r="I419" s="23">
        <v>5.3150000572204501</v>
      </c>
      <c r="J419" s="4">
        <v>1918.19995117187</v>
      </c>
      <c r="K419" s="4">
        <v>26047.67</v>
      </c>
      <c r="L419" s="4">
        <v>12406045118</v>
      </c>
      <c r="M419" s="3">
        <v>-0.44</v>
      </c>
    </row>
    <row r="420" spans="1:13" x14ac:dyDescent="0.25">
      <c r="A420" s="3">
        <v>419</v>
      </c>
      <c r="B420" s="3" t="s">
        <v>40</v>
      </c>
      <c r="C420" s="33">
        <v>45164</v>
      </c>
      <c r="D420" s="3" t="s">
        <v>21</v>
      </c>
      <c r="E420" s="3" t="s">
        <v>13</v>
      </c>
      <c r="F420" s="3" t="s">
        <v>23</v>
      </c>
      <c r="G420" s="3">
        <v>38</v>
      </c>
      <c r="H420" s="3" t="s">
        <v>17</v>
      </c>
      <c r="I420" s="23">
        <v>5.3150000572204501</v>
      </c>
      <c r="J420" s="4">
        <v>1911.09997558593</v>
      </c>
      <c r="K420" s="4">
        <v>26008.46</v>
      </c>
      <c r="L420" s="4">
        <v>6034817316</v>
      </c>
      <c r="M420" s="3">
        <v>-0.15</v>
      </c>
    </row>
    <row r="421" spans="1:13" x14ac:dyDescent="0.25">
      <c r="A421" s="3">
        <v>420</v>
      </c>
      <c r="B421" s="3" t="s">
        <v>40</v>
      </c>
      <c r="C421" s="33">
        <v>45165</v>
      </c>
      <c r="D421" s="3" t="s">
        <v>22</v>
      </c>
      <c r="E421" s="3" t="s">
        <v>13</v>
      </c>
      <c r="F421" s="3" t="s">
        <v>23</v>
      </c>
      <c r="G421" s="3">
        <v>38</v>
      </c>
      <c r="H421" s="3" t="s">
        <v>17</v>
      </c>
      <c r="I421" s="23">
        <v>5.3150000572204501</v>
      </c>
      <c r="J421" s="4">
        <v>1918.19995117187</v>
      </c>
      <c r="K421" s="4">
        <v>26089.69</v>
      </c>
      <c r="L421" s="4">
        <v>6913768611</v>
      </c>
      <c r="M421" s="3">
        <v>0.31</v>
      </c>
    </row>
    <row r="422" spans="1:13" x14ac:dyDescent="0.25">
      <c r="A422" s="3">
        <v>421</v>
      </c>
      <c r="B422" s="3" t="s">
        <v>40</v>
      </c>
      <c r="C422" s="33">
        <v>45166</v>
      </c>
      <c r="D422" s="3" t="s">
        <v>12</v>
      </c>
      <c r="E422" s="3" t="s">
        <v>16</v>
      </c>
      <c r="F422" s="3" t="s">
        <v>23</v>
      </c>
      <c r="G422" s="3">
        <v>39</v>
      </c>
      <c r="H422" s="3" t="s">
        <v>17</v>
      </c>
      <c r="I422" s="23">
        <v>5.3229999542236301</v>
      </c>
      <c r="J422" s="4">
        <v>1911.09997558593</v>
      </c>
      <c r="K422" s="4">
        <v>26106.15</v>
      </c>
      <c r="L422" s="4">
        <v>11002805166</v>
      </c>
      <c r="M422" s="3">
        <v>0.06</v>
      </c>
    </row>
    <row r="423" spans="1:13" x14ac:dyDescent="0.25">
      <c r="A423" s="3">
        <v>422</v>
      </c>
      <c r="B423" s="3" t="s">
        <v>40</v>
      </c>
      <c r="C423" s="33">
        <v>45167</v>
      </c>
      <c r="D423" s="3" t="s">
        <v>15</v>
      </c>
      <c r="E423" s="3" t="s">
        <v>16</v>
      </c>
      <c r="F423" s="3" t="s">
        <v>23</v>
      </c>
      <c r="G423" s="3">
        <v>39</v>
      </c>
      <c r="H423" s="3" t="s">
        <v>17</v>
      </c>
      <c r="I423" s="23">
        <v>5.3200001716613698</v>
      </c>
      <c r="J423" s="4">
        <v>1917.90002441406</v>
      </c>
      <c r="K423" s="4">
        <v>27727.39</v>
      </c>
      <c r="L423" s="4">
        <v>29368391712</v>
      </c>
      <c r="M423" s="3">
        <v>6.21</v>
      </c>
    </row>
    <row r="424" spans="1:13" x14ac:dyDescent="0.25">
      <c r="A424" s="3">
        <v>423</v>
      </c>
      <c r="B424" s="3" t="s">
        <v>40</v>
      </c>
      <c r="C424" s="33">
        <v>45168</v>
      </c>
      <c r="D424" s="3" t="s">
        <v>18</v>
      </c>
      <c r="E424" s="3" t="s">
        <v>16</v>
      </c>
      <c r="F424" s="3" t="s">
        <v>23</v>
      </c>
      <c r="G424" s="3">
        <v>49</v>
      </c>
      <c r="H424" s="3" t="s">
        <v>17</v>
      </c>
      <c r="I424" s="23">
        <v>5.3150000572204501</v>
      </c>
      <c r="J424" s="4">
        <v>1936.5</v>
      </c>
      <c r="K424" s="4">
        <v>27297.27</v>
      </c>
      <c r="L424" s="4">
        <v>16343655235</v>
      </c>
      <c r="M424" s="3">
        <v>-1.55</v>
      </c>
    </row>
    <row r="425" spans="1:13" x14ac:dyDescent="0.25">
      <c r="A425" s="3">
        <v>424</v>
      </c>
      <c r="B425" s="3" t="s">
        <v>40</v>
      </c>
      <c r="C425" s="33">
        <v>45169</v>
      </c>
      <c r="D425" s="3" t="s">
        <v>19</v>
      </c>
      <c r="E425" s="3" t="s">
        <v>16</v>
      </c>
      <c r="F425" s="3" t="s">
        <v>24</v>
      </c>
      <c r="G425" s="3">
        <v>52</v>
      </c>
      <c r="H425" s="3" t="s">
        <v>17</v>
      </c>
      <c r="I425" s="23">
        <v>5.2979998588562003</v>
      </c>
      <c r="J425" s="4">
        <v>1944.30004882812</v>
      </c>
      <c r="K425" s="4">
        <v>25931.47</v>
      </c>
      <c r="L425" s="4">
        <v>20181001451</v>
      </c>
      <c r="M425" s="3">
        <v>-5</v>
      </c>
    </row>
    <row r="426" spans="1:13" x14ac:dyDescent="0.25">
      <c r="A426" s="3">
        <v>425</v>
      </c>
      <c r="B426" s="3" t="s">
        <v>41</v>
      </c>
      <c r="C426" s="33">
        <v>45170</v>
      </c>
      <c r="D426" s="3" t="s">
        <v>20</v>
      </c>
      <c r="E426" s="3" t="s">
        <v>16</v>
      </c>
      <c r="F426" s="3" t="s">
        <v>23</v>
      </c>
      <c r="G426" s="3">
        <v>40</v>
      </c>
      <c r="H426" s="3" t="s">
        <v>17</v>
      </c>
      <c r="I426" s="23">
        <v>5.2680001258850098</v>
      </c>
      <c r="J426" s="4">
        <v>1938.19995117187</v>
      </c>
      <c r="K426" s="4">
        <v>25800.720000000001</v>
      </c>
      <c r="L426" s="4">
        <v>17202862221</v>
      </c>
      <c r="M426" s="3">
        <v>-0.5</v>
      </c>
    </row>
    <row r="427" spans="1:13" x14ac:dyDescent="0.25">
      <c r="A427" s="3">
        <v>426</v>
      </c>
      <c r="B427" s="3" t="s">
        <v>41</v>
      </c>
      <c r="C427" s="33">
        <v>45171</v>
      </c>
      <c r="D427" s="3" t="s">
        <v>21</v>
      </c>
      <c r="E427" s="3" t="s">
        <v>13</v>
      </c>
      <c r="F427" s="3" t="s">
        <v>23</v>
      </c>
      <c r="G427" s="3">
        <v>39</v>
      </c>
      <c r="H427" s="3" t="s">
        <v>17</v>
      </c>
      <c r="I427" s="23">
        <v>5.2680001258850098</v>
      </c>
      <c r="J427" s="4">
        <v>1939.80004882812</v>
      </c>
      <c r="K427" s="4">
        <v>25868.799999999999</v>
      </c>
      <c r="L427" s="4">
        <v>10100387473</v>
      </c>
      <c r="M427" s="3">
        <v>0.26</v>
      </c>
    </row>
    <row r="428" spans="1:13" x14ac:dyDescent="0.25">
      <c r="A428" s="3">
        <v>427</v>
      </c>
      <c r="B428" s="3" t="s">
        <v>41</v>
      </c>
      <c r="C428" s="33">
        <v>45172</v>
      </c>
      <c r="D428" s="3" t="s">
        <v>22</v>
      </c>
      <c r="E428" s="3" t="s">
        <v>13</v>
      </c>
      <c r="F428" s="3" t="s">
        <v>23</v>
      </c>
      <c r="G428" s="3">
        <v>40</v>
      </c>
      <c r="H428" s="3" t="s">
        <v>17</v>
      </c>
      <c r="I428" s="23">
        <v>5.2680001258850098</v>
      </c>
      <c r="J428" s="4">
        <v>1938.19995117187</v>
      </c>
      <c r="K428" s="4">
        <v>25969.57</v>
      </c>
      <c r="L428" s="4">
        <v>8962524523</v>
      </c>
      <c r="M428" s="3">
        <v>0.39</v>
      </c>
    </row>
    <row r="429" spans="1:13" x14ac:dyDescent="0.25">
      <c r="A429" s="3">
        <v>428</v>
      </c>
      <c r="B429" s="3" t="s">
        <v>41</v>
      </c>
      <c r="C429" s="33">
        <v>45173</v>
      </c>
      <c r="D429" s="3" t="s">
        <v>12</v>
      </c>
      <c r="E429" s="3" t="s">
        <v>16</v>
      </c>
      <c r="F429" s="3" t="s">
        <v>23</v>
      </c>
      <c r="G429" s="3">
        <v>40</v>
      </c>
      <c r="H429" s="3" t="s">
        <v>17</v>
      </c>
      <c r="I429" s="23">
        <v>5.2680001258850098</v>
      </c>
      <c r="J429" s="4">
        <v>1939.80004882812</v>
      </c>
      <c r="K429" s="4">
        <v>25812.42</v>
      </c>
      <c r="L429" s="4">
        <v>10680635106</v>
      </c>
      <c r="M429" s="3">
        <v>-0.61</v>
      </c>
    </row>
    <row r="430" spans="1:13" x14ac:dyDescent="0.25">
      <c r="A430" s="3">
        <v>429</v>
      </c>
      <c r="B430" s="3" t="s">
        <v>41</v>
      </c>
      <c r="C430" s="33">
        <v>45174</v>
      </c>
      <c r="D430" s="3" t="s">
        <v>15</v>
      </c>
      <c r="E430" s="3" t="s">
        <v>16</v>
      </c>
      <c r="F430" s="3" t="s">
        <v>23</v>
      </c>
      <c r="G430" s="3">
        <v>40</v>
      </c>
      <c r="H430" s="3" t="s">
        <v>17</v>
      </c>
      <c r="I430" s="23">
        <v>5.2779998779296804</v>
      </c>
      <c r="J430" s="4">
        <v>1938.19995117187</v>
      </c>
      <c r="K430" s="4">
        <v>25779.98</v>
      </c>
      <c r="L430" s="4">
        <v>11094740040</v>
      </c>
      <c r="M430" s="3">
        <v>-0.13</v>
      </c>
    </row>
    <row r="431" spans="1:13" x14ac:dyDescent="0.25">
      <c r="A431" s="3">
        <v>430</v>
      </c>
      <c r="B431" s="3" t="s">
        <v>41</v>
      </c>
      <c r="C431" s="33">
        <v>45175</v>
      </c>
      <c r="D431" s="3" t="s">
        <v>18</v>
      </c>
      <c r="E431" s="3" t="s">
        <v>16</v>
      </c>
      <c r="F431" s="3" t="s">
        <v>23</v>
      </c>
      <c r="G431" s="3">
        <v>42</v>
      </c>
      <c r="H431" s="3" t="s">
        <v>17</v>
      </c>
      <c r="I431" s="23">
        <v>5.3000001907348597</v>
      </c>
      <c r="J431" s="4">
        <v>1926.19995117187</v>
      </c>
      <c r="K431" s="4">
        <v>25753.24</v>
      </c>
      <c r="L431" s="4">
        <v>12752705327</v>
      </c>
      <c r="M431" s="3">
        <v>-0.1</v>
      </c>
    </row>
    <row r="432" spans="1:13" x14ac:dyDescent="0.25">
      <c r="A432" s="3">
        <v>431</v>
      </c>
      <c r="B432" s="3" t="s">
        <v>41</v>
      </c>
      <c r="C432" s="33">
        <v>45176</v>
      </c>
      <c r="D432" s="3" t="s">
        <v>19</v>
      </c>
      <c r="E432" s="3" t="s">
        <v>16</v>
      </c>
      <c r="F432" s="3" t="s">
        <v>23</v>
      </c>
      <c r="G432" s="3">
        <v>41</v>
      </c>
      <c r="H432" s="3" t="s">
        <v>17</v>
      </c>
      <c r="I432" s="23">
        <v>5.2829999923706001</v>
      </c>
      <c r="J432" s="4">
        <v>1918.09997558593</v>
      </c>
      <c r="K432" s="4">
        <v>26240.2</v>
      </c>
      <c r="L432" s="4">
        <v>11088307100</v>
      </c>
      <c r="M432" s="3">
        <v>1.89</v>
      </c>
    </row>
    <row r="433" spans="1:13" x14ac:dyDescent="0.25">
      <c r="A433" s="3">
        <v>432</v>
      </c>
      <c r="B433" s="3" t="s">
        <v>41</v>
      </c>
      <c r="C433" s="33">
        <v>45177</v>
      </c>
      <c r="D433" s="3" t="s">
        <v>20</v>
      </c>
      <c r="E433" s="3" t="s">
        <v>16</v>
      </c>
      <c r="F433" s="3" t="s">
        <v>23</v>
      </c>
      <c r="G433" s="3">
        <v>46</v>
      </c>
      <c r="H433" s="3" t="s">
        <v>17</v>
      </c>
      <c r="I433" s="23">
        <v>5.2930002212524396</v>
      </c>
      <c r="J433" s="4">
        <v>1917.5</v>
      </c>
      <c r="K433" s="4">
        <v>25905.65</v>
      </c>
      <c r="L433" s="4">
        <v>10817356400</v>
      </c>
      <c r="M433" s="3">
        <v>-1.27</v>
      </c>
    </row>
    <row r="434" spans="1:13" x14ac:dyDescent="0.25">
      <c r="A434" s="3">
        <v>433</v>
      </c>
      <c r="B434" s="3" t="s">
        <v>41</v>
      </c>
      <c r="C434" s="33">
        <v>45178</v>
      </c>
      <c r="D434" s="3" t="s">
        <v>21</v>
      </c>
      <c r="E434" s="3" t="s">
        <v>13</v>
      </c>
      <c r="F434" s="3" t="s">
        <v>23</v>
      </c>
      <c r="G434" s="3">
        <v>41</v>
      </c>
      <c r="H434" s="3" t="s">
        <v>17</v>
      </c>
      <c r="I434" s="23">
        <v>5.2930002212524396</v>
      </c>
      <c r="J434" s="4">
        <v>1918.40002441406</v>
      </c>
      <c r="K434" s="4">
        <v>25895.68</v>
      </c>
      <c r="L434" s="4">
        <v>5481314132</v>
      </c>
      <c r="M434" s="3">
        <v>-0.04</v>
      </c>
    </row>
    <row r="435" spans="1:13" x14ac:dyDescent="0.25">
      <c r="A435" s="3">
        <v>434</v>
      </c>
      <c r="B435" s="3" t="s">
        <v>41</v>
      </c>
      <c r="C435" s="33">
        <v>45179</v>
      </c>
      <c r="D435" s="3" t="s">
        <v>22</v>
      </c>
      <c r="E435" s="3" t="s">
        <v>13</v>
      </c>
      <c r="F435" s="3" t="s">
        <v>23</v>
      </c>
      <c r="G435" s="3">
        <v>40</v>
      </c>
      <c r="H435" s="3" t="s">
        <v>17</v>
      </c>
      <c r="I435" s="23">
        <v>5.2930002212524396</v>
      </c>
      <c r="J435" s="4">
        <v>1917.5</v>
      </c>
      <c r="K435" s="4">
        <v>25832.23</v>
      </c>
      <c r="L435" s="4">
        <v>7899553047</v>
      </c>
      <c r="M435" s="3">
        <v>-0.25</v>
      </c>
    </row>
    <row r="436" spans="1:13" x14ac:dyDescent="0.25">
      <c r="A436" s="3">
        <v>435</v>
      </c>
      <c r="B436" s="3" t="s">
        <v>41</v>
      </c>
      <c r="C436" s="33">
        <v>45180</v>
      </c>
      <c r="D436" s="3" t="s">
        <v>12</v>
      </c>
      <c r="E436" s="3" t="s">
        <v>16</v>
      </c>
      <c r="F436" s="3" t="s">
        <v>23</v>
      </c>
      <c r="G436" s="3">
        <v>40</v>
      </c>
      <c r="H436" s="3" t="s">
        <v>17</v>
      </c>
      <c r="I436" s="23">
        <v>5.2930002212524396</v>
      </c>
      <c r="J436" s="4">
        <v>1918.40002441406</v>
      </c>
      <c r="K436" s="4">
        <v>25162.65</v>
      </c>
      <c r="L436" s="4">
        <v>14600006467</v>
      </c>
      <c r="M436" s="3">
        <v>-2.59</v>
      </c>
    </row>
    <row r="437" spans="1:13" x14ac:dyDescent="0.25">
      <c r="A437" s="3">
        <v>436</v>
      </c>
      <c r="B437" s="3" t="s">
        <v>41</v>
      </c>
      <c r="C437" s="33">
        <v>45181</v>
      </c>
      <c r="D437" s="3" t="s">
        <v>15</v>
      </c>
      <c r="E437" s="3" t="s">
        <v>16</v>
      </c>
      <c r="F437" s="3" t="s">
        <v>23</v>
      </c>
      <c r="G437" s="3">
        <v>30</v>
      </c>
      <c r="H437" s="3" t="s">
        <v>17</v>
      </c>
      <c r="I437" s="23">
        <v>5.3049998283386204</v>
      </c>
      <c r="J437" s="4">
        <v>1923.30004882812</v>
      </c>
      <c r="K437" s="4">
        <v>25833.34</v>
      </c>
      <c r="L437" s="4">
        <v>18657279324</v>
      </c>
      <c r="M437" s="3">
        <v>2.67</v>
      </c>
    </row>
    <row r="438" spans="1:13" x14ac:dyDescent="0.25">
      <c r="A438" s="3">
        <v>437</v>
      </c>
      <c r="B438" s="3" t="s">
        <v>41</v>
      </c>
      <c r="C438" s="33">
        <v>45182</v>
      </c>
      <c r="D438" s="3" t="s">
        <v>18</v>
      </c>
      <c r="E438" s="3" t="s">
        <v>16</v>
      </c>
      <c r="F438" s="3" t="s">
        <v>23</v>
      </c>
      <c r="G438" s="3">
        <v>41</v>
      </c>
      <c r="H438" s="3" t="s">
        <v>17</v>
      </c>
      <c r="I438" s="23">
        <v>5.3049998283386204</v>
      </c>
      <c r="J438" s="4">
        <v>1911.30004882812</v>
      </c>
      <c r="K438" s="4">
        <v>26228.32</v>
      </c>
      <c r="L438" s="4">
        <v>13072077070</v>
      </c>
      <c r="M438" s="3">
        <v>1.53</v>
      </c>
    </row>
    <row r="439" spans="1:13" x14ac:dyDescent="0.25">
      <c r="A439" s="3">
        <v>438</v>
      </c>
      <c r="B439" s="3" t="s">
        <v>41</v>
      </c>
      <c r="C439" s="33">
        <v>45183</v>
      </c>
      <c r="D439" s="3" t="s">
        <v>19</v>
      </c>
      <c r="E439" s="3" t="s">
        <v>16</v>
      </c>
      <c r="F439" s="3" t="s">
        <v>23</v>
      </c>
      <c r="G439" s="3">
        <v>45</v>
      </c>
      <c r="H439" s="3" t="s">
        <v>17</v>
      </c>
      <c r="I439" s="23">
        <v>5.29500007629394</v>
      </c>
      <c r="J439" s="4">
        <v>1909.09997558593</v>
      </c>
      <c r="K439" s="4">
        <v>26539.67</v>
      </c>
      <c r="L439" s="4">
        <v>13811359124</v>
      </c>
      <c r="M439" s="3">
        <v>1.19</v>
      </c>
    </row>
    <row r="440" spans="1:13" x14ac:dyDescent="0.25">
      <c r="A440" s="3">
        <v>439</v>
      </c>
      <c r="B440" s="3" t="s">
        <v>41</v>
      </c>
      <c r="C440" s="33">
        <v>45184</v>
      </c>
      <c r="D440" s="3" t="s">
        <v>20</v>
      </c>
      <c r="E440" s="3" t="s">
        <v>16</v>
      </c>
      <c r="F440" s="3" t="s">
        <v>23</v>
      </c>
      <c r="G440" s="3">
        <v>45</v>
      </c>
      <c r="H440" s="3">
        <v>10</v>
      </c>
      <c r="I440" s="23">
        <v>5.2979998588562003</v>
      </c>
      <c r="J440" s="4">
        <v>1910</v>
      </c>
      <c r="K440" s="4">
        <v>26608.69</v>
      </c>
      <c r="L440" s="4">
        <v>11479735788</v>
      </c>
      <c r="M440" s="3">
        <v>0.26</v>
      </c>
    </row>
    <row r="441" spans="1:13" x14ac:dyDescent="0.25">
      <c r="A441" s="3">
        <v>440</v>
      </c>
      <c r="B441" s="3" t="s">
        <v>41</v>
      </c>
      <c r="C441" s="33">
        <v>45185</v>
      </c>
      <c r="D441" s="3" t="s">
        <v>21</v>
      </c>
      <c r="E441" s="3" t="s">
        <v>13</v>
      </c>
      <c r="F441" s="3" t="s">
        <v>23</v>
      </c>
      <c r="G441" s="3">
        <v>43</v>
      </c>
      <c r="H441" s="3" t="s">
        <v>17</v>
      </c>
      <c r="I441" s="23">
        <v>5.2979998588562003</v>
      </c>
      <c r="J441" s="4">
        <v>1923.69995117187</v>
      </c>
      <c r="K441" s="4">
        <v>26568.28</v>
      </c>
      <c r="L441" s="4">
        <v>7402031417</v>
      </c>
      <c r="M441" s="3">
        <v>-0.15</v>
      </c>
    </row>
    <row r="442" spans="1:13" x14ac:dyDescent="0.25">
      <c r="A442" s="3">
        <v>441</v>
      </c>
      <c r="B442" s="3" t="s">
        <v>41</v>
      </c>
      <c r="C442" s="33">
        <v>45186</v>
      </c>
      <c r="D442" s="3" t="s">
        <v>22</v>
      </c>
      <c r="E442" s="3" t="s">
        <v>13</v>
      </c>
      <c r="F442" s="3" t="s">
        <v>23</v>
      </c>
      <c r="G442" s="3">
        <v>46</v>
      </c>
      <c r="H442" s="3" t="s">
        <v>17</v>
      </c>
      <c r="I442" s="23">
        <v>5.2979998588562003</v>
      </c>
      <c r="J442" s="4">
        <v>1910</v>
      </c>
      <c r="K442" s="4">
        <v>26534.19</v>
      </c>
      <c r="L442" s="4">
        <v>6774210670</v>
      </c>
      <c r="M442" s="3">
        <v>-0.13</v>
      </c>
    </row>
    <row r="443" spans="1:13" x14ac:dyDescent="0.25">
      <c r="A443" s="3">
        <v>442</v>
      </c>
      <c r="B443" s="3" t="s">
        <v>41</v>
      </c>
      <c r="C443" s="33">
        <v>45187</v>
      </c>
      <c r="D443" s="3" t="s">
        <v>12</v>
      </c>
      <c r="E443" s="3" t="s">
        <v>16</v>
      </c>
      <c r="F443" s="3" t="s">
        <v>23</v>
      </c>
      <c r="G443" s="3">
        <v>46</v>
      </c>
      <c r="H443" s="3" t="s">
        <v>17</v>
      </c>
      <c r="I443" s="23">
        <v>5.3000001907348597</v>
      </c>
      <c r="J443" s="4">
        <v>1923.69995117187</v>
      </c>
      <c r="K443" s="4">
        <v>26754.28</v>
      </c>
      <c r="L443" s="4">
        <v>15615339655</v>
      </c>
      <c r="M443" s="3">
        <v>0.83</v>
      </c>
    </row>
    <row r="444" spans="1:13" x14ac:dyDescent="0.25">
      <c r="A444" s="3">
        <v>443</v>
      </c>
      <c r="B444" s="3" t="s">
        <v>41</v>
      </c>
      <c r="C444" s="33">
        <v>45188</v>
      </c>
      <c r="D444" s="3" t="s">
        <v>15</v>
      </c>
      <c r="E444" s="3" t="s">
        <v>16</v>
      </c>
      <c r="F444" s="3" t="s">
        <v>23</v>
      </c>
      <c r="G444" s="3">
        <v>46</v>
      </c>
      <c r="H444" s="3" t="s">
        <v>17</v>
      </c>
      <c r="I444" s="23">
        <v>5.3099999427795401</v>
      </c>
      <c r="J444" s="4">
        <v>1931.5</v>
      </c>
      <c r="K444" s="4">
        <v>27211.119999999999</v>
      </c>
      <c r="L444" s="4">
        <v>13807690550</v>
      </c>
      <c r="M444" s="3">
        <v>1.71</v>
      </c>
    </row>
    <row r="445" spans="1:13" x14ac:dyDescent="0.25">
      <c r="A445" s="3">
        <v>444</v>
      </c>
      <c r="B445" s="3" t="s">
        <v>41</v>
      </c>
      <c r="C445" s="33">
        <v>45189</v>
      </c>
      <c r="D445" s="3" t="s">
        <v>18</v>
      </c>
      <c r="E445" s="3" t="s">
        <v>16</v>
      </c>
      <c r="F445" s="3" t="s">
        <v>23</v>
      </c>
      <c r="G445" s="3">
        <v>47</v>
      </c>
      <c r="H445" s="3" t="s">
        <v>17</v>
      </c>
      <c r="I445" s="23">
        <v>5.3150000572204501</v>
      </c>
      <c r="J445" s="4">
        <v>1932</v>
      </c>
      <c r="K445" s="4">
        <v>27132.01</v>
      </c>
      <c r="L445" s="4">
        <v>13281116604</v>
      </c>
      <c r="M445" s="3">
        <v>-0.28999999999999998</v>
      </c>
    </row>
    <row r="446" spans="1:13" x14ac:dyDescent="0.25">
      <c r="A446" s="3">
        <v>445</v>
      </c>
      <c r="B446" s="3" t="s">
        <v>41</v>
      </c>
      <c r="C446" s="33">
        <v>45190</v>
      </c>
      <c r="D446" s="3" t="s">
        <v>19</v>
      </c>
      <c r="E446" s="3" t="s">
        <v>16</v>
      </c>
      <c r="F446" s="3" t="s">
        <v>23</v>
      </c>
      <c r="G446" s="3">
        <v>47</v>
      </c>
      <c r="H446" s="3" t="s">
        <v>17</v>
      </c>
      <c r="I446" s="23">
        <v>5.3049998283386204</v>
      </c>
      <c r="J446" s="4">
        <v>1945.59997558593</v>
      </c>
      <c r="K446" s="4">
        <v>26567.63</v>
      </c>
      <c r="L446" s="4">
        <v>13371443708</v>
      </c>
      <c r="M446" s="3">
        <v>-2.08</v>
      </c>
    </row>
    <row r="447" spans="1:13" x14ac:dyDescent="0.25">
      <c r="A447" s="3">
        <v>446</v>
      </c>
      <c r="B447" s="3" t="s">
        <v>41</v>
      </c>
      <c r="C447" s="33">
        <v>45191</v>
      </c>
      <c r="D447" s="3" t="s">
        <v>20</v>
      </c>
      <c r="E447" s="3" t="s">
        <v>16</v>
      </c>
      <c r="F447" s="3" t="s">
        <v>23</v>
      </c>
      <c r="G447" s="3">
        <v>43</v>
      </c>
      <c r="H447" s="3" t="s">
        <v>17</v>
      </c>
      <c r="I447" s="23">
        <v>5.3049998283386204</v>
      </c>
      <c r="J447" s="4">
        <v>1919.19995117187</v>
      </c>
      <c r="K447" s="4">
        <v>26579.57</v>
      </c>
      <c r="L447" s="4">
        <v>10578746709</v>
      </c>
      <c r="M447" s="3">
        <v>0.04</v>
      </c>
    </row>
    <row r="448" spans="1:13" x14ac:dyDescent="0.25">
      <c r="A448" s="3">
        <v>447</v>
      </c>
      <c r="B448" s="3" t="s">
        <v>41</v>
      </c>
      <c r="C448" s="33">
        <v>45192</v>
      </c>
      <c r="D448" s="3" t="s">
        <v>21</v>
      </c>
      <c r="E448" s="3" t="s">
        <v>13</v>
      </c>
      <c r="F448" s="3" t="s">
        <v>23</v>
      </c>
      <c r="G448" s="3">
        <v>47</v>
      </c>
      <c r="H448" s="3" t="s">
        <v>17</v>
      </c>
      <c r="I448" s="23">
        <v>5.3049998283386204</v>
      </c>
      <c r="J448" s="4">
        <v>1925.40002441406</v>
      </c>
      <c r="K448" s="4">
        <v>26579.39</v>
      </c>
      <c r="L448" s="4">
        <v>7404700301</v>
      </c>
      <c r="M448" s="3">
        <v>0</v>
      </c>
    </row>
    <row r="449" spans="1:13" x14ac:dyDescent="0.25">
      <c r="A449" s="3">
        <v>448</v>
      </c>
      <c r="B449" s="3" t="s">
        <v>41</v>
      </c>
      <c r="C449" s="33">
        <v>45193</v>
      </c>
      <c r="D449" s="3" t="s">
        <v>22</v>
      </c>
      <c r="E449" s="3" t="s">
        <v>13</v>
      </c>
      <c r="F449" s="3" t="s">
        <v>23</v>
      </c>
      <c r="G449" s="3">
        <v>44</v>
      </c>
      <c r="H449" s="3" t="s">
        <v>17</v>
      </c>
      <c r="I449" s="23">
        <v>5.3049998283386204</v>
      </c>
      <c r="J449" s="4">
        <v>1919.19995117187</v>
      </c>
      <c r="K449" s="4">
        <v>26256.83</v>
      </c>
      <c r="L449" s="4">
        <v>8192867686</v>
      </c>
      <c r="M449" s="3">
        <v>-1.21</v>
      </c>
    </row>
    <row r="450" spans="1:13" x14ac:dyDescent="0.25">
      <c r="A450" s="3">
        <v>449</v>
      </c>
      <c r="B450" s="3" t="s">
        <v>41</v>
      </c>
      <c r="C450" s="33">
        <v>45194</v>
      </c>
      <c r="D450" s="3" t="s">
        <v>12</v>
      </c>
      <c r="E450" s="3" t="s">
        <v>16</v>
      </c>
      <c r="F450" s="3" t="s">
        <v>23</v>
      </c>
      <c r="G450" s="3">
        <v>47</v>
      </c>
      <c r="H450" s="3" t="s">
        <v>17</v>
      </c>
      <c r="I450" s="23">
        <v>5.3130002021789497</v>
      </c>
      <c r="J450" s="4">
        <v>1925.40002441406</v>
      </c>
      <c r="K450" s="4">
        <v>26298.48</v>
      </c>
      <c r="L450" s="4">
        <v>11997833257</v>
      </c>
      <c r="M450" s="3">
        <v>0.16</v>
      </c>
    </row>
    <row r="451" spans="1:13" x14ac:dyDescent="0.25">
      <c r="A451" s="3">
        <v>450</v>
      </c>
      <c r="B451" s="3" t="s">
        <v>41</v>
      </c>
      <c r="C451" s="33">
        <v>45195</v>
      </c>
      <c r="D451" s="3" t="s">
        <v>15</v>
      </c>
      <c r="E451" s="3" t="s">
        <v>16</v>
      </c>
      <c r="F451" s="3" t="s">
        <v>23</v>
      </c>
      <c r="G451" s="3">
        <v>46</v>
      </c>
      <c r="H451" s="3" t="s">
        <v>17</v>
      </c>
      <c r="I451" s="23">
        <v>5.3249998092651296</v>
      </c>
      <c r="J451" s="4">
        <v>1916.59997558593</v>
      </c>
      <c r="K451" s="4">
        <v>26217.25</v>
      </c>
      <c r="L451" s="4">
        <v>9985498161</v>
      </c>
      <c r="M451" s="3">
        <v>-0.31</v>
      </c>
    </row>
    <row r="452" spans="1:13" x14ac:dyDescent="0.25">
      <c r="A452" s="3">
        <v>451</v>
      </c>
      <c r="B452" s="3" t="s">
        <v>41</v>
      </c>
      <c r="C452" s="33">
        <v>45196</v>
      </c>
      <c r="D452" s="3" t="s">
        <v>18</v>
      </c>
      <c r="E452" s="3" t="s">
        <v>16</v>
      </c>
      <c r="F452" s="3" t="s">
        <v>23</v>
      </c>
      <c r="G452" s="3">
        <v>44</v>
      </c>
      <c r="H452" s="3" t="s">
        <v>17</v>
      </c>
      <c r="I452" s="23">
        <v>5.3299999237060502</v>
      </c>
      <c r="J452" s="4">
        <v>1900.40002441406</v>
      </c>
      <c r="K452" s="4">
        <v>26352.720000000001</v>
      </c>
      <c r="L452" s="4">
        <v>11718380997</v>
      </c>
      <c r="M452" s="3">
        <v>0.52</v>
      </c>
    </row>
    <row r="453" spans="1:13" x14ac:dyDescent="0.25">
      <c r="A453" s="3">
        <v>452</v>
      </c>
      <c r="B453" s="3" t="s">
        <v>41</v>
      </c>
      <c r="C453" s="33">
        <v>45197</v>
      </c>
      <c r="D453" s="3" t="s">
        <v>19</v>
      </c>
      <c r="E453" s="3" t="s">
        <v>16</v>
      </c>
      <c r="F453" s="3" t="s">
        <v>23</v>
      </c>
      <c r="G453" s="3">
        <v>46</v>
      </c>
      <c r="H453" s="3" t="s">
        <v>17</v>
      </c>
      <c r="I453" s="23">
        <v>5.30800008773803</v>
      </c>
      <c r="J453" s="4">
        <v>1871.59997558593</v>
      </c>
      <c r="K453" s="4">
        <v>27021.55</v>
      </c>
      <c r="L453" s="4">
        <v>14079002707</v>
      </c>
      <c r="M453" s="3">
        <v>2.54</v>
      </c>
    </row>
    <row r="454" spans="1:13" x14ac:dyDescent="0.25">
      <c r="A454" s="3">
        <v>453</v>
      </c>
      <c r="B454" s="3" t="s">
        <v>41</v>
      </c>
      <c r="C454" s="33">
        <v>45198</v>
      </c>
      <c r="D454" s="3" t="s">
        <v>20</v>
      </c>
      <c r="E454" s="3" t="s">
        <v>16</v>
      </c>
      <c r="F454" s="3" t="s">
        <v>23</v>
      </c>
      <c r="G454" s="3">
        <v>48</v>
      </c>
      <c r="H454" s="3" t="s">
        <v>17</v>
      </c>
      <c r="I454" s="23">
        <v>5.3000001907348597</v>
      </c>
      <c r="J454" s="4">
        <v>1860.40002441406</v>
      </c>
      <c r="K454" s="4">
        <v>26911.72</v>
      </c>
      <c r="L454" s="4">
        <v>10396435377</v>
      </c>
      <c r="M454" s="3">
        <v>-0.41</v>
      </c>
    </row>
    <row r="455" spans="1:13" x14ac:dyDescent="0.25">
      <c r="A455" s="3">
        <v>454</v>
      </c>
      <c r="B455" s="3" t="s">
        <v>41</v>
      </c>
      <c r="C455" s="33">
        <v>45199</v>
      </c>
      <c r="D455" s="3" t="s">
        <v>21</v>
      </c>
      <c r="E455" s="3" t="s">
        <v>13</v>
      </c>
      <c r="F455" s="3" t="s">
        <v>23</v>
      </c>
      <c r="G455" s="3">
        <v>47</v>
      </c>
      <c r="H455" s="3" t="s">
        <v>17</v>
      </c>
      <c r="I455" s="23">
        <v>5.3000001907348597</v>
      </c>
      <c r="J455" s="4">
        <v>1848.09997558593</v>
      </c>
      <c r="K455" s="4">
        <v>26967.919999999998</v>
      </c>
      <c r="L455" s="4">
        <v>5331172801</v>
      </c>
      <c r="M455" s="3">
        <v>0.21</v>
      </c>
    </row>
    <row r="456" spans="1:13" x14ac:dyDescent="0.25">
      <c r="A456" s="3">
        <v>455</v>
      </c>
      <c r="B456" s="3" t="s">
        <v>42</v>
      </c>
      <c r="C456" s="33">
        <v>45200</v>
      </c>
      <c r="D456" s="3" t="s">
        <v>22</v>
      </c>
      <c r="E456" s="3" t="s">
        <v>13</v>
      </c>
      <c r="F456" s="3" t="s">
        <v>23</v>
      </c>
      <c r="G456" s="3">
        <v>48</v>
      </c>
      <c r="H456" s="3" t="s">
        <v>17</v>
      </c>
      <c r="I456" s="23">
        <v>5.3000001907348597</v>
      </c>
      <c r="J456" s="4">
        <v>1860.40002441406</v>
      </c>
      <c r="K456" s="4">
        <v>27983.75</v>
      </c>
      <c r="L456" s="4">
        <v>9503917434</v>
      </c>
      <c r="M456" s="3">
        <v>3.77</v>
      </c>
    </row>
    <row r="457" spans="1:13" x14ac:dyDescent="0.25">
      <c r="A457" s="3">
        <v>456</v>
      </c>
      <c r="B457" s="3" t="s">
        <v>42</v>
      </c>
      <c r="C457" s="33">
        <v>45201</v>
      </c>
      <c r="D457" s="3" t="s">
        <v>12</v>
      </c>
      <c r="E457" s="3" t="s">
        <v>16</v>
      </c>
      <c r="F457" s="3" t="s">
        <v>24</v>
      </c>
      <c r="G457" s="3">
        <v>50</v>
      </c>
      <c r="H457" s="3" t="s">
        <v>17</v>
      </c>
      <c r="I457" s="23">
        <v>5.3150000572204501</v>
      </c>
      <c r="J457" s="4">
        <v>1848.09997558593</v>
      </c>
      <c r="K457" s="4">
        <v>27530.79</v>
      </c>
      <c r="L457" s="4">
        <v>19793041322</v>
      </c>
      <c r="M457" s="3">
        <v>-1.62</v>
      </c>
    </row>
    <row r="458" spans="1:13" x14ac:dyDescent="0.25">
      <c r="A458" s="3">
        <v>457</v>
      </c>
      <c r="B458" s="3" t="s">
        <v>42</v>
      </c>
      <c r="C458" s="33">
        <v>45202</v>
      </c>
      <c r="D458" s="3" t="s">
        <v>15</v>
      </c>
      <c r="E458" s="3" t="s">
        <v>16</v>
      </c>
      <c r="F458" s="3" t="s">
        <v>24</v>
      </c>
      <c r="G458" s="3">
        <v>50</v>
      </c>
      <c r="H458" s="3" t="s">
        <v>17</v>
      </c>
      <c r="I458" s="23">
        <v>5.3400001525878897</v>
      </c>
      <c r="J458" s="4">
        <v>1830</v>
      </c>
      <c r="K458" s="4">
        <v>27429.98</v>
      </c>
      <c r="L458" s="4">
        <v>11407814187</v>
      </c>
      <c r="M458" s="3">
        <v>-0.37</v>
      </c>
    </row>
    <row r="459" spans="1:13" x14ac:dyDescent="0.25">
      <c r="A459" s="3">
        <v>458</v>
      </c>
      <c r="B459" s="3" t="s">
        <v>42</v>
      </c>
      <c r="C459" s="33">
        <v>45203</v>
      </c>
      <c r="D459" s="3" t="s">
        <v>18</v>
      </c>
      <c r="E459" s="3" t="s">
        <v>16</v>
      </c>
      <c r="F459" s="3" t="s">
        <v>23</v>
      </c>
      <c r="G459" s="3">
        <v>49</v>
      </c>
      <c r="H459" s="3" t="s">
        <v>17</v>
      </c>
      <c r="I459" s="23">
        <v>5.33500003814697</v>
      </c>
      <c r="J459" s="4">
        <v>1824.59997558593</v>
      </c>
      <c r="K459" s="4">
        <v>27799.39</v>
      </c>
      <c r="L459" s="4">
        <v>11143355314</v>
      </c>
      <c r="M459" s="3">
        <v>1.35</v>
      </c>
    </row>
    <row r="460" spans="1:13" x14ac:dyDescent="0.25">
      <c r="A460" s="3">
        <v>459</v>
      </c>
      <c r="B460" s="3" t="s">
        <v>42</v>
      </c>
      <c r="C460" s="33">
        <v>45204</v>
      </c>
      <c r="D460" s="3" t="s">
        <v>19</v>
      </c>
      <c r="E460" s="3" t="s">
        <v>16</v>
      </c>
      <c r="F460" s="3" t="s">
        <v>23</v>
      </c>
      <c r="G460" s="3">
        <v>48</v>
      </c>
      <c r="H460" s="3" t="s">
        <v>17</v>
      </c>
      <c r="I460" s="23">
        <v>5.3249998092651296</v>
      </c>
      <c r="J460" s="4">
        <v>1818.5</v>
      </c>
      <c r="K460" s="4">
        <v>27415.91</v>
      </c>
      <c r="L460" s="4">
        <v>11877253670</v>
      </c>
      <c r="M460" s="3">
        <v>-1.38</v>
      </c>
    </row>
    <row r="461" spans="1:13" x14ac:dyDescent="0.25">
      <c r="A461" s="3">
        <v>460</v>
      </c>
      <c r="B461" s="3" t="s">
        <v>42</v>
      </c>
      <c r="C461" s="33">
        <v>45205</v>
      </c>
      <c r="D461" s="3" t="s">
        <v>20</v>
      </c>
      <c r="E461" s="3" t="s">
        <v>16</v>
      </c>
      <c r="F461" s="3" t="s">
        <v>24</v>
      </c>
      <c r="G461" s="3">
        <v>50</v>
      </c>
      <c r="H461" s="3" t="s">
        <v>17</v>
      </c>
      <c r="I461" s="23">
        <v>5.34800004959106</v>
      </c>
      <c r="J461" s="4">
        <v>1816.59997558593</v>
      </c>
      <c r="K461" s="4">
        <v>27946.6</v>
      </c>
      <c r="L461" s="4">
        <v>13492391599</v>
      </c>
      <c r="M461" s="3">
        <v>1.94</v>
      </c>
    </row>
    <row r="462" spans="1:13" x14ac:dyDescent="0.25">
      <c r="A462" s="3">
        <v>461</v>
      </c>
      <c r="B462" s="3" t="s">
        <v>42</v>
      </c>
      <c r="C462" s="33">
        <v>45206</v>
      </c>
      <c r="D462" s="3" t="s">
        <v>21</v>
      </c>
      <c r="E462" s="3" t="s">
        <v>13</v>
      </c>
      <c r="F462" s="3" t="s">
        <v>23</v>
      </c>
      <c r="G462" s="3">
        <v>49</v>
      </c>
      <c r="H462" s="3" t="s">
        <v>17</v>
      </c>
      <c r="I462" s="23">
        <v>5.34800004959106</v>
      </c>
      <c r="J462" s="4">
        <v>1830.19995117187</v>
      </c>
      <c r="K462" s="4">
        <v>27968.84</v>
      </c>
      <c r="L462" s="4">
        <v>6553044316</v>
      </c>
      <c r="M462" s="3">
        <v>0.08</v>
      </c>
    </row>
    <row r="463" spans="1:13" x14ac:dyDescent="0.25">
      <c r="A463" s="3">
        <v>462</v>
      </c>
      <c r="B463" s="3" t="s">
        <v>42</v>
      </c>
      <c r="C463" s="33">
        <v>45207</v>
      </c>
      <c r="D463" s="3" t="s">
        <v>22</v>
      </c>
      <c r="E463" s="3" t="s">
        <v>13</v>
      </c>
      <c r="F463" s="3" t="s">
        <v>24</v>
      </c>
      <c r="G463" s="3">
        <v>50</v>
      </c>
      <c r="H463" s="3" t="s">
        <v>17</v>
      </c>
      <c r="I463" s="23">
        <v>5.34800004959106</v>
      </c>
      <c r="J463" s="4">
        <v>1816.59997558593</v>
      </c>
      <c r="K463" s="4">
        <v>27935.09</v>
      </c>
      <c r="L463" s="4">
        <v>7916875290</v>
      </c>
      <c r="M463" s="3">
        <v>-0.12</v>
      </c>
    </row>
    <row r="464" spans="1:13" x14ac:dyDescent="0.25">
      <c r="A464" s="3">
        <v>463</v>
      </c>
      <c r="B464" s="3" t="s">
        <v>42</v>
      </c>
      <c r="C464" s="33">
        <v>45208</v>
      </c>
      <c r="D464" s="3" t="s">
        <v>12</v>
      </c>
      <c r="E464" s="3" t="s">
        <v>16</v>
      </c>
      <c r="F464" s="3" t="s">
        <v>24</v>
      </c>
      <c r="G464" s="3">
        <v>50</v>
      </c>
      <c r="H464" s="3" t="s">
        <v>17</v>
      </c>
      <c r="I464" s="23">
        <v>5.34800004959106</v>
      </c>
      <c r="J464" s="4">
        <v>1830.19995117187</v>
      </c>
      <c r="K464" s="4">
        <v>27583.68</v>
      </c>
      <c r="L464" s="4">
        <v>12007668568</v>
      </c>
      <c r="M464" s="3">
        <v>-1.26</v>
      </c>
    </row>
    <row r="465" spans="1:13" x14ac:dyDescent="0.25">
      <c r="A465" s="3">
        <v>464</v>
      </c>
      <c r="B465" s="3" t="s">
        <v>42</v>
      </c>
      <c r="C465" s="33">
        <v>45209</v>
      </c>
      <c r="D465" s="3" t="s">
        <v>15</v>
      </c>
      <c r="E465" s="3" t="s">
        <v>16</v>
      </c>
      <c r="F465" s="3" t="s">
        <v>24</v>
      </c>
      <c r="G465" s="3">
        <v>50</v>
      </c>
      <c r="H465" s="3">
        <v>11</v>
      </c>
      <c r="I465" s="23">
        <v>5.3229999542236301</v>
      </c>
      <c r="J465" s="4">
        <v>1849.5</v>
      </c>
      <c r="K465" s="4">
        <v>27391.02</v>
      </c>
      <c r="L465" s="4">
        <v>9973350678</v>
      </c>
      <c r="M465" s="3">
        <v>-0.7</v>
      </c>
    </row>
    <row r="466" spans="1:13" x14ac:dyDescent="0.25">
      <c r="A466" s="3">
        <v>465</v>
      </c>
      <c r="B466" s="3" t="s">
        <v>42</v>
      </c>
      <c r="C466" s="33">
        <v>45210</v>
      </c>
      <c r="D466" s="3" t="s">
        <v>18</v>
      </c>
      <c r="E466" s="3" t="s">
        <v>16</v>
      </c>
      <c r="F466" s="3" t="s">
        <v>23</v>
      </c>
      <c r="G466" s="3">
        <v>47</v>
      </c>
      <c r="H466" s="3" t="s">
        <v>17</v>
      </c>
      <c r="I466" s="23">
        <v>5.33500003814697</v>
      </c>
      <c r="J466" s="4">
        <v>1861</v>
      </c>
      <c r="K466" s="4">
        <v>26873.32</v>
      </c>
      <c r="L466" s="4">
        <v>13648094333</v>
      </c>
      <c r="M466" s="3">
        <v>-1.89</v>
      </c>
    </row>
    <row r="467" spans="1:13" x14ac:dyDescent="0.25">
      <c r="A467" s="3">
        <v>466</v>
      </c>
      <c r="B467" s="3" t="s">
        <v>42</v>
      </c>
      <c r="C467" s="33">
        <v>45211</v>
      </c>
      <c r="D467" s="3" t="s">
        <v>19</v>
      </c>
      <c r="E467" s="3" t="s">
        <v>16</v>
      </c>
      <c r="F467" s="3" t="s">
        <v>23</v>
      </c>
      <c r="G467" s="3">
        <v>45</v>
      </c>
      <c r="H467" s="3" t="s">
        <v>17</v>
      </c>
      <c r="I467" s="23">
        <v>5.33500003814697</v>
      </c>
      <c r="J467" s="4">
        <v>1872.80004882812</v>
      </c>
      <c r="K467" s="4">
        <v>26756.799999999999</v>
      </c>
      <c r="L467" s="4">
        <v>9392909295</v>
      </c>
      <c r="M467" s="3">
        <v>-0.43</v>
      </c>
    </row>
    <row r="468" spans="1:13" x14ac:dyDescent="0.25">
      <c r="A468" s="3">
        <v>467</v>
      </c>
      <c r="B468" s="3" t="s">
        <v>42</v>
      </c>
      <c r="C468" s="33">
        <v>45212</v>
      </c>
      <c r="D468" s="3" t="s">
        <v>20</v>
      </c>
      <c r="E468" s="3" t="s">
        <v>16</v>
      </c>
      <c r="F468" s="3" t="s">
        <v>23</v>
      </c>
      <c r="G468" s="3">
        <v>44</v>
      </c>
      <c r="H468" s="3" t="s">
        <v>17</v>
      </c>
      <c r="I468" s="23">
        <v>5.3280000686645499</v>
      </c>
      <c r="J468" s="4">
        <v>1869.30004882812</v>
      </c>
      <c r="K468" s="4">
        <v>26862.38</v>
      </c>
      <c r="L468" s="4">
        <v>15165312851</v>
      </c>
      <c r="M468" s="3">
        <v>0.39</v>
      </c>
    </row>
    <row r="469" spans="1:13" x14ac:dyDescent="0.25">
      <c r="A469" s="3">
        <v>468</v>
      </c>
      <c r="B469" s="3" t="s">
        <v>42</v>
      </c>
      <c r="C469" s="33">
        <v>45213</v>
      </c>
      <c r="D469" s="3" t="s">
        <v>21</v>
      </c>
      <c r="E469" s="3" t="s">
        <v>13</v>
      </c>
      <c r="F469" s="3" t="s">
        <v>23</v>
      </c>
      <c r="G469" s="3">
        <v>47</v>
      </c>
      <c r="H469" s="3" t="s">
        <v>17</v>
      </c>
      <c r="I469" s="23">
        <v>5.3280000686645499</v>
      </c>
      <c r="J469" s="4">
        <v>1927.40002441406</v>
      </c>
      <c r="K469" s="4">
        <v>26861.71</v>
      </c>
      <c r="L469" s="4">
        <v>5388116782</v>
      </c>
      <c r="M469" s="3">
        <v>0</v>
      </c>
    </row>
    <row r="470" spans="1:13" x14ac:dyDescent="0.25">
      <c r="A470" s="3">
        <v>469</v>
      </c>
      <c r="B470" s="3" t="s">
        <v>42</v>
      </c>
      <c r="C470" s="33">
        <v>45214</v>
      </c>
      <c r="D470" s="3" t="s">
        <v>22</v>
      </c>
      <c r="E470" s="3" t="s">
        <v>13</v>
      </c>
      <c r="F470" s="3" t="s">
        <v>23</v>
      </c>
      <c r="G470" s="3">
        <v>45</v>
      </c>
      <c r="H470" s="3" t="s">
        <v>17</v>
      </c>
      <c r="I470" s="23">
        <v>5.3280000686645499</v>
      </c>
      <c r="J470" s="4">
        <v>1869.30004882812</v>
      </c>
      <c r="K470" s="4">
        <v>27159.65</v>
      </c>
      <c r="L470" s="4">
        <v>7098201980</v>
      </c>
      <c r="M470" s="3">
        <v>1.1100000000000001</v>
      </c>
    </row>
    <row r="471" spans="1:13" x14ac:dyDescent="0.25">
      <c r="A471" s="3">
        <v>470</v>
      </c>
      <c r="B471" s="3" t="s">
        <v>42</v>
      </c>
      <c r="C471" s="33">
        <v>45215</v>
      </c>
      <c r="D471" s="3" t="s">
        <v>12</v>
      </c>
      <c r="E471" s="3" t="s">
        <v>16</v>
      </c>
      <c r="F471" s="3" t="s">
        <v>23</v>
      </c>
      <c r="G471" s="3">
        <v>47</v>
      </c>
      <c r="H471" s="3" t="s">
        <v>17</v>
      </c>
      <c r="I471" s="23">
        <v>5.3280000686645499</v>
      </c>
      <c r="J471" s="4">
        <v>1927.40002441406</v>
      </c>
      <c r="K471" s="4">
        <v>28519.47</v>
      </c>
      <c r="L471" s="4">
        <v>27833876539</v>
      </c>
      <c r="M471" s="3">
        <v>5.01</v>
      </c>
    </row>
    <row r="472" spans="1:13" x14ac:dyDescent="0.25">
      <c r="A472" s="3">
        <v>471</v>
      </c>
      <c r="B472" s="3" t="s">
        <v>42</v>
      </c>
      <c r="C472" s="33">
        <v>45216</v>
      </c>
      <c r="D472" s="3" t="s">
        <v>15</v>
      </c>
      <c r="E472" s="3" t="s">
        <v>16</v>
      </c>
      <c r="F472" s="3" t="s">
        <v>24</v>
      </c>
      <c r="G472" s="3">
        <v>52</v>
      </c>
      <c r="H472" s="3" t="s">
        <v>17</v>
      </c>
      <c r="I472" s="23">
        <v>5.3400001525878897</v>
      </c>
      <c r="J472" s="4">
        <v>1921.09997558593</v>
      </c>
      <c r="K472" s="4">
        <v>28415.75</v>
      </c>
      <c r="L472" s="4">
        <v>14872527508</v>
      </c>
      <c r="M472" s="3">
        <v>-0.36</v>
      </c>
    </row>
    <row r="473" spans="1:13" x14ac:dyDescent="0.25">
      <c r="A473" s="3">
        <v>472</v>
      </c>
      <c r="B473" s="3" t="s">
        <v>42</v>
      </c>
      <c r="C473" s="33">
        <v>45217</v>
      </c>
      <c r="D473" s="3" t="s">
        <v>18</v>
      </c>
      <c r="E473" s="3" t="s">
        <v>16</v>
      </c>
      <c r="F473" s="3" t="s">
        <v>24</v>
      </c>
      <c r="G473" s="3">
        <v>50</v>
      </c>
      <c r="H473" s="3" t="s">
        <v>17</v>
      </c>
      <c r="I473" s="23">
        <v>5.3299999237060502</v>
      </c>
      <c r="J473" s="4">
        <v>1922.69995117187</v>
      </c>
      <c r="K473" s="4">
        <v>28328.34</v>
      </c>
      <c r="L473" s="4">
        <v>12724128586</v>
      </c>
      <c r="M473" s="3">
        <v>-0.31</v>
      </c>
    </row>
    <row r="474" spans="1:13" x14ac:dyDescent="0.25">
      <c r="A474" s="3">
        <v>473</v>
      </c>
      <c r="B474" s="3" t="s">
        <v>42</v>
      </c>
      <c r="C474" s="33">
        <v>45218</v>
      </c>
      <c r="D474" s="3" t="s">
        <v>19</v>
      </c>
      <c r="E474" s="3" t="s">
        <v>16</v>
      </c>
      <c r="F474" s="3" t="s">
        <v>24</v>
      </c>
      <c r="G474" s="3">
        <v>52</v>
      </c>
      <c r="H474" s="3" t="s">
        <v>17</v>
      </c>
      <c r="I474" s="23">
        <v>5.3099999427795401</v>
      </c>
      <c r="J474" s="4">
        <v>1955.30004882812</v>
      </c>
      <c r="K474" s="4">
        <v>28719.81</v>
      </c>
      <c r="L474" s="4">
        <v>14448058195</v>
      </c>
      <c r="M474" s="3">
        <v>1.38</v>
      </c>
    </row>
    <row r="475" spans="1:13" x14ac:dyDescent="0.25">
      <c r="A475" s="3">
        <v>474</v>
      </c>
      <c r="B475" s="3" t="s">
        <v>42</v>
      </c>
      <c r="C475" s="33">
        <v>45219</v>
      </c>
      <c r="D475" s="3" t="s">
        <v>20</v>
      </c>
      <c r="E475" s="3" t="s">
        <v>16</v>
      </c>
      <c r="F475" s="3" t="s">
        <v>24</v>
      </c>
      <c r="G475" s="3">
        <v>53</v>
      </c>
      <c r="H475" s="3" t="s">
        <v>17</v>
      </c>
      <c r="I475" s="23">
        <v>5.3000001907348597</v>
      </c>
      <c r="J475" s="4">
        <v>1968.40002441406</v>
      </c>
      <c r="K475" s="4">
        <v>29682.95</v>
      </c>
      <c r="L475" s="4">
        <v>21536125230</v>
      </c>
      <c r="M475" s="3">
        <v>3.35</v>
      </c>
    </row>
    <row r="476" spans="1:13" x14ac:dyDescent="0.25">
      <c r="A476" s="3">
        <v>475</v>
      </c>
      <c r="B476" s="3" t="s">
        <v>42</v>
      </c>
      <c r="C476" s="33">
        <v>45220</v>
      </c>
      <c r="D476" s="3" t="s">
        <v>21</v>
      </c>
      <c r="E476" s="3" t="s">
        <v>13</v>
      </c>
      <c r="F476" s="3" t="s">
        <v>24</v>
      </c>
      <c r="G476" s="3">
        <v>63</v>
      </c>
      <c r="H476" s="3" t="s">
        <v>17</v>
      </c>
      <c r="I476" s="23">
        <v>5.3000001907348597</v>
      </c>
      <c r="J476" s="4">
        <v>1982.5</v>
      </c>
      <c r="K476" s="4">
        <v>29918.41</v>
      </c>
      <c r="L476" s="4">
        <v>11541146996</v>
      </c>
      <c r="M476" s="3">
        <v>0.79</v>
      </c>
    </row>
    <row r="477" spans="1:13" x14ac:dyDescent="0.25">
      <c r="A477" s="3">
        <v>476</v>
      </c>
      <c r="B477" s="3" t="s">
        <v>42</v>
      </c>
      <c r="C477" s="33">
        <v>45221</v>
      </c>
      <c r="D477" s="3" t="s">
        <v>22</v>
      </c>
      <c r="E477" s="3" t="s">
        <v>13</v>
      </c>
      <c r="F477" s="3" t="s">
        <v>24</v>
      </c>
      <c r="G477" s="3">
        <v>53</v>
      </c>
      <c r="H477" s="3" t="s">
        <v>17</v>
      </c>
      <c r="I477" s="23">
        <v>5.3000001907348597</v>
      </c>
      <c r="J477" s="4">
        <v>1968.40002441406</v>
      </c>
      <c r="K477" s="4">
        <v>29993.9</v>
      </c>
      <c r="L477" s="4">
        <v>10446520040</v>
      </c>
      <c r="M477" s="3">
        <v>0.25</v>
      </c>
    </row>
    <row r="478" spans="1:13" x14ac:dyDescent="0.25">
      <c r="A478" s="3">
        <v>477</v>
      </c>
      <c r="B478" s="3" t="s">
        <v>42</v>
      </c>
      <c r="C478" s="33">
        <v>45222</v>
      </c>
      <c r="D478" s="3" t="s">
        <v>12</v>
      </c>
      <c r="E478" s="3" t="s">
        <v>16</v>
      </c>
      <c r="F478" s="3" t="s">
        <v>24</v>
      </c>
      <c r="G478" s="3">
        <v>53</v>
      </c>
      <c r="H478" s="3" t="s">
        <v>17</v>
      </c>
      <c r="I478" s="23">
        <v>5.2930002212524396</v>
      </c>
      <c r="J478" s="4">
        <v>1982.5</v>
      </c>
      <c r="K478" s="4">
        <v>33086.230000000003</v>
      </c>
      <c r="L478" s="4">
        <v>38363572311</v>
      </c>
      <c r="M478" s="3">
        <v>10.31</v>
      </c>
    </row>
    <row r="479" spans="1:13" x14ac:dyDescent="0.25">
      <c r="A479" s="3">
        <v>478</v>
      </c>
      <c r="B479" s="3" t="s">
        <v>42</v>
      </c>
      <c r="C479" s="33">
        <v>45223</v>
      </c>
      <c r="D479" s="3" t="s">
        <v>15</v>
      </c>
      <c r="E479" s="3" t="s">
        <v>16</v>
      </c>
      <c r="F479" s="3" t="s">
        <v>24</v>
      </c>
      <c r="G479" s="3">
        <v>66</v>
      </c>
      <c r="H479" s="3" t="s">
        <v>17</v>
      </c>
      <c r="I479" s="23">
        <v>5.30800008773803</v>
      </c>
      <c r="J479" s="4">
        <v>1976.30004882812</v>
      </c>
      <c r="K479" s="4">
        <v>33901.53</v>
      </c>
      <c r="L479" s="4">
        <v>44934999645</v>
      </c>
      <c r="M479" s="3">
        <v>2.46</v>
      </c>
    </row>
    <row r="480" spans="1:13" x14ac:dyDescent="0.25">
      <c r="A480" s="3">
        <v>479</v>
      </c>
      <c r="B480" s="3" t="s">
        <v>42</v>
      </c>
      <c r="C480" s="33">
        <v>45224</v>
      </c>
      <c r="D480" s="3" t="s">
        <v>18</v>
      </c>
      <c r="E480" s="3" t="s">
        <v>16</v>
      </c>
      <c r="F480" s="3" t="s">
        <v>24</v>
      </c>
      <c r="G480" s="3">
        <v>72</v>
      </c>
      <c r="H480" s="3" t="s">
        <v>17</v>
      </c>
      <c r="I480" s="23">
        <v>5.3150000572204501</v>
      </c>
      <c r="J480" s="4">
        <v>1975</v>
      </c>
      <c r="K480" s="4">
        <v>34502.82</v>
      </c>
      <c r="L480" s="4">
        <v>25254318008</v>
      </c>
      <c r="M480" s="3">
        <v>1.77</v>
      </c>
    </row>
    <row r="481" spans="1:13" x14ac:dyDescent="0.25">
      <c r="A481" s="3">
        <v>480</v>
      </c>
      <c r="B481" s="3" t="s">
        <v>42</v>
      </c>
      <c r="C481" s="33">
        <v>45225</v>
      </c>
      <c r="D481" s="3" t="s">
        <v>19</v>
      </c>
      <c r="E481" s="3" t="s">
        <v>16</v>
      </c>
      <c r="F481" s="3" t="s">
        <v>24</v>
      </c>
      <c r="G481" s="3">
        <v>71</v>
      </c>
      <c r="H481" s="3" t="s">
        <v>17</v>
      </c>
      <c r="I481" s="23">
        <v>5.3000001907348597</v>
      </c>
      <c r="J481" s="4">
        <v>1984.09997558593</v>
      </c>
      <c r="K481" s="4">
        <v>34156.65</v>
      </c>
      <c r="L481" s="4">
        <v>19427195376</v>
      </c>
      <c r="M481" s="3">
        <v>-1</v>
      </c>
    </row>
    <row r="482" spans="1:13" x14ac:dyDescent="0.25">
      <c r="A482" s="3">
        <v>481</v>
      </c>
      <c r="B482" s="3" t="s">
        <v>42</v>
      </c>
      <c r="C482" s="33">
        <v>45226</v>
      </c>
      <c r="D482" s="3" t="s">
        <v>20</v>
      </c>
      <c r="E482" s="3" t="s">
        <v>16</v>
      </c>
      <c r="F482" s="3" t="s">
        <v>24</v>
      </c>
      <c r="G482" s="3">
        <v>70</v>
      </c>
      <c r="H482" s="3" t="s">
        <v>17</v>
      </c>
      <c r="I482" s="23">
        <v>5.3049998283386204</v>
      </c>
      <c r="J482" s="4">
        <v>1987.19995117187</v>
      </c>
      <c r="K482" s="4">
        <v>33909.800000000003</v>
      </c>
      <c r="L482" s="4">
        <v>16418032871</v>
      </c>
      <c r="M482" s="3">
        <v>-0.72</v>
      </c>
    </row>
    <row r="483" spans="1:13" x14ac:dyDescent="0.25">
      <c r="A483" s="3">
        <v>482</v>
      </c>
      <c r="B483" s="3" t="s">
        <v>42</v>
      </c>
      <c r="C483" s="33">
        <v>45227</v>
      </c>
      <c r="D483" s="3" t="s">
        <v>21</v>
      </c>
      <c r="E483" s="3" t="s">
        <v>13</v>
      </c>
      <c r="F483" s="3" t="s">
        <v>24</v>
      </c>
      <c r="G483" s="3">
        <v>65</v>
      </c>
      <c r="H483" s="3" t="s">
        <v>17</v>
      </c>
      <c r="I483" s="23">
        <v>5.3049998283386204</v>
      </c>
      <c r="J483" s="4">
        <v>1988.59997558593</v>
      </c>
      <c r="K483" s="4">
        <v>34089.57</v>
      </c>
      <c r="L483" s="4">
        <v>10160330825</v>
      </c>
      <c r="M483" s="3">
        <v>0.53</v>
      </c>
    </row>
    <row r="484" spans="1:13" x14ac:dyDescent="0.25">
      <c r="A484" s="3">
        <v>483</v>
      </c>
      <c r="B484" s="3" t="s">
        <v>42</v>
      </c>
      <c r="C484" s="33">
        <v>45228</v>
      </c>
      <c r="D484" s="3" t="s">
        <v>22</v>
      </c>
      <c r="E484" s="3" t="s">
        <v>13</v>
      </c>
      <c r="F484" s="3" t="s">
        <v>24</v>
      </c>
      <c r="G484" s="3">
        <v>72</v>
      </c>
      <c r="H484" s="3" t="s">
        <v>17</v>
      </c>
      <c r="I484" s="23">
        <v>5.3049998283386204</v>
      </c>
      <c r="J484" s="4">
        <v>1987.19995117187</v>
      </c>
      <c r="K484" s="4">
        <v>34538.480000000003</v>
      </c>
      <c r="L484" s="4">
        <v>11160323986</v>
      </c>
      <c r="M484" s="3">
        <v>1.32</v>
      </c>
    </row>
    <row r="485" spans="1:13" x14ac:dyDescent="0.25">
      <c r="A485" s="3">
        <v>484</v>
      </c>
      <c r="B485" s="3" t="s">
        <v>42</v>
      </c>
      <c r="C485" s="33">
        <v>45229</v>
      </c>
      <c r="D485" s="3" t="s">
        <v>12</v>
      </c>
      <c r="E485" s="3" t="s">
        <v>16</v>
      </c>
      <c r="F485" s="3" t="s">
        <v>24</v>
      </c>
      <c r="G485" s="3">
        <v>68</v>
      </c>
      <c r="H485" s="3" t="s">
        <v>17</v>
      </c>
      <c r="I485" s="23">
        <v>5.3130002021789497</v>
      </c>
      <c r="J485" s="4">
        <v>1988.59997558593</v>
      </c>
      <c r="K485" s="4">
        <v>34502.36</v>
      </c>
      <c r="L485" s="4">
        <v>17184860315</v>
      </c>
      <c r="M485" s="3">
        <v>-0.1</v>
      </c>
    </row>
    <row r="486" spans="1:13" x14ac:dyDescent="0.25">
      <c r="A486" s="3">
        <v>485</v>
      </c>
      <c r="B486" s="3" t="s">
        <v>42</v>
      </c>
      <c r="C486" s="33">
        <v>45230</v>
      </c>
      <c r="D486" s="3" t="s">
        <v>15</v>
      </c>
      <c r="E486" s="3" t="s">
        <v>16</v>
      </c>
      <c r="F486" s="3" t="s">
        <v>24</v>
      </c>
      <c r="G486" s="3">
        <v>66</v>
      </c>
      <c r="H486" s="3" t="s">
        <v>17</v>
      </c>
      <c r="I486" s="23">
        <v>5.3200001716613698</v>
      </c>
      <c r="J486" s="4">
        <v>1996.19995117187</v>
      </c>
      <c r="K486" s="4">
        <v>34667.78</v>
      </c>
      <c r="L486" s="4">
        <v>15758270810</v>
      </c>
      <c r="M486" s="3">
        <v>0.48</v>
      </c>
    </row>
    <row r="487" spans="1:13" x14ac:dyDescent="0.25">
      <c r="A487" s="3">
        <v>486</v>
      </c>
      <c r="B487" s="3" t="s">
        <v>43</v>
      </c>
      <c r="C487" s="33">
        <v>45231</v>
      </c>
      <c r="D487" s="3" t="s">
        <v>18</v>
      </c>
      <c r="E487" s="3" t="s">
        <v>16</v>
      </c>
      <c r="F487" s="3" t="s">
        <v>24</v>
      </c>
      <c r="G487" s="3">
        <v>66</v>
      </c>
      <c r="H487" s="3" t="s">
        <v>17</v>
      </c>
      <c r="I487" s="23">
        <v>5.3000001907348597</v>
      </c>
      <c r="J487" s="4">
        <v>1985.19995117187</v>
      </c>
      <c r="K487" s="4">
        <v>35437.25</v>
      </c>
      <c r="L487" s="4">
        <v>22446272005</v>
      </c>
      <c r="M487" s="3">
        <v>2.2200000000000002</v>
      </c>
    </row>
    <row r="488" spans="1:13" x14ac:dyDescent="0.25">
      <c r="A488" s="3">
        <v>487</v>
      </c>
      <c r="B488" s="3" t="s">
        <v>43</v>
      </c>
      <c r="C488" s="33">
        <v>45232</v>
      </c>
      <c r="D488" s="3" t="s">
        <v>19</v>
      </c>
      <c r="E488" s="3" t="s">
        <v>16</v>
      </c>
      <c r="F488" s="3" t="s">
        <v>24</v>
      </c>
      <c r="G488" s="3">
        <v>72</v>
      </c>
      <c r="H488" s="3" t="s">
        <v>17</v>
      </c>
      <c r="I488" s="23">
        <v>5.2699999809265101</v>
      </c>
      <c r="J488" s="4">
        <v>1978.80004882812</v>
      </c>
      <c r="K488" s="4">
        <v>34938.239999999998</v>
      </c>
      <c r="L488" s="4">
        <v>20998158544</v>
      </c>
      <c r="M488" s="3">
        <v>-1.41</v>
      </c>
    </row>
    <row r="489" spans="1:13" x14ac:dyDescent="0.25">
      <c r="A489" s="3">
        <v>488</v>
      </c>
      <c r="B489" s="3" t="s">
        <v>43</v>
      </c>
      <c r="C489" s="33">
        <v>45233</v>
      </c>
      <c r="D489" s="3" t="s">
        <v>20</v>
      </c>
      <c r="E489" s="3" t="s">
        <v>16</v>
      </c>
      <c r="F489" s="3" t="s">
        <v>24</v>
      </c>
      <c r="G489" s="3">
        <v>65</v>
      </c>
      <c r="H489" s="3" t="s">
        <v>17</v>
      </c>
      <c r="I489" s="23">
        <v>5.2529997825622496</v>
      </c>
      <c r="J489" s="4">
        <v>1985.59997558593</v>
      </c>
      <c r="K489" s="4">
        <v>34732.32</v>
      </c>
      <c r="L489" s="4">
        <v>17158456701</v>
      </c>
      <c r="M489" s="3">
        <v>-0.59</v>
      </c>
    </row>
    <row r="490" spans="1:13" x14ac:dyDescent="0.25">
      <c r="A490" s="3">
        <v>489</v>
      </c>
      <c r="B490" s="3" t="s">
        <v>43</v>
      </c>
      <c r="C490" s="33">
        <v>45234</v>
      </c>
      <c r="D490" s="3" t="s">
        <v>21</v>
      </c>
      <c r="E490" s="3" t="s">
        <v>13</v>
      </c>
      <c r="F490" s="3" t="s">
        <v>24</v>
      </c>
      <c r="G490" s="3">
        <v>68</v>
      </c>
      <c r="H490" s="3" t="s">
        <v>17</v>
      </c>
      <c r="I490" s="23">
        <v>5.2529997825622496</v>
      </c>
      <c r="J490" s="4">
        <v>1991.5</v>
      </c>
      <c r="K490" s="4">
        <v>35082.199999999997</v>
      </c>
      <c r="L490" s="4">
        <v>9561294264</v>
      </c>
      <c r="M490" s="3">
        <v>1.01</v>
      </c>
    </row>
    <row r="491" spans="1:13" x14ac:dyDescent="0.25">
      <c r="A491" s="3">
        <v>490</v>
      </c>
      <c r="B491" s="3" t="s">
        <v>43</v>
      </c>
      <c r="C491" s="33">
        <v>45235</v>
      </c>
      <c r="D491" s="3" t="s">
        <v>22</v>
      </c>
      <c r="E491" s="3" t="s">
        <v>13</v>
      </c>
      <c r="F491" s="3" t="s">
        <v>24</v>
      </c>
      <c r="G491" s="3">
        <v>70</v>
      </c>
      <c r="H491" s="3" t="s">
        <v>17</v>
      </c>
      <c r="I491" s="23">
        <v>5.2529997825622496</v>
      </c>
      <c r="J491" s="4">
        <v>1985.59997558593</v>
      </c>
      <c r="K491" s="4">
        <v>35049.360000000001</v>
      </c>
      <c r="L491" s="4">
        <v>12412743996</v>
      </c>
      <c r="M491" s="3">
        <v>-0.09</v>
      </c>
    </row>
    <row r="492" spans="1:13" x14ac:dyDescent="0.25">
      <c r="A492" s="3">
        <v>491</v>
      </c>
      <c r="B492" s="3" t="s">
        <v>43</v>
      </c>
      <c r="C492" s="33">
        <v>45236</v>
      </c>
      <c r="D492" s="3" t="s">
        <v>12</v>
      </c>
      <c r="E492" s="3" t="s">
        <v>16</v>
      </c>
      <c r="F492" s="3" t="s">
        <v>24</v>
      </c>
      <c r="G492" s="3">
        <v>74</v>
      </c>
      <c r="H492" s="3" t="s">
        <v>17</v>
      </c>
      <c r="I492" s="23">
        <v>5.2600002288818297</v>
      </c>
      <c r="J492" s="4">
        <v>1991.5</v>
      </c>
      <c r="K492" s="4">
        <v>35037.370000000003</v>
      </c>
      <c r="L492" s="4">
        <v>12693436420</v>
      </c>
      <c r="M492" s="3">
        <v>-0.03</v>
      </c>
    </row>
    <row r="493" spans="1:13" x14ac:dyDescent="0.25">
      <c r="A493" s="3">
        <v>492</v>
      </c>
      <c r="B493" s="3" t="s">
        <v>43</v>
      </c>
      <c r="C493" s="33">
        <v>45237</v>
      </c>
      <c r="D493" s="3" t="s">
        <v>15</v>
      </c>
      <c r="E493" s="3" t="s">
        <v>16</v>
      </c>
      <c r="F493" s="3" t="s">
        <v>24</v>
      </c>
      <c r="G493" s="3">
        <v>68</v>
      </c>
      <c r="H493" s="3" t="s">
        <v>17</v>
      </c>
      <c r="I493" s="23">
        <v>5.2729997634887598</v>
      </c>
      <c r="J493" s="4">
        <v>1981.59997558593</v>
      </c>
      <c r="K493" s="4">
        <v>35443.56</v>
      </c>
      <c r="L493" s="4">
        <v>18834737789</v>
      </c>
      <c r="M493" s="3">
        <v>1.1599999999999999</v>
      </c>
    </row>
    <row r="494" spans="1:13" x14ac:dyDescent="0.25">
      <c r="A494" s="3">
        <v>493</v>
      </c>
      <c r="B494" s="3" t="s">
        <v>43</v>
      </c>
      <c r="C494" s="33">
        <v>45238</v>
      </c>
      <c r="D494" s="3" t="s">
        <v>18</v>
      </c>
      <c r="E494" s="3" t="s">
        <v>16</v>
      </c>
      <c r="F494" s="3" t="s">
        <v>24</v>
      </c>
      <c r="G494" s="3">
        <v>66</v>
      </c>
      <c r="H494" s="3" t="s">
        <v>17</v>
      </c>
      <c r="I494" s="23">
        <v>5.2680001258850098</v>
      </c>
      <c r="J494" s="4">
        <v>1966.80004882812</v>
      </c>
      <c r="K494" s="4">
        <v>35655.279999999999</v>
      </c>
      <c r="L494" s="4">
        <v>17295394918</v>
      </c>
      <c r="M494" s="3">
        <v>0.6</v>
      </c>
    </row>
    <row r="495" spans="1:13" x14ac:dyDescent="0.25">
      <c r="A495" s="3">
        <v>494</v>
      </c>
      <c r="B495" s="3" t="s">
        <v>43</v>
      </c>
      <c r="C495" s="33">
        <v>45239</v>
      </c>
      <c r="D495" s="3" t="s">
        <v>19</v>
      </c>
      <c r="E495" s="3" t="s">
        <v>16</v>
      </c>
      <c r="F495" s="3" t="s">
        <v>24</v>
      </c>
      <c r="G495" s="3">
        <v>69</v>
      </c>
      <c r="H495" s="3" t="s">
        <v>17</v>
      </c>
      <c r="I495" s="23">
        <v>5.26300001144409</v>
      </c>
      <c r="J495" s="4">
        <v>1951.5</v>
      </c>
      <c r="K495" s="4">
        <v>36693.129999999997</v>
      </c>
      <c r="L495" s="4">
        <v>37762672382</v>
      </c>
      <c r="M495" s="3">
        <v>2.91</v>
      </c>
    </row>
    <row r="496" spans="1:13" x14ac:dyDescent="0.25">
      <c r="A496" s="3">
        <v>495</v>
      </c>
      <c r="B496" s="3" t="s">
        <v>43</v>
      </c>
      <c r="C496" s="33">
        <v>45240</v>
      </c>
      <c r="D496" s="3" t="s">
        <v>20</v>
      </c>
      <c r="E496" s="3" t="s">
        <v>16</v>
      </c>
      <c r="F496" s="3" t="s">
        <v>24</v>
      </c>
      <c r="G496" s="3">
        <v>70</v>
      </c>
      <c r="H496" s="3" t="s">
        <v>17</v>
      </c>
      <c r="I496" s="23">
        <v>5.25</v>
      </c>
      <c r="J496" s="4">
        <v>1964.19995117187</v>
      </c>
      <c r="K496" s="4">
        <v>37313.97</v>
      </c>
      <c r="L496" s="4">
        <v>22711265155</v>
      </c>
      <c r="M496" s="3">
        <v>1.69</v>
      </c>
    </row>
    <row r="497" spans="1:13" x14ac:dyDescent="0.25">
      <c r="A497" s="3">
        <v>496</v>
      </c>
      <c r="B497" s="3" t="s">
        <v>43</v>
      </c>
      <c r="C497" s="33">
        <v>45241</v>
      </c>
      <c r="D497" s="3" t="s">
        <v>21</v>
      </c>
      <c r="E497" s="3" t="s">
        <v>13</v>
      </c>
      <c r="F497" s="3" t="s">
        <v>24</v>
      </c>
      <c r="G497" s="3">
        <v>70</v>
      </c>
      <c r="H497" s="3" t="s">
        <v>17</v>
      </c>
      <c r="I497" s="23">
        <v>5.25</v>
      </c>
      <c r="J497" s="4">
        <v>1932.59997558593</v>
      </c>
      <c r="K497" s="4">
        <v>37138.050000000003</v>
      </c>
      <c r="L497" s="4">
        <v>13924272142</v>
      </c>
      <c r="M497" s="3">
        <v>-0.47</v>
      </c>
    </row>
    <row r="498" spans="1:13" x14ac:dyDescent="0.25">
      <c r="A498" s="3">
        <v>497</v>
      </c>
      <c r="B498" s="3" t="s">
        <v>43</v>
      </c>
      <c r="C498" s="33">
        <v>45242</v>
      </c>
      <c r="D498" s="3" t="s">
        <v>22</v>
      </c>
      <c r="E498" s="3" t="s">
        <v>13</v>
      </c>
      <c r="F498" s="3" t="s">
        <v>24</v>
      </c>
      <c r="G498" s="3">
        <v>73</v>
      </c>
      <c r="H498" s="3" t="s">
        <v>17</v>
      </c>
      <c r="I498" s="23">
        <v>5.25</v>
      </c>
      <c r="J498" s="4">
        <v>1964.19995117187</v>
      </c>
      <c r="K498" s="4">
        <v>37054.519999999997</v>
      </c>
      <c r="L498" s="4">
        <v>11545715999</v>
      </c>
      <c r="M498" s="3">
        <v>-0.22</v>
      </c>
    </row>
    <row r="499" spans="1:13" x14ac:dyDescent="0.25">
      <c r="A499" s="3">
        <v>498</v>
      </c>
      <c r="B499" s="3" t="s">
        <v>43</v>
      </c>
      <c r="C499" s="33">
        <v>45243</v>
      </c>
      <c r="D499" s="3" t="s">
        <v>12</v>
      </c>
      <c r="E499" s="3" t="s">
        <v>16</v>
      </c>
      <c r="F499" s="3" t="s">
        <v>24</v>
      </c>
      <c r="G499" s="3">
        <v>72</v>
      </c>
      <c r="H499" s="3" t="s">
        <v>17</v>
      </c>
      <c r="I499" s="23">
        <v>5.2600002288818297</v>
      </c>
      <c r="J499" s="4">
        <v>1932.59997558593</v>
      </c>
      <c r="K499" s="4">
        <v>36502.36</v>
      </c>
      <c r="L499" s="4">
        <v>19057712790</v>
      </c>
      <c r="M499" s="3">
        <v>-1.49</v>
      </c>
    </row>
    <row r="500" spans="1:13" x14ac:dyDescent="0.25">
      <c r="A500" s="3">
        <v>499</v>
      </c>
      <c r="B500" s="3" t="s">
        <v>43</v>
      </c>
      <c r="C500" s="33">
        <v>45244</v>
      </c>
      <c r="D500" s="3" t="s">
        <v>15</v>
      </c>
      <c r="E500" s="3" t="s">
        <v>16</v>
      </c>
      <c r="F500" s="3" t="s">
        <v>24</v>
      </c>
      <c r="G500" s="3">
        <v>69</v>
      </c>
      <c r="H500" s="3" t="s">
        <v>17</v>
      </c>
      <c r="I500" s="23">
        <v>5.2529997825622496</v>
      </c>
      <c r="J500" s="4">
        <v>1945.5</v>
      </c>
      <c r="K500" s="4">
        <v>35537.64</v>
      </c>
      <c r="L500" s="4">
        <v>23857403554</v>
      </c>
      <c r="M500" s="3">
        <v>-2.64</v>
      </c>
    </row>
    <row r="501" spans="1:13" x14ac:dyDescent="0.25">
      <c r="A501" s="3">
        <v>500</v>
      </c>
      <c r="B501" s="3" t="s">
        <v>43</v>
      </c>
      <c r="C501" s="33">
        <v>45245</v>
      </c>
      <c r="D501" s="3" t="s">
        <v>18</v>
      </c>
      <c r="E501" s="3" t="s">
        <v>16</v>
      </c>
      <c r="F501" s="3" t="s">
        <v>24</v>
      </c>
      <c r="G501" s="3">
        <v>60</v>
      </c>
      <c r="H501" s="3" t="s">
        <v>17</v>
      </c>
      <c r="I501" s="23">
        <v>5.25500011444091</v>
      </c>
      <c r="J501" s="4">
        <v>1961.80004882812</v>
      </c>
      <c r="K501" s="4">
        <v>37880.58</v>
      </c>
      <c r="L501" s="4">
        <v>27365821679</v>
      </c>
      <c r="M501" s="3">
        <v>6.59</v>
      </c>
    </row>
    <row r="502" spans="1:13" x14ac:dyDescent="0.25">
      <c r="A502" s="3">
        <v>501</v>
      </c>
      <c r="B502" s="3" t="s">
        <v>43</v>
      </c>
      <c r="C502" s="33">
        <v>45246</v>
      </c>
      <c r="D502" s="3" t="s">
        <v>19</v>
      </c>
      <c r="E502" s="3" t="s">
        <v>16</v>
      </c>
      <c r="F502" s="3" t="s">
        <v>24</v>
      </c>
      <c r="G502" s="3">
        <v>70</v>
      </c>
      <c r="H502" s="3" t="s">
        <v>17</v>
      </c>
      <c r="I502" s="23">
        <v>5.2430000305175701</v>
      </c>
      <c r="J502" s="4">
        <v>1960.09997558593</v>
      </c>
      <c r="K502" s="4">
        <v>36154.769999999997</v>
      </c>
      <c r="L502" s="4">
        <v>26007385366</v>
      </c>
      <c r="M502" s="3">
        <v>-4.5599999999999996</v>
      </c>
    </row>
    <row r="503" spans="1:13" x14ac:dyDescent="0.25">
      <c r="A503" s="3">
        <v>502</v>
      </c>
      <c r="B503" s="3" t="s">
        <v>43</v>
      </c>
      <c r="C503" s="33">
        <v>45247</v>
      </c>
      <c r="D503" s="3" t="s">
        <v>20</v>
      </c>
      <c r="E503" s="3" t="s">
        <v>16</v>
      </c>
      <c r="F503" s="3" t="s">
        <v>24</v>
      </c>
      <c r="G503" s="3">
        <v>63</v>
      </c>
      <c r="H503" s="3" t="s">
        <v>17</v>
      </c>
      <c r="I503" s="23">
        <v>5.2329998016357404</v>
      </c>
      <c r="J503" s="4">
        <v>1983.90002441406</v>
      </c>
      <c r="K503" s="4">
        <v>36596.68</v>
      </c>
      <c r="L503" s="4">
        <v>22445028430</v>
      </c>
      <c r="M503" s="3">
        <v>1.22</v>
      </c>
    </row>
    <row r="504" spans="1:13" x14ac:dyDescent="0.25">
      <c r="A504" s="3">
        <v>503</v>
      </c>
      <c r="B504" s="3" t="s">
        <v>43</v>
      </c>
      <c r="C504" s="33">
        <v>45248</v>
      </c>
      <c r="D504" s="3" t="s">
        <v>21</v>
      </c>
      <c r="E504" s="3" t="s">
        <v>13</v>
      </c>
      <c r="F504" s="3" t="s">
        <v>24</v>
      </c>
      <c r="G504" s="3">
        <v>69</v>
      </c>
      <c r="H504" s="3" t="s">
        <v>17</v>
      </c>
      <c r="I504" s="23">
        <v>5.2329998016357404</v>
      </c>
      <c r="J504" s="4">
        <v>1981.59997558593</v>
      </c>
      <c r="K504" s="4">
        <v>36585.699999999997</v>
      </c>
      <c r="L504" s="4">
        <v>11886022717</v>
      </c>
      <c r="M504" s="3">
        <v>-0.03</v>
      </c>
    </row>
    <row r="505" spans="1:13" x14ac:dyDescent="0.25">
      <c r="A505" s="3">
        <v>504</v>
      </c>
      <c r="B505" s="3" t="s">
        <v>43</v>
      </c>
      <c r="C505" s="33">
        <v>45249</v>
      </c>
      <c r="D505" s="3" t="s">
        <v>22</v>
      </c>
      <c r="E505" s="3" t="s">
        <v>13</v>
      </c>
      <c r="F505" s="3" t="s">
        <v>24</v>
      </c>
      <c r="G505" s="3">
        <v>66</v>
      </c>
      <c r="H505" s="3" t="s">
        <v>17</v>
      </c>
      <c r="I505" s="23">
        <v>5.2329998016357404</v>
      </c>
      <c r="J505" s="4">
        <v>1983.90002441406</v>
      </c>
      <c r="K505" s="4">
        <v>37386.550000000003</v>
      </c>
      <c r="L505" s="4">
        <v>12915986553</v>
      </c>
      <c r="M505" s="3">
        <v>2.19</v>
      </c>
    </row>
    <row r="506" spans="1:13" x14ac:dyDescent="0.25">
      <c r="A506" s="3">
        <v>505</v>
      </c>
      <c r="B506" s="3" t="s">
        <v>43</v>
      </c>
      <c r="C506" s="33">
        <v>45250</v>
      </c>
      <c r="D506" s="3" t="s">
        <v>12</v>
      </c>
      <c r="E506" s="3" t="s">
        <v>16</v>
      </c>
      <c r="F506" s="3" t="s">
        <v>24</v>
      </c>
      <c r="G506" s="3">
        <v>69</v>
      </c>
      <c r="H506" s="3" t="s">
        <v>17</v>
      </c>
      <c r="I506" s="23">
        <v>5.2379999160766602</v>
      </c>
      <c r="J506" s="4">
        <v>1981.59997558593</v>
      </c>
      <c r="K506" s="4">
        <v>37476.959999999999</v>
      </c>
      <c r="L506" s="4">
        <v>20888209068</v>
      </c>
      <c r="M506" s="3">
        <v>0.24</v>
      </c>
    </row>
    <row r="507" spans="1:13" x14ac:dyDescent="0.25">
      <c r="A507" s="3">
        <v>506</v>
      </c>
      <c r="B507" s="3" t="s">
        <v>43</v>
      </c>
      <c r="C507" s="33">
        <v>45251</v>
      </c>
      <c r="D507" s="3" t="s">
        <v>15</v>
      </c>
      <c r="E507" s="3" t="s">
        <v>16</v>
      </c>
      <c r="F507" s="3" t="s">
        <v>24</v>
      </c>
      <c r="G507" s="3">
        <v>71</v>
      </c>
      <c r="H507" s="3" t="s">
        <v>17</v>
      </c>
      <c r="I507" s="23">
        <v>5.25500011444091</v>
      </c>
      <c r="J507" s="4">
        <v>1977.69995117187</v>
      </c>
      <c r="K507" s="4">
        <v>35813.81</v>
      </c>
      <c r="L507" s="4">
        <v>25172163756</v>
      </c>
      <c r="M507" s="3">
        <v>-4.4400000000000004</v>
      </c>
    </row>
    <row r="508" spans="1:13" x14ac:dyDescent="0.25">
      <c r="A508" s="3">
        <v>507</v>
      </c>
      <c r="B508" s="3" t="s">
        <v>43</v>
      </c>
      <c r="C508" s="33">
        <v>45252</v>
      </c>
      <c r="D508" s="3" t="s">
        <v>18</v>
      </c>
      <c r="E508" s="3" t="s">
        <v>16</v>
      </c>
      <c r="F508" s="3" t="s">
        <v>24</v>
      </c>
      <c r="G508" s="3">
        <v>62</v>
      </c>
      <c r="H508" s="3" t="s">
        <v>17</v>
      </c>
      <c r="I508" s="23">
        <v>5.2649998664855904</v>
      </c>
      <c r="J508" s="4">
        <v>1999.30004882812</v>
      </c>
      <c r="K508" s="4">
        <v>37432.339999999997</v>
      </c>
      <c r="L508" s="4">
        <v>24397247860</v>
      </c>
      <c r="M508" s="3">
        <v>4.5199999999999996</v>
      </c>
    </row>
    <row r="509" spans="1:13" x14ac:dyDescent="0.25">
      <c r="A509" s="3">
        <v>508</v>
      </c>
      <c r="B509" s="3" t="s">
        <v>43</v>
      </c>
      <c r="C509" s="33">
        <v>45253</v>
      </c>
      <c r="D509" s="3" t="s">
        <v>19</v>
      </c>
      <c r="E509" s="3" t="s">
        <v>16</v>
      </c>
      <c r="F509" s="3" t="s">
        <v>24</v>
      </c>
      <c r="G509" s="3">
        <v>66</v>
      </c>
      <c r="H509" s="3" t="s">
        <v>17</v>
      </c>
      <c r="I509" s="23">
        <v>5.2649998664855904</v>
      </c>
      <c r="J509" s="4">
        <v>1991.40002441406</v>
      </c>
      <c r="K509" s="4">
        <v>37289.620000000003</v>
      </c>
      <c r="L509" s="4">
        <v>14214948217</v>
      </c>
      <c r="M509" s="3">
        <v>-0.38</v>
      </c>
    </row>
    <row r="510" spans="1:13" x14ac:dyDescent="0.25">
      <c r="A510" s="3">
        <v>509</v>
      </c>
      <c r="B510" s="3" t="s">
        <v>43</v>
      </c>
      <c r="C510" s="33">
        <v>45254</v>
      </c>
      <c r="D510" s="3" t="s">
        <v>20</v>
      </c>
      <c r="E510" s="3" t="s">
        <v>16</v>
      </c>
      <c r="F510" s="3" t="s">
        <v>24</v>
      </c>
      <c r="G510" s="3">
        <v>66</v>
      </c>
      <c r="H510" s="3" t="s">
        <v>17</v>
      </c>
      <c r="I510" s="23">
        <v>5.2529997825622496</v>
      </c>
      <c r="J510" s="4">
        <v>1999.30004882812</v>
      </c>
      <c r="K510" s="4">
        <v>37720.28</v>
      </c>
      <c r="L510" s="4">
        <v>22922957823</v>
      </c>
      <c r="M510" s="3">
        <v>1.1499999999999999</v>
      </c>
    </row>
    <row r="511" spans="1:13" x14ac:dyDescent="0.25">
      <c r="A511" s="3">
        <v>510</v>
      </c>
      <c r="B511" s="3" t="s">
        <v>43</v>
      </c>
      <c r="C511" s="33">
        <v>45255</v>
      </c>
      <c r="D511" s="3" t="s">
        <v>21</v>
      </c>
      <c r="E511" s="3" t="s">
        <v>13</v>
      </c>
      <c r="F511" s="3" t="s">
        <v>24</v>
      </c>
      <c r="G511" s="3">
        <v>73</v>
      </c>
      <c r="H511" s="3" t="s">
        <v>17</v>
      </c>
      <c r="I511" s="23">
        <v>5.2529997825622496</v>
      </c>
      <c r="J511" s="4">
        <v>2002.19995117187</v>
      </c>
      <c r="K511" s="4">
        <v>37796.79</v>
      </c>
      <c r="L511" s="4">
        <v>9099571165</v>
      </c>
      <c r="M511" s="3">
        <v>0.2</v>
      </c>
    </row>
    <row r="512" spans="1:13" x14ac:dyDescent="0.25">
      <c r="A512" s="3">
        <v>511</v>
      </c>
      <c r="B512" s="3" t="s">
        <v>43</v>
      </c>
      <c r="C512" s="33">
        <v>45256</v>
      </c>
      <c r="D512" s="3" t="s">
        <v>22</v>
      </c>
      <c r="E512" s="3" t="s">
        <v>13</v>
      </c>
      <c r="F512" s="3" t="s">
        <v>24</v>
      </c>
      <c r="G512" s="3">
        <v>73</v>
      </c>
      <c r="H512" s="3" t="s">
        <v>17</v>
      </c>
      <c r="I512" s="23">
        <v>5.2529997825622496</v>
      </c>
      <c r="J512" s="4">
        <v>1999.30004882812</v>
      </c>
      <c r="K512" s="4">
        <v>37479.120000000003</v>
      </c>
      <c r="L512" s="4">
        <v>13744796068</v>
      </c>
      <c r="M512" s="3">
        <v>-0.84</v>
      </c>
    </row>
    <row r="513" spans="1:13" x14ac:dyDescent="0.25">
      <c r="A513" s="3">
        <v>512</v>
      </c>
      <c r="B513" s="3" t="s">
        <v>43</v>
      </c>
      <c r="C513" s="33">
        <v>45257</v>
      </c>
      <c r="D513" s="3" t="s">
        <v>12</v>
      </c>
      <c r="E513" s="3" t="s">
        <v>16</v>
      </c>
      <c r="F513" s="3" t="s">
        <v>24</v>
      </c>
      <c r="G513" s="3">
        <v>66</v>
      </c>
      <c r="H513" s="3" t="s">
        <v>17</v>
      </c>
      <c r="I513" s="23">
        <v>5.2579998970031703</v>
      </c>
      <c r="J513" s="4">
        <v>2002.19995117187</v>
      </c>
      <c r="K513" s="4">
        <v>37254.17</v>
      </c>
      <c r="L513" s="4">
        <v>19002925720</v>
      </c>
      <c r="M513" s="3">
        <v>-0.6</v>
      </c>
    </row>
    <row r="514" spans="1:13" x14ac:dyDescent="0.25">
      <c r="A514" s="3">
        <v>513</v>
      </c>
      <c r="B514" s="3" t="s">
        <v>43</v>
      </c>
      <c r="C514" s="33">
        <v>45258</v>
      </c>
      <c r="D514" s="3" t="s">
        <v>15</v>
      </c>
      <c r="E514" s="3" t="s">
        <v>16</v>
      </c>
      <c r="F514" s="3" t="s">
        <v>24</v>
      </c>
      <c r="G514" s="3">
        <v>68</v>
      </c>
      <c r="H514" s="3" t="s">
        <v>17</v>
      </c>
      <c r="I514" s="23">
        <v>5.2600002288818297</v>
      </c>
      <c r="J514" s="4">
        <v>2011.80004882812</v>
      </c>
      <c r="K514" s="4">
        <v>37831.089999999997</v>
      </c>
      <c r="L514" s="4">
        <v>21696137014</v>
      </c>
      <c r="M514" s="3">
        <v>1.55</v>
      </c>
    </row>
    <row r="515" spans="1:13" x14ac:dyDescent="0.25">
      <c r="A515" s="3">
        <v>514</v>
      </c>
      <c r="B515" s="3" t="s">
        <v>43</v>
      </c>
      <c r="C515" s="33">
        <v>45259</v>
      </c>
      <c r="D515" s="3" t="s">
        <v>18</v>
      </c>
      <c r="E515" s="3" t="s">
        <v>16</v>
      </c>
      <c r="F515" s="3" t="s">
        <v>24</v>
      </c>
      <c r="G515" s="3">
        <v>72</v>
      </c>
      <c r="H515" s="3" t="s">
        <v>17</v>
      </c>
      <c r="I515" s="23">
        <v>5.2399997711181596</v>
      </c>
      <c r="J515" s="4">
        <v>2039.69995117187</v>
      </c>
      <c r="K515" s="4">
        <v>37858.49</v>
      </c>
      <c r="L515" s="4">
        <v>20728546658</v>
      </c>
      <c r="M515" s="3">
        <v>7.0000000000000007E-2</v>
      </c>
    </row>
    <row r="516" spans="1:13" x14ac:dyDescent="0.25">
      <c r="A516" s="3">
        <v>515</v>
      </c>
      <c r="B516" s="3" t="s">
        <v>43</v>
      </c>
      <c r="C516" s="33">
        <v>45260</v>
      </c>
      <c r="D516" s="3" t="s">
        <v>19</v>
      </c>
      <c r="E516" s="3" t="s">
        <v>16</v>
      </c>
      <c r="F516" s="3" t="s">
        <v>24</v>
      </c>
      <c r="G516" s="3">
        <v>74</v>
      </c>
      <c r="H516" s="3" t="s">
        <v>17</v>
      </c>
      <c r="I516" s="23">
        <v>5.2379999160766602</v>
      </c>
      <c r="J516" s="4">
        <v>2047.09997558593</v>
      </c>
      <c r="K516" s="4">
        <v>37712.75</v>
      </c>
      <c r="L516" s="4">
        <v>18115982627</v>
      </c>
      <c r="M516" s="3">
        <v>-0.38</v>
      </c>
    </row>
    <row r="517" spans="1:13" x14ac:dyDescent="0.25">
      <c r="A517" s="3">
        <v>516</v>
      </c>
      <c r="B517" s="3" t="s">
        <v>44</v>
      </c>
      <c r="C517" s="33">
        <v>45261</v>
      </c>
      <c r="D517" s="3" t="s">
        <v>20</v>
      </c>
      <c r="E517" s="3" t="s">
        <v>16</v>
      </c>
      <c r="F517" s="3" t="s">
        <v>24</v>
      </c>
      <c r="G517" s="3">
        <v>71</v>
      </c>
      <c r="H517" s="3" t="s">
        <v>17</v>
      </c>
      <c r="I517" s="23">
        <v>5.2150001525878897</v>
      </c>
      <c r="J517" s="4">
        <v>2038.09997558593</v>
      </c>
      <c r="K517" s="4">
        <v>38688.75</v>
      </c>
      <c r="L517" s="4">
        <v>23512784002</v>
      </c>
      <c r="M517" s="3">
        <v>2.59</v>
      </c>
    </row>
    <row r="518" spans="1:13" x14ac:dyDescent="0.25">
      <c r="A518" s="3">
        <v>517</v>
      </c>
      <c r="B518" s="3" t="s">
        <v>44</v>
      </c>
      <c r="C518" s="33">
        <v>45262</v>
      </c>
      <c r="D518" s="3" t="s">
        <v>21</v>
      </c>
      <c r="E518" s="3" t="s">
        <v>13</v>
      </c>
      <c r="F518" s="3" t="s">
        <v>24</v>
      </c>
      <c r="G518" s="3">
        <v>74</v>
      </c>
      <c r="H518" s="3" t="s">
        <v>17</v>
      </c>
      <c r="I518" s="23">
        <v>5.2150001525878897</v>
      </c>
      <c r="J518" s="4">
        <v>2071</v>
      </c>
      <c r="K518" s="4">
        <v>39476.33</v>
      </c>
      <c r="L518" s="4">
        <v>15534035612</v>
      </c>
      <c r="M518" s="3">
        <v>2.04</v>
      </c>
    </row>
    <row r="519" spans="1:13" x14ac:dyDescent="0.25">
      <c r="A519" s="3">
        <v>518</v>
      </c>
      <c r="B519" s="3" t="s">
        <v>44</v>
      </c>
      <c r="C519" s="33">
        <v>45263</v>
      </c>
      <c r="D519" s="3" t="s">
        <v>22</v>
      </c>
      <c r="E519" s="3" t="s">
        <v>13</v>
      </c>
      <c r="F519" s="3" t="s">
        <v>24</v>
      </c>
      <c r="G519" s="3">
        <v>73</v>
      </c>
      <c r="H519" s="3" t="s">
        <v>17</v>
      </c>
      <c r="I519" s="23">
        <v>5.2150001525878897</v>
      </c>
      <c r="J519" s="4">
        <v>2038.09997558593</v>
      </c>
      <c r="K519" s="4">
        <v>39978.39</v>
      </c>
      <c r="L519" s="4">
        <v>15769696322</v>
      </c>
      <c r="M519" s="3">
        <v>1.27</v>
      </c>
    </row>
    <row r="520" spans="1:13" x14ac:dyDescent="0.25">
      <c r="A520" s="3">
        <v>519</v>
      </c>
      <c r="B520" s="3" t="s">
        <v>44</v>
      </c>
      <c r="C520" s="33">
        <v>45264</v>
      </c>
      <c r="D520" s="3" t="s">
        <v>12</v>
      </c>
      <c r="E520" s="3" t="s">
        <v>16</v>
      </c>
      <c r="F520" s="3" t="s">
        <v>24</v>
      </c>
      <c r="G520" s="3">
        <v>74</v>
      </c>
      <c r="H520" s="3" t="s">
        <v>17</v>
      </c>
      <c r="I520" s="23">
        <v>5.22300004959106</v>
      </c>
      <c r="J520" s="4">
        <v>2071</v>
      </c>
      <c r="K520" s="4">
        <v>41980.1</v>
      </c>
      <c r="L520" s="4">
        <v>39856129827</v>
      </c>
      <c r="M520" s="3">
        <v>5.01</v>
      </c>
    </row>
    <row r="521" spans="1:13" x14ac:dyDescent="0.25">
      <c r="A521" s="3">
        <v>520</v>
      </c>
      <c r="B521" s="3" t="s">
        <v>44</v>
      </c>
      <c r="C521" s="33">
        <v>45265</v>
      </c>
      <c r="D521" s="3" t="s">
        <v>15</v>
      </c>
      <c r="E521" s="3" t="s">
        <v>16</v>
      </c>
      <c r="F521" s="3" t="s">
        <v>25</v>
      </c>
      <c r="G521" s="3">
        <v>75</v>
      </c>
      <c r="H521" s="3" t="s">
        <v>17</v>
      </c>
      <c r="I521" s="23">
        <v>5.2430000305175701</v>
      </c>
      <c r="J521" s="4">
        <v>2024.09997558593</v>
      </c>
      <c r="K521" s="4">
        <v>44080.65</v>
      </c>
      <c r="L521" s="4">
        <v>36312154535</v>
      </c>
      <c r="M521" s="3">
        <v>5</v>
      </c>
    </row>
    <row r="522" spans="1:13" x14ac:dyDescent="0.25">
      <c r="A522" s="3">
        <v>521</v>
      </c>
      <c r="B522" s="3" t="s">
        <v>44</v>
      </c>
      <c r="C522" s="33">
        <v>45266</v>
      </c>
      <c r="D522" s="3" t="s">
        <v>18</v>
      </c>
      <c r="E522" s="3" t="s">
        <v>16</v>
      </c>
      <c r="F522" s="3" t="s">
        <v>24</v>
      </c>
      <c r="G522" s="3">
        <v>72</v>
      </c>
      <c r="H522" s="3" t="s">
        <v>17</v>
      </c>
      <c r="I522" s="23">
        <v>5.2430000305175701</v>
      </c>
      <c r="J522" s="4">
        <v>2018.5</v>
      </c>
      <c r="K522" s="4">
        <v>43746.45</v>
      </c>
      <c r="L522" s="4">
        <v>29909761586</v>
      </c>
      <c r="M522" s="3">
        <v>-0.76</v>
      </c>
    </row>
    <row r="523" spans="1:13" x14ac:dyDescent="0.25">
      <c r="A523" s="3">
        <v>522</v>
      </c>
      <c r="B523" s="3" t="s">
        <v>44</v>
      </c>
      <c r="C523" s="33">
        <v>45267</v>
      </c>
      <c r="D523" s="3" t="s">
        <v>19</v>
      </c>
      <c r="E523" s="3" t="s">
        <v>16</v>
      </c>
      <c r="F523" s="3" t="s">
        <v>24</v>
      </c>
      <c r="G523" s="3">
        <v>72</v>
      </c>
      <c r="H523" s="3" t="s">
        <v>17</v>
      </c>
      <c r="I523" s="23">
        <v>5.2329998016357404</v>
      </c>
      <c r="J523" s="4">
        <v>2030.5</v>
      </c>
      <c r="K523" s="4">
        <v>43292.66</v>
      </c>
      <c r="L523" s="4">
        <v>27635760671</v>
      </c>
      <c r="M523" s="3">
        <v>-1.04</v>
      </c>
    </row>
    <row r="524" spans="1:13" x14ac:dyDescent="0.25">
      <c r="A524" s="3">
        <v>523</v>
      </c>
      <c r="B524" s="3" t="s">
        <v>44</v>
      </c>
      <c r="C524" s="33">
        <v>45268</v>
      </c>
      <c r="D524" s="3" t="s">
        <v>20</v>
      </c>
      <c r="E524" s="3" t="s">
        <v>16</v>
      </c>
      <c r="F524" s="3" t="s">
        <v>24</v>
      </c>
      <c r="G524" s="3">
        <v>72</v>
      </c>
      <c r="H524" s="3" t="s">
        <v>17</v>
      </c>
      <c r="I524" s="23">
        <v>5.2329998016357404</v>
      </c>
      <c r="J524" s="4">
        <v>2029.90002441406</v>
      </c>
      <c r="K524" s="4">
        <v>44166.6</v>
      </c>
      <c r="L524" s="4">
        <v>24421116687</v>
      </c>
      <c r="M524" s="3">
        <v>2.02</v>
      </c>
    </row>
    <row r="525" spans="1:13" x14ac:dyDescent="0.25">
      <c r="A525" s="3">
        <v>524</v>
      </c>
      <c r="B525" s="3" t="s">
        <v>44</v>
      </c>
      <c r="C525" s="33">
        <v>45269</v>
      </c>
      <c r="D525" s="3" t="s">
        <v>21</v>
      </c>
      <c r="E525" s="3" t="s">
        <v>13</v>
      </c>
      <c r="F525" s="3" t="s">
        <v>24</v>
      </c>
      <c r="G525" s="3">
        <v>73</v>
      </c>
      <c r="H525" s="3" t="s">
        <v>17</v>
      </c>
      <c r="I525" s="23">
        <v>5.2329998016357404</v>
      </c>
      <c r="J525" s="4">
        <v>1998.30004882812</v>
      </c>
      <c r="K525" s="4">
        <v>43725.98</v>
      </c>
      <c r="L525" s="4">
        <v>17368210171</v>
      </c>
      <c r="M525" s="3">
        <v>-1</v>
      </c>
    </row>
    <row r="526" spans="1:13" x14ac:dyDescent="0.25">
      <c r="A526" s="3">
        <v>525</v>
      </c>
      <c r="B526" s="3" t="s">
        <v>44</v>
      </c>
      <c r="C526" s="33">
        <v>45270</v>
      </c>
      <c r="D526" s="3" t="s">
        <v>22</v>
      </c>
      <c r="E526" s="3" t="s">
        <v>13</v>
      </c>
      <c r="F526" s="3" t="s">
        <v>24</v>
      </c>
      <c r="G526" s="3">
        <v>74</v>
      </c>
      <c r="H526" s="3" t="s">
        <v>17</v>
      </c>
      <c r="I526" s="23">
        <v>5.2329998016357404</v>
      </c>
      <c r="J526" s="4">
        <v>2029.90002441406</v>
      </c>
      <c r="K526" s="4">
        <v>43779.7</v>
      </c>
      <c r="L526" s="4">
        <v>13000481418</v>
      </c>
      <c r="M526" s="3">
        <v>0.12</v>
      </c>
    </row>
    <row r="527" spans="1:13" x14ac:dyDescent="0.25">
      <c r="A527" s="3">
        <v>526</v>
      </c>
      <c r="B527" s="3" t="s">
        <v>44</v>
      </c>
      <c r="C527" s="33">
        <v>45271</v>
      </c>
      <c r="D527" s="3" t="s">
        <v>12</v>
      </c>
      <c r="E527" s="3" t="s">
        <v>16</v>
      </c>
      <c r="F527" s="3" t="s">
        <v>24</v>
      </c>
      <c r="G527" s="3">
        <v>74</v>
      </c>
      <c r="H527" s="3" t="s">
        <v>17</v>
      </c>
      <c r="I527" s="23">
        <v>5.2329998016357404</v>
      </c>
      <c r="J527" s="4">
        <v>1998.30004882812</v>
      </c>
      <c r="K527" s="4">
        <v>41243.83</v>
      </c>
      <c r="L527" s="4">
        <v>40632672038</v>
      </c>
      <c r="M527" s="3">
        <v>-5.79</v>
      </c>
    </row>
    <row r="528" spans="1:13" x14ac:dyDescent="0.25">
      <c r="A528" s="3">
        <v>527</v>
      </c>
      <c r="B528" s="3" t="s">
        <v>44</v>
      </c>
      <c r="C528" s="33">
        <v>45272</v>
      </c>
      <c r="D528" s="3" t="s">
        <v>15</v>
      </c>
      <c r="E528" s="3" t="s">
        <v>16</v>
      </c>
      <c r="F528" s="3" t="s">
        <v>24</v>
      </c>
      <c r="G528" s="3">
        <v>67</v>
      </c>
      <c r="H528" s="3" t="s">
        <v>17</v>
      </c>
      <c r="I528" s="23">
        <v>5.2480001449584899</v>
      </c>
      <c r="J528" s="4">
        <v>1978</v>
      </c>
      <c r="K528" s="4">
        <v>41450.22</v>
      </c>
      <c r="L528" s="4">
        <v>24779520132</v>
      </c>
      <c r="M528" s="3">
        <v>0.5</v>
      </c>
    </row>
    <row r="529" spans="1:13" x14ac:dyDescent="0.25">
      <c r="A529" s="3">
        <v>528</v>
      </c>
      <c r="B529" s="3" t="s">
        <v>44</v>
      </c>
      <c r="C529" s="33">
        <v>45273</v>
      </c>
      <c r="D529" s="3" t="s">
        <v>18</v>
      </c>
      <c r="E529" s="3" t="s">
        <v>16</v>
      </c>
      <c r="F529" s="3" t="s">
        <v>24</v>
      </c>
      <c r="G529" s="3">
        <v>65</v>
      </c>
      <c r="H529" s="3" t="s">
        <v>17</v>
      </c>
      <c r="I529" s="23">
        <v>5.22300004959106</v>
      </c>
      <c r="J529" s="4">
        <v>1977.80004882812</v>
      </c>
      <c r="K529" s="4">
        <v>42890.74</v>
      </c>
      <c r="L529" s="4">
        <v>26797884674</v>
      </c>
      <c r="M529" s="3">
        <v>3.48</v>
      </c>
    </row>
    <row r="530" spans="1:13" x14ac:dyDescent="0.25">
      <c r="A530" s="3">
        <v>529</v>
      </c>
      <c r="B530" s="3" t="s">
        <v>44</v>
      </c>
      <c r="C530" s="33">
        <v>45274</v>
      </c>
      <c r="D530" s="3" t="s">
        <v>19</v>
      </c>
      <c r="E530" s="3" t="s">
        <v>16</v>
      </c>
      <c r="F530" s="3" t="s">
        <v>24</v>
      </c>
      <c r="G530" s="3">
        <v>72</v>
      </c>
      <c r="H530" s="3" t="s">
        <v>17</v>
      </c>
      <c r="I530" s="23">
        <v>5.2150001525878897</v>
      </c>
      <c r="J530" s="4">
        <v>1982.30004882812</v>
      </c>
      <c r="K530" s="4">
        <v>43023.97</v>
      </c>
      <c r="L530" s="4">
        <v>25578530178</v>
      </c>
      <c r="M530" s="3">
        <v>0.31</v>
      </c>
    </row>
    <row r="531" spans="1:13" x14ac:dyDescent="0.25">
      <c r="A531" s="3">
        <v>530</v>
      </c>
      <c r="B531" s="3" t="s">
        <v>44</v>
      </c>
      <c r="C531" s="33">
        <v>45275</v>
      </c>
      <c r="D531" s="3" t="s">
        <v>20</v>
      </c>
      <c r="E531" s="3" t="s">
        <v>16</v>
      </c>
      <c r="F531" s="3" t="s">
        <v>24</v>
      </c>
      <c r="G531" s="3">
        <v>70</v>
      </c>
      <c r="H531" s="3" t="s">
        <v>17</v>
      </c>
      <c r="I531" s="23">
        <v>5.2249999046325604</v>
      </c>
      <c r="J531" s="4">
        <v>2030.19995117187</v>
      </c>
      <c r="K531" s="4">
        <v>41929.760000000002</v>
      </c>
      <c r="L531" s="4">
        <v>19639442462</v>
      </c>
      <c r="M531" s="3">
        <v>-2.54</v>
      </c>
    </row>
    <row r="532" spans="1:13" x14ac:dyDescent="0.25">
      <c r="A532" s="3">
        <v>531</v>
      </c>
      <c r="B532" s="3" t="s">
        <v>44</v>
      </c>
      <c r="C532" s="33">
        <v>45276</v>
      </c>
      <c r="D532" s="3" t="s">
        <v>21</v>
      </c>
      <c r="E532" s="3" t="s">
        <v>13</v>
      </c>
      <c r="F532" s="3" t="s">
        <v>24</v>
      </c>
      <c r="G532" s="3">
        <v>67</v>
      </c>
      <c r="H532" s="3" t="s">
        <v>17</v>
      </c>
      <c r="I532" s="23">
        <v>5.2249999046325604</v>
      </c>
      <c r="J532" s="4">
        <v>2021.09997558593</v>
      </c>
      <c r="K532" s="4">
        <v>42240.12</v>
      </c>
      <c r="L532" s="4">
        <v>14386729590</v>
      </c>
      <c r="M532" s="3">
        <v>0.74</v>
      </c>
    </row>
    <row r="533" spans="1:13" x14ac:dyDescent="0.25">
      <c r="A533" s="3">
        <v>532</v>
      </c>
      <c r="B533" s="3" t="s">
        <v>44</v>
      </c>
      <c r="C533" s="33">
        <v>45277</v>
      </c>
      <c r="D533" s="3" t="s">
        <v>22</v>
      </c>
      <c r="E533" s="3" t="s">
        <v>13</v>
      </c>
      <c r="F533" s="3" t="s">
        <v>24</v>
      </c>
      <c r="G533" s="3">
        <v>73</v>
      </c>
      <c r="H533" s="3" t="s">
        <v>17</v>
      </c>
      <c r="I533" s="23">
        <v>5.2249999046325604</v>
      </c>
      <c r="J533" s="4">
        <v>2030.19995117187</v>
      </c>
      <c r="K533" s="4">
        <v>41364.660000000003</v>
      </c>
      <c r="L533" s="4">
        <v>16678702876</v>
      </c>
      <c r="M533" s="3">
        <v>-2.0699999999999998</v>
      </c>
    </row>
    <row r="534" spans="1:13" x14ac:dyDescent="0.25">
      <c r="A534" s="3">
        <v>533</v>
      </c>
      <c r="B534" s="3" t="s">
        <v>44</v>
      </c>
      <c r="C534" s="33">
        <v>45278</v>
      </c>
      <c r="D534" s="3" t="s">
        <v>12</v>
      </c>
      <c r="E534" s="3" t="s">
        <v>16</v>
      </c>
      <c r="F534" s="3" t="s">
        <v>24</v>
      </c>
      <c r="G534" s="3">
        <v>65</v>
      </c>
      <c r="H534" s="3" t="s">
        <v>17</v>
      </c>
      <c r="I534" s="23">
        <v>5.2249999046325604</v>
      </c>
      <c r="J534" s="4">
        <v>2021.09997558593</v>
      </c>
      <c r="K534" s="4">
        <v>42623.54</v>
      </c>
      <c r="L534" s="4">
        <v>25224642008</v>
      </c>
      <c r="M534" s="3">
        <v>3.04</v>
      </c>
    </row>
    <row r="535" spans="1:13" x14ac:dyDescent="0.25">
      <c r="A535" s="3">
        <v>534</v>
      </c>
      <c r="B535" s="3" t="s">
        <v>44</v>
      </c>
      <c r="C535" s="33">
        <v>45279</v>
      </c>
      <c r="D535" s="3" t="s">
        <v>15</v>
      </c>
      <c r="E535" s="3" t="s">
        <v>16</v>
      </c>
      <c r="F535" s="3" t="s">
        <v>24</v>
      </c>
      <c r="G535" s="3">
        <v>73</v>
      </c>
      <c r="H535" s="3" t="s">
        <v>17</v>
      </c>
      <c r="I535" s="23">
        <v>5.2379999160766602</v>
      </c>
      <c r="J535" s="4">
        <v>2026.30004882812</v>
      </c>
      <c r="K535" s="4">
        <v>42270.53</v>
      </c>
      <c r="L535" s="4">
        <v>23171001281</v>
      </c>
      <c r="M535" s="3">
        <v>-0.83</v>
      </c>
    </row>
    <row r="536" spans="1:13" x14ac:dyDescent="0.25">
      <c r="A536" s="3">
        <v>535</v>
      </c>
      <c r="B536" s="3" t="s">
        <v>44</v>
      </c>
      <c r="C536" s="33">
        <v>45280</v>
      </c>
      <c r="D536" s="3" t="s">
        <v>18</v>
      </c>
      <c r="E536" s="3" t="s">
        <v>16</v>
      </c>
      <c r="F536" s="3" t="s">
        <v>24</v>
      </c>
      <c r="G536" s="3">
        <v>74</v>
      </c>
      <c r="H536" s="3" t="s">
        <v>17</v>
      </c>
      <c r="I536" s="23">
        <v>5.2300000190734801</v>
      </c>
      <c r="J536" s="4">
        <v>2038.40002441406</v>
      </c>
      <c r="K536" s="4">
        <v>43652.25</v>
      </c>
      <c r="L536" s="4">
        <v>27868908174</v>
      </c>
      <c r="M536" s="3">
        <v>3.27</v>
      </c>
    </row>
    <row r="537" spans="1:13" x14ac:dyDescent="0.25">
      <c r="A537" s="3">
        <v>536</v>
      </c>
      <c r="B537" s="3" t="s">
        <v>44</v>
      </c>
      <c r="C537" s="33">
        <v>45281</v>
      </c>
      <c r="D537" s="3" t="s">
        <v>19</v>
      </c>
      <c r="E537" s="3" t="s">
        <v>16</v>
      </c>
      <c r="F537" s="3" t="s">
        <v>24</v>
      </c>
      <c r="G537" s="3">
        <v>70</v>
      </c>
      <c r="H537" s="3" t="s">
        <v>17</v>
      </c>
      <c r="I537" s="23">
        <v>5.21000003814697</v>
      </c>
      <c r="J537" s="4">
        <v>2034.5</v>
      </c>
      <c r="K537" s="4">
        <v>43869.15</v>
      </c>
      <c r="L537" s="4">
        <v>22452766169</v>
      </c>
      <c r="M537" s="3">
        <v>0.5</v>
      </c>
    </row>
    <row r="538" spans="1:13" x14ac:dyDescent="0.25">
      <c r="A538" s="3">
        <v>537</v>
      </c>
      <c r="B538" s="3" t="s">
        <v>44</v>
      </c>
      <c r="C538" s="33">
        <v>45282</v>
      </c>
      <c r="D538" s="3" t="s">
        <v>20</v>
      </c>
      <c r="E538" s="3" t="s">
        <v>16</v>
      </c>
      <c r="F538" s="3" t="s">
        <v>24</v>
      </c>
      <c r="G538" s="3">
        <v>74</v>
      </c>
      <c r="H538" s="3" t="s">
        <v>17</v>
      </c>
      <c r="I538" s="23">
        <v>5.2080001831054599</v>
      </c>
      <c r="J538" s="4">
        <v>2039.09997558593</v>
      </c>
      <c r="K538" s="4">
        <v>43997.9</v>
      </c>
      <c r="L538" s="4">
        <v>21028503216</v>
      </c>
      <c r="M538" s="3">
        <v>0.28999999999999998</v>
      </c>
    </row>
    <row r="539" spans="1:13" x14ac:dyDescent="0.25">
      <c r="A539" s="3">
        <v>538</v>
      </c>
      <c r="B539" s="3" t="s">
        <v>44</v>
      </c>
      <c r="C539" s="33">
        <v>45283</v>
      </c>
      <c r="D539" s="3" t="s">
        <v>21</v>
      </c>
      <c r="E539" s="3" t="s">
        <v>13</v>
      </c>
      <c r="F539" s="3" t="s">
        <v>24</v>
      </c>
      <c r="G539" s="3">
        <v>70</v>
      </c>
      <c r="H539" s="3" t="s">
        <v>17</v>
      </c>
      <c r="I539" s="23">
        <v>5.2080001831054599</v>
      </c>
      <c r="J539" s="4">
        <v>2057.10009765625</v>
      </c>
      <c r="K539" s="4">
        <v>43739.54</v>
      </c>
      <c r="L539" s="4">
        <v>13507796558</v>
      </c>
      <c r="M539" s="3">
        <v>-0.59</v>
      </c>
    </row>
    <row r="540" spans="1:13" x14ac:dyDescent="0.25">
      <c r="A540" s="3">
        <v>539</v>
      </c>
      <c r="B540" s="3" t="s">
        <v>44</v>
      </c>
      <c r="C540" s="33">
        <v>45284</v>
      </c>
      <c r="D540" s="3" t="s">
        <v>22</v>
      </c>
      <c r="E540" s="3" t="s">
        <v>13</v>
      </c>
      <c r="F540" s="3" t="s">
        <v>24</v>
      </c>
      <c r="G540" s="3">
        <v>71</v>
      </c>
      <c r="H540" s="3" t="s">
        <v>17</v>
      </c>
      <c r="I540" s="23">
        <v>5.2080001831054599</v>
      </c>
      <c r="J540" s="4">
        <v>2039.09997558593</v>
      </c>
      <c r="K540" s="4">
        <v>43016.12</v>
      </c>
      <c r="L540" s="4">
        <v>18830554085</v>
      </c>
      <c r="M540" s="3">
        <v>-1.65</v>
      </c>
    </row>
    <row r="541" spans="1:13" x14ac:dyDescent="0.25">
      <c r="A541" s="3">
        <v>540</v>
      </c>
      <c r="B541" s="3" t="s">
        <v>44</v>
      </c>
      <c r="C541" s="33">
        <v>45285</v>
      </c>
      <c r="D541" s="3" t="s">
        <v>12</v>
      </c>
      <c r="E541" s="3" t="s">
        <v>16</v>
      </c>
      <c r="F541" s="3" t="s">
        <v>24</v>
      </c>
      <c r="G541" s="3">
        <v>73</v>
      </c>
      <c r="H541" s="3" t="s">
        <v>17</v>
      </c>
      <c r="I541" s="23">
        <v>5.2080001831054599</v>
      </c>
      <c r="J541" s="4">
        <v>2057.10009765625</v>
      </c>
      <c r="K541" s="4">
        <v>43613.14</v>
      </c>
      <c r="L541" s="4">
        <v>21115795370</v>
      </c>
      <c r="M541" s="3">
        <v>1.39</v>
      </c>
    </row>
    <row r="542" spans="1:13" x14ac:dyDescent="0.25">
      <c r="A542" s="3">
        <v>541</v>
      </c>
      <c r="B542" s="3" t="s">
        <v>44</v>
      </c>
      <c r="C542" s="33">
        <v>45286</v>
      </c>
      <c r="D542" s="3" t="s">
        <v>15</v>
      </c>
      <c r="E542" s="3" t="s">
        <v>16</v>
      </c>
      <c r="F542" s="3" t="s">
        <v>24</v>
      </c>
      <c r="G542" s="3">
        <v>71</v>
      </c>
      <c r="H542" s="3" t="s">
        <v>17</v>
      </c>
      <c r="I542" s="23">
        <v>5.2030000686645499</v>
      </c>
      <c r="J542" s="4">
        <v>2039.09997558593</v>
      </c>
      <c r="K542" s="4">
        <v>42520.4</v>
      </c>
      <c r="L542" s="4">
        <v>30026850982</v>
      </c>
      <c r="M542" s="3">
        <v>-2.5099999999999998</v>
      </c>
    </row>
    <row r="543" spans="1:13" x14ac:dyDescent="0.25">
      <c r="A543" s="3">
        <v>542</v>
      </c>
      <c r="B543" s="3" t="s">
        <v>44</v>
      </c>
      <c r="C543" s="33">
        <v>45287</v>
      </c>
      <c r="D543" s="3" t="s">
        <v>18</v>
      </c>
      <c r="E543" s="3" t="s">
        <v>16</v>
      </c>
      <c r="F543" s="3" t="s">
        <v>24</v>
      </c>
      <c r="G543" s="3">
        <v>73</v>
      </c>
      <c r="H543" s="3" t="s">
        <v>17</v>
      </c>
      <c r="I543" s="23">
        <v>5.2350001335143999</v>
      </c>
      <c r="J543" s="4">
        <v>2058.19995117187</v>
      </c>
      <c r="K543" s="4">
        <v>43442.86</v>
      </c>
      <c r="L543" s="4">
        <v>25260941032</v>
      </c>
      <c r="M543" s="3">
        <v>2.17</v>
      </c>
    </row>
    <row r="544" spans="1:13" x14ac:dyDescent="0.25">
      <c r="A544" s="3">
        <v>543</v>
      </c>
      <c r="B544" s="3" t="s">
        <v>44</v>
      </c>
      <c r="C544" s="33">
        <v>45288</v>
      </c>
      <c r="D544" s="3" t="s">
        <v>19</v>
      </c>
      <c r="E544" s="3" t="s">
        <v>16</v>
      </c>
      <c r="F544" s="3" t="s">
        <v>24</v>
      </c>
      <c r="G544" s="3">
        <v>73</v>
      </c>
      <c r="H544" s="3" t="s">
        <v>17</v>
      </c>
      <c r="I544" s="23">
        <v>5.2179999351501403</v>
      </c>
      <c r="J544" s="4">
        <v>2081.89990234375</v>
      </c>
      <c r="K544" s="4">
        <v>42627.86</v>
      </c>
      <c r="L544" s="4">
        <v>22992093014</v>
      </c>
      <c r="M544" s="3">
        <v>-1.88</v>
      </c>
    </row>
    <row r="545" spans="1:13" x14ac:dyDescent="0.25">
      <c r="A545" s="3">
        <v>544</v>
      </c>
      <c r="B545" s="3" t="s">
        <v>44</v>
      </c>
      <c r="C545" s="33">
        <v>45289</v>
      </c>
      <c r="D545" s="3" t="s">
        <v>20</v>
      </c>
      <c r="E545" s="3" t="s">
        <v>16</v>
      </c>
      <c r="F545" s="3" t="s">
        <v>24</v>
      </c>
      <c r="G545" s="3">
        <v>65</v>
      </c>
      <c r="H545" s="3" t="s">
        <v>17</v>
      </c>
      <c r="I545" s="23">
        <v>5.1799998283386204</v>
      </c>
      <c r="J545" s="4">
        <v>2073.89990234375</v>
      </c>
      <c r="K545" s="4">
        <v>42099.4</v>
      </c>
      <c r="L545" s="4">
        <v>26000021055</v>
      </c>
      <c r="M545" s="3">
        <v>-1.24</v>
      </c>
    </row>
    <row r="546" spans="1:13" x14ac:dyDescent="0.25">
      <c r="A546" s="3">
        <v>545</v>
      </c>
      <c r="B546" s="3" t="s">
        <v>44</v>
      </c>
      <c r="C546" s="33">
        <v>45290</v>
      </c>
      <c r="D546" s="3" t="s">
        <v>21</v>
      </c>
      <c r="E546" s="3" t="s">
        <v>13</v>
      </c>
      <c r="F546" s="3" t="s">
        <v>24</v>
      </c>
      <c r="G546" s="3">
        <v>68</v>
      </c>
      <c r="H546" s="3" t="s">
        <v>17</v>
      </c>
      <c r="I546" s="23">
        <v>5.1799998283386204</v>
      </c>
      <c r="J546" s="4">
        <v>2062.39990234375</v>
      </c>
      <c r="K546" s="4">
        <v>42156.9</v>
      </c>
      <c r="L546" s="4">
        <v>16013925945</v>
      </c>
      <c r="M546" s="3">
        <v>0.14000000000000001</v>
      </c>
    </row>
    <row r="547" spans="1:13" x14ac:dyDescent="0.25">
      <c r="A547" s="3">
        <v>546</v>
      </c>
      <c r="B547" s="3" t="s">
        <v>44</v>
      </c>
      <c r="C547" s="33">
        <v>45291</v>
      </c>
      <c r="D547" s="3" t="s">
        <v>22</v>
      </c>
      <c r="E547" s="3" t="s">
        <v>13</v>
      </c>
      <c r="F547" s="3" t="s">
        <v>24</v>
      </c>
      <c r="G547" s="3">
        <v>67</v>
      </c>
      <c r="H547" s="3" t="s">
        <v>17</v>
      </c>
      <c r="I547" s="23">
        <v>5.1799998283386204</v>
      </c>
      <c r="J547" s="4">
        <v>2073.89990234375</v>
      </c>
      <c r="K547" s="4">
        <v>42265.19</v>
      </c>
      <c r="L547" s="4">
        <v>16397498810</v>
      </c>
      <c r="M547" s="3">
        <v>0.26</v>
      </c>
    </row>
    <row r="548" spans="1:13" x14ac:dyDescent="0.25">
      <c r="A548" s="3">
        <v>547</v>
      </c>
      <c r="B548" s="3" t="s">
        <v>45</v>
      </c>
      <c r="C548" s="33">
        <v>45292</v>
      </c>
      <c r="D548" s="3" t="s">
        <v>12</v>
      </c>
      <c r="E548" s="3" t="s">
        <v>16</v>
      </c>
      <c r="F548" s="3" t="s">
        <v>24</v>
      </c>
      <c r="G548" s="3">
        <v>65</v>
      </c>
      <c r="H548" s="3">
        <v>12</v>
      </c>
      <c r="I548" s="23">
        <v>5.1799998283386204</v>
      </c>
      <c r="J548" s="4">
        <v>2062.39990234375</v>
      </c>
      <c r="K548" s="4">
        <v>44167.33</v>
      </c>
      <c r="L548" s="4">
        <v>18426978443</v>
      </c>
      <c r="M548" s="3">
        <v>4.5</v>
      </c>
    </row>
    <row r="549" spans="1:13" x14ac:dyDescent="0.25">
      <c r="A549" s="3">
        <v>548</v>
      </c>
      <c r="B549" s="3" t="s">
        <v>45</v>
      </c>
      <c r="C549" s="33">
        <v>45293</v>
      </c>
      <c r="D549" s="3" t="s">
        <v>15</v>
      </c>
      <c r="E549" s="3" t="s">
        <v>16</v>
      </c>
      <c r="F549" s="3" t="s">
        <v>24</v>
      </c>
      <c r="G549" s="3">
        <v>71</v>
      </c>
      <c r="H549" s="3" t="s">
        <v>17</v>
      </c>
      <c r="I549" s="23">
        <v>5.2129998207092196</v>
      </c>
      <c r="J549" s="4">
        <v>2073.89990234375</v>
      </c>
      <c r="K549" s="4">
        <v>44957.97</v>
      </c>
      <c r="L549" s="4">
        <v>39335274536</v>
      </c>
      <c r="M549" s="3">
        <v>1.79</v>
      </c>
    </row>
    <row r="550" spans="1:13" x14ac:dyDescent="0.25">
      <c r="A550" s="3">
        <v>549</v>
      </c>
      <c r="B550" s="3" t="s">
        <v>45</v>
      </c>
      <c r="C550" s="33">
        <v>45294</v>
      </c>
      <c r="D550" s="3" t="s">
        <v>18</v>
      </c>
      <c r="E550" s="3" t="s">
        <v>16</v>
      </c>
      <c r="F550" s="3" t="s">
        <v>24</v>
      </c>
      <c r="G550" s="3">
        <v>70</v>
      </c>
      <c r="H550" s="3" t="s">
        <v>17</v>
      </c>
      <c r="I550" s="23">
        <v>5.2350001335143999</v>
      </c>
      <c r="J550" s="4">
        <v>2064.39990234375</v>
      </c>
      <c r="K550" s="4">
        <v>42848.18</v>
      </c>
      <c r="L550" s="4">
        <v>46342323118</v>
      </c>
      <c r="M550" s="3">
        <v>-4.6900000000000004</v>
      </c>
    </row>
    <row r="551" spans="1:13" x14ac:dyDescent="0.25">
      <c r="A551" s="3">
        <v>550</v>
      </c>
      <c r="B551" s="3" t="s">
        <v>45</v>
      </c>
      <c r="C551" s="33">
        <v>45295</v>
      </c>
      <c r="D551" s="3" t="s">
        <v>19</v>
      </c>
      <c r="E551" s="3" t="s">
        <v>16</v>
      </c>
      <c r="F551" s="3" t="s">
        <v>24</v>
      </c>
      <c r="G551" s="3">
        <v>68</v>
      </c>
      <c r="H551" s="3" t="s">
        <v>17</v>
      </c>
      <c r="I551" s="23">
        <v>5.2280001640319798</v>
      </c>
      <c r="J551" s="4">
        <v>2034.19995117187</v>
      </c>
      <c r="K551" s="4">
        <v>44179.92</v>
      </c>
      <c r="L551" s="4">
        <v>30448091210</v>
      </c>
      <c r="M551" s="3">
        <v>3.11</v>
      </c>
    </row>
    <row r="552" spans="1:13" x14ac:dyDescent="0.25">
      <c r="A552" s="3">
        <v>551</v>
      </c>
      <c r="B552" s="3" t="s">
        <v>45</v>
      </c>
      <c r="C552" s="33">
        <v>45296</v>
      </c>
      <c r="D552" s="3" t="s">
        <v>20</v>
      </c>
      <c r="E552" s="3" t="s">
        <v>16</v>
      </c>
      <c r="F552" s="3" t="s">
        <v>24</v>
      </c>
      <c r="G552" s="3">
        <v>72</v>
      </c>
      <c r="H552" s="3" t="s">
        <v>17</v>
      </c>
      <c r="I552" s="23">
        <v>5.2199997901916504</v>
      </c>
      <c r="J552" s="4">
        <v>2042.30004882812</v>
      </c>
      <c r="K552" s="4">
        <v>44162.69</v>
      </c>
      <c r="L552" s="4">
        <v>32336029347</v>
      </c>
      <c r="M552" s="3">
        <v>-0.04</v>
      </c>
    </row>
    <row r="553" spans="1:13" x14ac:dyDescent="0.25">
      <c r="A553" s="3">
        <v>552</v>
      </c>
      <c r="B553" s="3" t="s">
        <v>45</v>
      </c>
      <c r="C553" s="33">
        <v>45297</v>
      </c>
      <c r="D553" s="3" t="s">
        <v>21</v>
      </c>
      <c r="E553" s="3" t="s">
        <v>13</v>
      </c>
      <c r="F553" s="3" t="s">
        <v>24</v>
      </c>
      <c r="G553" s="3">
        <v>70</v>
      </c>
      <c r="H553" s="3" t="s">
        <v>17</v>
      </c>
      <c r="I553" s="23">
        <v>5.2199997901916504</v>
      </c>
      <c r="J553" s="4">
        <v>2042.40002441406</v>
      </c>
      <c r="K553" s="4">
        <v>43989.2</v>
      </c>
      <c r="L553" s="4">
        <v>16092503468</v>
      </c>
      <c r="M553" s="3">
        <v>-0.39</v>
      </c>
    </row>
    <row r="554" spans="1:13" x14ac:dyDescent="0.25">
      <c r="A554" s="3">
        <v>553</v>
      </c>
      <c r="B554" s="3" t="s">
        <v>45</v>
      </c>
      <c r="C554" s="33">
        <v>45298</v>
      </c>
      <c r="D554" s="3" t="s">
        <v>22</v>
      </c>
      <c r="E554" s="3" t="s">
        <v>13</v>
      </c>
      <c r="F554" s="3" t="s">
        <v>24</v>
      </c>
      <c r="G554" s="3">
        <v>71</v>
      </c>
      <c r="H554" s="3" t="s">
        <v>17</v>
      </c>
      <c r="I554" s="23">
        <v>5.2199997901916504</v>
      </c>
      <c r="J554" s="4">
        <v>2042.30004882812</v>
      </c>
      <c r="K554" s="4">
        <v>43943.1</v>
      </c>
      <c r="L554" s="4">
        <v>19330573863</v>
      </c>
      <c r="M554" s="3">
        <v>-0.1</v>
      </c>
    </row>
    <row r="555" spans="1:13" x14ac:dyDescent="0.25">
      <c r="A555" s="3">
        <v>554</v>
      </c>
      <c r="B555" s="3" t="s">
        <v>45</v>
      </c>
      <c r="C555" s="33">
        <v>45299</v>
      </c>
      <c r="D555" s="3" t="s">
        <v>12</v>
      </c>
      <c r="E555" s="3" t="s">
        <v>16</v>
      </c>
      <c r="F555" s="3" t="s">
        <v>24</v>
      </c>
      <c r="G555" s="3">
        <v>71</v>
      </c>
      <c r="H555" s="3" t="s">
        <v>17</v>
      </c>
      <c r="I555" s="23">
        <v>5.2199997901916504</v>
      </c>
      <c r="J555" s="4">
        <v>2042.40002441406</v>
      </c>
      <c r="K555" s="4">
        <v>46970.5</v>
      </c>
      <c r="L555" s="4">
        <v>42746192015</v>
      </c>
      <c r="M555" s="3">
        <v>6.89</v>
      </c>
    </row>
    <row r="556" spans="1:13" x14ac:dyDescent="0.25">
      <c r="A556" s="3">
        <v>555</v>
      </c>
      <c r="B556" s="3" t="s">
        <v>45</v>
      </c>
      <c r="C556" s="33">
        <v>45300</v>
      </c>
      <c r="D556" s="3" t="s">
        <v>15</v>
      </c>
      <c r="E556" s="3" t="s">
        <v>16</v>
      </c>
      <c r="F556" s="3" t="s">
        <v>25</v>
      </c>
      <c r="G556" s="3">
        <v>76</v>
      </c>
      <c r="H556" s="3" t="s">
        <v>17</v>
      </c>
      <c r="I556" s="23">
        <v>5.2300000190734801</v>
      </c>
      <c r="J556" s="4">
        <v>2026.59997558593</v>
      </c>
      <c r="K556" s="4">
        <v>46139.73</v>
      </c>
      <c r="L556" s="4">
        <v>39821290992</v>
      </c>
      <c r="M556" s="3">
        <v>-1.77</v>
      </c>
    </row>
    <row r="557" spans="1:13" x14ac:dyDescent="0.25">
      <c r="A557" s="3">
        <v>556</v>
      </c>
      <c r="B557" s="3" t="s">
        <v>45</v>
      </c>
      <c r="C557" s="33">
        <v>45301</v>
      </c>
      <c r="D557" s="3" t="s">
        <v>18</v>
      </c>
      <c r="E557" s="3" t="s">
        <v>16</v>
      </c>
      <c r="F557" s="3" t="s">
        <v>24</v>
      </c>
      <c r="G557" s="3">
        <v>73</v>
      </c>
      <c r="H557" s="3" t="s">
        <v>17</v>
      </c>
      <c r="I557" s="23">
        <v>5.2249999046325604</v>
      </c>
      <c r="J557" s="4">
        <v>2026.40002441406</v>
      </c>
      <c r="K557" s="4">
        <v>46627.78</v>
      </c>
      <c r="L557" s="4">
        <v>50114613298</v>
      </c>
      <c r="M557" s="3">
        <v>1.06</v>
      </c>
    </row>
    <row r="558" spans="1:13" x14ac:dyDescent="0.25">
      <c r="A558" s="3">
        <v>557</v>
      </c>
      <c r="B558" s="3" t="s">
        <v>45</v>
      </c>
      <c r="C558" s="33">
        <v>45302</v>
      </c>
      <c r="D558" s="3" t="s">
        <v>19</v>
      </c>
      <c r="E558" s="3" t="s">
        <v>16</v>
      </c>
      <c r="F558" s="3" t="s">
        <v>25</v>
      </c>
      <c r="G558" s="3">
        <v>76</v>
      </c>
      <c r="H558" s="3" t="s">
        <v>17</v>
      </c>
      <c r="I558" s="23">
        <v>5.2179999351501403</v>
      </c>
      <c r="J558" s="4">
        <v>2021.69995117187</v>
      </c>
      <c r="K558" s="4">
        <v>46368.59</v>
      </c>
      <c r="L558" s="4">
        <v>45833734549</v>
      </c>
      <c r="M558" s="3">
        <v>-0.56000000000000005</v>
      </c>
    </row>
    <row r="559" spans="1:13" x14ac:dyDescent="0.25">
      <c r="A559" s="3">
        <v>558</v>
      </c>
      <c r="B559" s="3" t="s">
        <v>45</v>
      </c>
      <c r="C559" s="33">
        <v>45303</v>
      </c>
      <c r="D559" s="3" t="s">
        <v>20</v>
      </c>
      <c r="E559" s="3" t="s">
        <v>16</v>
      </c>
      <c r="F559" s="3" t="s">
        <v>24</v>
      </c>
      <c r="G559" s="3">
        <v>71</v>
      </c>
      <c r="H559" s="3" t="s">
        <v>17</v>
      </c>
      <c r="I559" s="23">
        <v>5.1979999542236301</v>
      </c>
      <c r="J559" s="4">
        <v>2014.30004882812</v>
      </c>
      <c r="K559" s="4">
        <v>42853.17</v>
      </c>
      <c r="L559" s="4">
        <v>43332698900</v>
      </c>
      <c r="M559" s="3">
        <v>-7.58</v>
      </c>
    </row>
    <row r="560" spans="1:13" x14ac:dyDescent="0.25">
      <c r="A560" s="3">
        <v>559</v>
      </c>
      <c r="B560" s="3" t="s">
        <v>45</v>
      </c>
      <c r="C560" s="33">
        <v>45304</v>
      </c>
      <c r="D560" s="3" t="s">
        <v>21</v>
      </c>
      <c r="E560" s="3" t="s">
        <v>13</v>
      </c>
      <c r="F560" s="3" t="s">
        <v>24</v>
      </c>
      <c r="G560" s="3">
        <v>64</v>
      </c>
      <c r="H560" s="3" t="s">
        <v>17</v>
      </c>
      <c r="I560" s="23">
        <v>5.1979999542236301</v>
      </c>
      <c r="J560" s="4">
        <v>2046.69995117187</v>
      </c>
      <c r="K560" s="4">
        <v>42842.38</v>
      </c>
      <c r="L560" s="4">
        <v>20601860469</v>
      </c>
      <c r="M560" s="3">
        <v>-0.03</v>
      </c>
    </row>
    <row r="561" spans="1:13" x14ac:dyDescent="0.25">
      <c r="A561" s="3">
        <v>560</v>
      </c>
      <c r="B561" s="3" t="s">
        <v>45</v>
      </c>
      <c r="C561" s="33">
        <v>45305</v>
      </c>
      <c r="D561" s="3" t="s">
        <v>22</v>
      </c>
      <c r="E561" s="3" t="s">
        <v>13</v>
      </c>
      <c r="F561" s="3" t="s">
        <v>24</v>
      </c>
      <c r="G561" s="3">
        <v>60</v>
      </c>
      <c r="H561" s="3" t="s">
        <v>17</v>
      </c>
      <c r="I561" s="23">
        <v>5.1979999542236301</v>
      </c>
      <c r="J561" s="4">
        <v>2014.30004882812</v>
      </c>
      <c r="K561" s="4">
        <v>41796.269999999997</v>
      </c>
      <c r="L561" s="4">
        <v>17521429522</v>
      </c>
      <c r="M561" s="3">
        <v>-2.44</v>
      </c>
    </row>
    <row r="562" spans="1:13" x14ac:dyDescent="0.25">
      <c r="A562" s="3">
        <v>561</v>
      </c>
      <c r="B562" s="3" t="s">
        <v>45</v>
      </c>
      <c r="C562" s="33">
        <v>45306</v>
      </c>
      <c r="D562" s="3" t="s">
        <v>12</v>
      </c>
      <c r="E562" s="3" t="s">
        <v>16</v>
      </c>
      <c r="F562" s="3" t="s">
        <v>24</v>
      </c>
      <c r="G562" s="3">
        <v>52</v>
      </c>
      <c r="H562" s="3" t="s">
        <v>17</v>
      </c>
      <c r="I562" s="23">
        <v>5.1979999542236301</v>
      </c>
      <c r="J562" s="4">
        <v>2046.69995117187</v>
      </c>
      <c r="K562" s="4">
        <v>42511.97</v>
      </c>
      <c r="L562" s="4">
        <v>22320220558</v>
      </c>
      <c r="M562" s="3">
        <v>1.71</v>
      </c>
    </row>
    <row r="563" spans="1:13" x14ac:dyDescent="0.25">
      <c r="A563" s="3">
        <v>562</v>
      </c>
      <c r="B563" s="3" t="s">
        <v>45</v>
      </c>
      <c r="C563" s="33">
        <v>45307</v>
      </c>
      <c r="D563" s="3" t="s">
        <v>15</v>
      </c>
      <c r="E563" s="3" t="s">
        <v>16</v>
      </c>
      <c r="F563" s="3" t="s">
        <v>24</v>
      </c>
      <c r="G563" s="3">
        <v>64</v>
      </c>
      <c r="H563" s="3" t="s">
        <v>17</v>
      </c>
      <c r="I563" s="23">
        <v>5.2030000686645499</v>
      </c>
      <c r="J563" s="4">
        <v>2014.30004882812</v>
      </c>
      <c r="K563" s="4">
        <v>43154.95</v>
      </c>
      <c r="L563" s="4">
        <v>24062872740</v>
      </c>
      <c r="M563" s="3">
        <v>1.51</v>
      </c>
    </row>
    <row r="564" spans="1:13" x14ac:dyDescent="0.25">
      <c r="A564" s="3">
        <v>563</v>
      </c>
      <c r="B564" s="3" t="s">
        <v>45</v>
      </c>
      <c r="C564" s="33">
        <v>45308</v>
      </c>
      <c r="D564" s="3" t="s">
        <v>18</v>
      </c>
      <c r="E564" s="3" t="s">
        <v>16</v>
      </c>
      <c r="F564" s="3" t="s">
        <v>24</v>
      </c>
      <c r="G564" s="3">
        <v>60</v>
      </c>
      <c r="H564" s="3" t="s">
        <v>17</v>
      </c>
      <c r="I564" s="23">
        <v>5.2150001525878897</v>
      </c>
      <c r="J564" s="4">
        <v>2026</v>
      </c>
      <c r="K564" s="4">
        <v>42742.65</v>
      </c>
      <c r="L564" s="4">
        <v>20851232595</v>
      </c>
      <c r="M564" s="3">
        <v>-0.96</v>
      </c>
    </row>
    <row r="565" spans="1:13" x14ac:dyDescent="0.25">
      <c r="A565" s="3">
        <v>564</v>
      </c>
      <c r="B565" s="3" t="s">
        <v>45</v>
      </c>
      <c r="C565" s="33">
        <v>45309</v>
      </c>
      <c r="D565" s="3" t="s">
        <v>19</v>
      </c>
      <c r="E565" s="3" t="s">
        <v>16</v>
      </c>
      <c r="F565" s="3" t="s">
        <v>24</v>
      </c>
      <c r="G565" s="3">
        <v>63</v>
      </c>
      <c r="H565" s="3" t="s">
        <v>17</v>
      </c>
      <c r="I565" s="23">
        <v>5.1999998092651296</v>
      </c>
      <c r="J565" s="4">
        <v>2002.59997558593</v>
      </c>
      <c r="K565" s="4">
        <v>41262.06</v>
      </c>
      <c r="L565" s="4">
        <v>25218357242</v>
      </c>
      <c r="M565" s="3">
        <v>-3.46</v>
      </c>
    </row>
    <row r="566" spans="1:13" x14ac:dyDescent="0.25">
      <c r="A566" s="3">
        <v>565</v>
      </c>
      <c r="B566" s="3" t="s">
        <v>45</v>
      </c>
      <c r="C566" s="33">
        <v>45310</v>
      </c>
      <c r="D566" s="3" t="s">
        <v>20</v>
      </c>
      <c r="E566" s="3" t="s">
        <v>16</v>
      </c>
      <c r="F566" s="3" t="s">
        <v>24</v>
      </c>
      <c r="G566" s="3">
        <v>51</v>
      </c>
      <c r="H566" s="3" t="s">
        <v>17</v>
      </c>
      <c r="I566" s="23">
        <v>5.1979999542236301</v>
      </c>
      <c r="J566" s="4">
        <v>2018.59997558593</v>
      </c>
      <c r="K566" s="4">
        <v>41618.410000000003</v>
      </c>
      <c r="L566" s="4">
        <v>25752407154</v>
      </c>
      <c r="M566" s="3">
        <v>0.86</v>
      </c>
    </row>
    <row r="567" spans="1:13" x14ac:dyDescent="0.25">
      <c r="A567" s="3">
        <v>566</v>
      </c>
      <c r="B567" s="3" t="s">
        <v>45</v>
      </c>
      <c r="C567" s="33">
        <v>45311</v>
      </c>
      <c r="D567" s="3" t="s">
        <v>21</v>
      </c>
      <c r="E567" s="3" t="s">
        <v>13</v>
      </c>
      <c r="F567" s="3" t="s">
        <v>24</v>
      </c>
      <c r="G567" s="3">
        <v>52</v>
      </c>
      <c r="H567" s="3" t="s">
        <v>17</v>
      </c>
      <c r="I567" s="23">
        <v>5.1979999542236301</v>
      </c>
      <c r="J567" s="4">
        <v>2026.5</v>
      </c>
      <c r="K567" s="4">
        <v>41665.589999999997</v>
      </c>
      <c r="L567" s="4">
        <v>11586690904</v>
      </c>
      <c r="M567" s="3">
        <v>0.11</v>
      </c>
    </row>
    <row r="568" spans="1:13" x14ac:dyDescent="0.25">
      <c r="A568" s="3">
        <v>567</v>
      </c>
      <c r="B568" s="3" t="s">
        <v>45</v>
      </c>
      <c r="C568" s="33">
        <v>45312</v>
      </c>
      <c r="D568" s="3" t="s">
        <v>22</v>
      </c>
      <c r="E568" s="3" t="s">
        <v>13</v>
      </c>
      <c r="F568" s="3" t="s">
        <v>24</v>
      </c>
      <c r="G568" s="3">
        <v>56</v>
      </c>
      <c r="H568" s="3" t="s">
        <v>17</v>
      </c>
      <c r="I568" s="23">
        <v>5.1979999542236301</v>
      </c>
      <c r="J568" s="4">
        <v>2018.59997558593</v>
      </c>
      <c r="K568" s="4">
        <v>41545.79</v>
      </c>
      <c r="L568" s="4">
        <v>9344043642</v>
      </c>
      <c r="M568" s="3">
        <v>-0.28999999999999998</v>
      </c>
    </row>
    <row r="569" spans="1:13" x14ac:dyDescent="0.25">
      <c r="A569" s="3">
        <v>568</v>
      </c>
      <c r="B569" s="3" t="s">
        <v>45</v>
      </c>
      <c r="C569" s="33">
        <v>45313</v>
      </c>
      <c r="D569" s="3" t="s">
        <v>12</v>
      </c>
      <c r="E569" s="3" t="s">
        <v>16</v>
      </c>
      <c r="F569" s="3" t="s">
        <v>24</v>
      </c>
      <c r="G569" s="3">
        <v>55</v>
      </c>
      <c r="H569" s="3" t="s">
        <v>17</v>
      </c>
      <c r="I569" s="23">
        <v>5.1999998092651296</v>
      </c>
      <c r="J569" s="4">
        <v>2026.5</v>
      </c>
      <c r="K569" s="4">
        <v>39507.370000000003</v>
      </c>
      <c r="L569" s="4">
        <v>31338708143</v>
      </c>
      <c r="M569" s="3">
        <v>-4.91</v>
      </c>
    </row>
    <row r="570" spans="1:13" x14ac:dyDescent="0.25">
      <c r="A570" s="3">
        <v>569</v>
      </c>
      <c r="B570" s="3" t="s">
        <v>45</v>
      </c>
      <c r="C570" s="33">
        <v>45314</v>
      </c>
      <c r="D570" s="3" t="s">
        <v>15</v>
      </c>
      <c r="E570" s="3" t="s">
        <v>16</v>
      </c>
      <c r="F570" s="3" t="s">
        <v>24</v>
      </c>
      <c r="G570" s="3">
        <v>50</v>
      </c>
      <c r="H570" s="3" t="s">
        <v>17</v>
      </c>
      <c r="I570" s="23">
        <v>5.21000003814697</v>
      </c>
      <c r="J570" s="4">
        <v>2019.80004882812</v>
      </c>
      <c r="K570" s="4">
        <v>39845.550000000003</v>
      </c>
      <c r="L570" s="4">
        <v>29244553045</v>
      </c>
      <c r="M570" s="3">
        <v>0.86</v>
      </c>
    </row>
    <row r="571" spans="1:13" x14ac:dyDescent="0.25">
      <c r="A571" s="3">
        <v>570</v>
      </c>
      <c r="B571" s="3" t="s">
        <v>45</v>
      </c>
      <c r="C571" s="33">
        <v>45315</v>
      </c>
      <c r="D571" s="3" t="s">
        <v>18</v>
      </c>
      <c r="E571" s="3" t="s">
        <v>16</v>
      </c>
      <c r="F571" s="3" t="s">
        <v>23</v>
      </c>
      <c r="G571" s="3">
        <v>48</v>
      </c>
      <c r="H571" s="3" t="s">
        <v>17</v>
      </c>
      <c r="I571" s="23">
        <v>5.21000003814697</v>
      </c>
      <c r="J571" s="4">
        <v>2023.69995117187</v>
      </c>
      <c r="K571" s="4">
        <v>40077.07</v>
      </c>
      <c r="L571" s="4">
        <v>22359526178</v>
      </c>
      <c r="M571" s="3">
        <v>0.57999999999999996</v>
      </c>
    </row>
    <row r="572" spans="1:13" x14ac:dyDescent="0.25">
      <c r="A572" s="3">
        <v>571</v>
      </c>
      <c r="B572" s="3" t="s">
        <v>45</v>
      </c>
      <c r="C572" s="33">
        <v>45316</v>
      </c>
      <c r="D572" s="3" t="s">
        <v>19</v>
      </c>
      <c r="E572" s="3" t="s">
        <v>16</v>
      </c>
      <c r="F572" s="3" t="s">
        <v>24</v>
      </c>
      <c r="G572" s="3">
        <v>52</v>
      </c>
      <c r="H572" s="3" t="s">
        <v>17</v>
      </c>
      <c r="I572" s="23">
        <v>5.1950001716613698</v>
      </c>
      <c r="J572" s="4">
        <v>2013.90002441406</v>
      </c>
      <c r="K572" s="4">
        <v>39933.81</v>
      </c>
      <c r="L572" s="4">
        <v>18491782013</v>
      </c>
      <c r="M572" s="3">
        <v>-0.36</v>
      </c>
    </row>
    <row r="573" spans="1:13" x14ac:dyDescent="0.25">
      <c r="A573" s="3">
        <v>572</v>
      </c>
      <c r="B573" s="3" t="s">
        <v>45</v>
      </c>
      <c r="C573" s="33">
        <v>45317</v>
      </c>
      <c r="D573" s="3" t="s">
        <v>20</v>
      </c>
      <c r="E573" s="3" t="s">
        <v>16</v>
      </c>
      <c r="F573" s="3" t="s">
        <v>23</v>
      </c>
      <c r="G573" s="3">
        <v>49</v>
      </c>
      <c r="H573" s="3" t="s">
        <v>17</v>
      </c>
      <c r="I573" s="23">
        <v>5.1999998092651296</v>
      </c>
      <c r="J573" s="4">
        <v>2016.90002441406</v>
      </c>
      <c r="K573" s="4">
        <v>41816.870000000003</v>
      </c>
      <c r="L573" s="4">
        <v>25598119893</v>
      </c>
      <c r="M573" s="3">
        <v>4.72</v>
      </c>
    </row>
    <row r="574" spans="1:13" x14ac:dyDescent="0.25">
      <c r="A574" s="3">
        <v>573</v>
      </c>
      <c r="B574" s="3" t="s">
        <v>45</v>
      </c>
      <c r="C574" s="33">
        <v>45318</v>
      </c>
      <c r="D574" s="3" t="s">
        <v>21</v>
      </c>
      <c r="E574" s="3" t="s">
        <v>13</v>
      </c>
      <c r="F574" s="3" t="s">
        <v>24</v>
      </c>
      <c r="G574" s="3">
        <v>55</v>
      </c>
      <c r="H574" s="3" t="s">
        <v>17</v>
      </c>
      <c r="I574" s="23">
        <v>5.1999998092651296</v>
      </c>
      <c r="J574" s="4">
        <v>2016.80004882812</v>
      </c>
      <c r="K574" s="4">
        <v>42120.05</v>
      </c>
      <c r="L574" s="4">
        <v>11422941934</v>
      </c>
      <c r="M574" s="3">
        <v>0.73</v>
      </c>
    </row>
    <row r="575" spans="1:13" x14ac:dyDescent="0.25">
      <c r="A575" s="3">
        <v>574</v>
      </c>
      <c r="B575" s="3" t="s">
        <v>45</v>
      </c>
      <c r="C575" s="33">
        <v>45319</v>
      </c>
      <c r="D575" s="3" t="s">
        <v>22</v>
      </c>
      <c r="E575" s="3" t="s">
        <v>13</v>
      </c>
      <c r="F575" s="3" t="s">
        <v>24</v>
      </c>
      <c r="G575" s="3">
        <v>54</v>
      </c>
      <c r="H575" s="3" t="s">
        <v>17</v>
      </c>
      <c r="I575" s="23">
        <v>5.1999998092651296</v>
      </c>
      <c r="J575" s="4">
        <v>2016.90002441406</v>
      </c>
      <c r="K575" s="4">
        <v>42035.59</v>
      </c>
      <c r="L575" s="4">
        <v>16858971687</v>
      </c>
      <c r="M575" s="3">
        <v>-0.2</v>
      </c>
    </row>
    <row r="576" spans="1:13" x14ac:dyDescent="0.25">
      <c r="A576" s="3">
        <v>575</v>
      </c>
      <c r="B576" s="3" t="s">
        <v>45</v>
      </c>
      <c r="C576" s="33">
        <v>45320</v>
      </c>
      <c r="D576" s="3" t="s">
        <v>12</v>
      </c>
      <c r="E576" s="3" t="s">
        <v>16</v>
      </c>
      <c r="F576" s="3" t="s">
        <v>24</v>
      </c>
      <c r="G576" s="3">
        <v>55</v>
      </c>
      <c r="H576" s="3" t="s">
        <v>17</v>
      </c>
      <c r="I576" s="23">
        <v>5.1999998092651296</v>
      </c>
      <c r="J576" s="4">
        <v>2016.80004882812</v>
      </c>
      <c r="K576" s="4">
        <v>43288.25</v>
      </c>
      <c r="L576" s="4">
        <v>20668476578</v>
      </c>
      <c r="M576" s="3">
        <v>2.98</v>
      </c>
    </row>
    <row r="577" spans="1:13" x14ac:dyDescent="0.25">
      <c r="A577" s="3">
        <v>576</v>
      </c>
      <c r="B577" s="3" t="s">
        <v>45</v>
      </c>
      <c r="C577" s="33">
        <v>45321</v>
      </c>
      <c r="D577" s="3" t="s">
        <v>15</v>
      </c>
      <c r="E577" s="3" t="s">
        <v>16</v>
      </c>
      <c r="F577" s="3" t="s">
        <v>24</v>
      </c>
      <c r="G577" s="3">
        <v>61</v>
      </c>
      <c r="H577" s="3" t="s">
        <v>17</v>
      </c>
      <c r="I577" s="23">
        <v>5.2030000686645499</v>
      </c>
      <c r="J577" s="4">
        <v>2025.19995117187</v>
      </c>
      <c r="K577" s="4">
        <v>42952.61</v>
      </c>
      <c r="L577" s="4">
        <v>23842814518</v>
      </c>
      <c r="M577" s="3">
        <v>-0.78</v>
      </c>
    </row>
    <row r="578" spans="1:13" x14ac:dyDescent="0.25">
      <c r="A578" s="3">
        <v>577</v>
      </c>
      <c r="B578" s="3" t="s">
        <v>45</v>
      </c>
      <c r="C578" s="33">
        <v>45322</v>
      </c>
      <c r="D578" s="3" t="s">
        <v>18</v>
      </c>
      <c r="E578" s="3" t="s">
        <v>16</v>
      </c>
      <c r="F578" s="3" t="s">
        <v>24</v>
      </c>
      <c r="G578" s="3">
        <v>60</v>
      </c>
      <c r="H578" s="3" t="s">
        <v>17</v>
      </c>
      <c r="I578" s="23">
        <v>5.1880002021789497</v>
      </c>
      <c r="J578" s="4">
        <v>2031.5</v>
      </c>
      <c r="K578" s="4">
        <v>42582.61</v>
      </c>
      <c r="L578" s="4">
        <v>24673628793</v>
      </c>
      <c r="M578" s="3">
        <v>-0.86</v>
      </c>
    </row>
    <row r="579" spans="1:13" x14ac:dyDescent="0.25">
      <c r="A579" s="3">
        <v>578</v>
      </c>
      <c r="B579" s="3" t="s">
        <v>46</v>
      </c>
      <c r="C579" s="33">
        <v>45323</v>
      </c>
      <c r="D579" s="3" t="s">
        <v>19</v>
      </c>
      <c r="E579" s="3" t="s">
        <v>16</v>
      </c>
      <c r="F579" s="3" t="s">
        <v>24</v>
      </c>
      <c r="G579" s="3">
        <v>63</v>
      </c>
      <c r="H579" s="3" t="s">
        <v>17</v>
      </c>
      <c r="I579" s="23">
        <v>5.1999998092651296</v>
      </c>
      <c r="J579" s="4">
        <v>2048.39990234375</v>
      </c>
      <c r="K579" s="4">
        <v>43075.77</v>
      </c>
      <c r="L579" s="4">
        <v>21423953779</v>
      </c>
      <c r="M579" s="3">
        <v>1.1599999999999999</v>
      </c>
    </row>
    <row r="580" spans="1:13" x14ac:dyDescent="0.25">
      <c r="A580" s="3">
        <v>579</v>
      </c>
      <c r="B580" s="3" t="s">
        <v>46</v>
      </c>
      <c r="C580" s="33">
        <v>45324</v>
      </c>
      <c r="D580" s="3" t="s">
        <v>20</v>
      </c>
      <c r="E580" s="3" t="s">
        <v>16</v>
      </c>
      <c r="F580" s="3" t="s">
        <v>24</v>
      </c>
      <c r="G580" s="3">
        <v>63</v>
      </c>
      <c r="H580" s="3" t="s">
        <v>17</v>
      </c>
      <c r="I580" s="23">
        <v>5.21000003814697</v>
      </c>
      <c r="J580" s="4">
        <v>2053</v>
      </c>
      <c r="K580" s="4">
        <v>43185.86</v>
      </c>
      <c r="L580" s="4">
        <v>18603843039</v>
      </c>
      <c r="M580" s="3">
        <v>0.26</v>
      </c>
    </row>
    <row r="581" spans="1:13" x14ac:dyDescent="0.25">
      <c r="A581" s="3">
        <v>580</v>
      </c>
      <c r="B581" s="3" t="s">
        <v>46</v>
      </c>
      <c r="C581" s="33">
        <v>45325</v>
      </c>
      <c r="D581" s="3" t="s">
        <v>21</v>
      </c>
      <c r="E581" s="3" t="s">
        <v>13</v>
      </c>
      <c r="F581" s="3" t="s">
        <v>24</v>
      </c>
      <c r="G581" s="3">
        <v>60</v>
      </c>
      <c r="H581" s="3" t="s">
        <v>17</v>
      </c>
      <c r="I581" s="23">
        <v>5.21000003814697</v>
      </c>
      <c r="J581" s="4">
        <v>2036.09997558593</v>
      </c>
      <c r="K581" s="4">
        <v>42992.25</v>
      </c>
      <c r="L581" s="4">
        <v>11169245236</v>
      </c>
      <c r="M581" s="3">
        <v>-0.45</v>
      </c>
    </row>
    <row r="582" spans="1:13" x14ac:dyDescent="0.25">
      <c r="A582" s="3">
        <v>581</v>
      </c>
      <c r="B582" s="3" t="s">
        <v>46</v>
      </c>
      <c r="C582" s="33">
        <v>45326</v>
      </c>
      <c r="D582" s="3" t="s">
        <v>22</v>
      </c>
      <c r="E582" s="3" t="s">
        <v>13</v>
      </c>
      <c r="F582" s="3" t="s">
        <v>24</v>
      </c>
      <c r="G582" s="3">
        <v>60</v>
      </c>
      <c r="H582" s="3" t="s">
        <v>17</v>
      </c>
      <c r="I582" s="23">
        <v>5.21000003814697</v>
      </c>
      <c r="J582" s="4">
        <v>2053</v>
      </c>
      <c r="K582" s="4">
        <v>42583.58</v>
      </c>
      <c r="L582" s="4">
        <v>14802225490</v>
      </c>
      <c r="M582" s="3">
        <v>-0.95</v>
      </c>
    </row>
    <row r="583" spans="1:13" x14ac:dyDescent="0.25">
      <c r="A583" s="3">
        <v>582</v>
      </c>
      <c r="B583" s="3" t="s">
        <v>46</v>
      </c>
      <c r="C583" s="33">
        <v>45327</v>
      </c>
      <c r="D583" s="3" t="s">
        <v>12</v>
      </c>
      <c r="E583" s="3" t="s">
        <v>16</v>
      </c>
      <c r="F583" s="3" t="s">
        <v>24</v>
      </c>
      <c r="G583" s="3">
        <v>60</v>
      </c>
      <c r="H583" s="3" t="s">
        <v>17</v>
      </c>
      <c r="I583" s="23">
        <v>5.2280001640319798</v>
      </c>
      <c r="J583" s="4">
        <v>2036.09997558593</v>
      </c>
      <c r="K583" s="4">
        <v>42658.67</v>
      </c>
      <c r="L583" s="4">
        <v>18715487317</v>
      </c>
      <c r="M583" s="3">
        <v>0.18</v>
      </c>
    </row>
    <row r="584" spans="1:13" x14ac:dyDescent="0.25">
      <c r="A584" s="3">
        <v>583</v>
      </c>
      <c r="B584" s="3" t="s">
        <v>46</v>
      </c>
      <c r="C584" s="33">
        <v>45328</v>
      </c>
      <c r="D584" s="3" t="s">
        <v>15</v>
      </c>
      <c r="E584" s="3" t="s">
        <v>16</v>
      </c>
      <c r="F584" s="3" t="s">
        <v>24</v>
      </c>
      <c r="G584" s="3">
        <v>64</v>
      </c>
      <c r="H584" s="3" t="s">
        <v>17</v>
      </c>
      <c r="I584" s="23">
        <v>5.22300004959106</v>
      </c>
      <c r="J584" s="4">
        <v>2025.69995117187</v>
      </c>
      <c r="K584" s="4">
        <v>43084.67</v>
      </c>
      <c r="L584" s="4">
        <v>16798476726</v>
      </c>
      <c r="M584" s="3">
        <v>1</v>
      </c>
    </row>
    <row r="585" spans="1:13" x14ac:dyDescent="0.25">
      <c r="A585" s="3">
        <v>584</v>
      </c>
      <c r="B585" s="3" t="s">
        <v>46</v>
      </c>
      <c r="C585" s="33">
        <v>45329</v>
      </c>
      <c r="D585" s="3" t="s">
        <v>18</v>
      </c>
      <c r="E585" s="3" t="s">
        <v>16</v>
      </c>
      <c r="F585" s="3" t="s">
        <v>24</v>
      </c>
      <c r="G585" s="3">
        <v>62</v>
      </c>
      <c r="H585" s="3" t="s">
        <v>17</v>
      </c>
      <c r="I585" s="23">
        <v>5.22300004959106</v>
      </c>
      <c r="J585" s="4">
        <v>2034.5</v>
      </c>
      <c r="K585" s="4">
        <v>44318.22</v>
      </c>
      <c r="L585" s="4">
        <v>21126587775</v>
      </c>
      <c r="M585" s="3">
        <v>2.86</v>
      </c>
    </row>
    <row r="586" spans="1:13" x14ac:dyDescent="0.25">
      <c r="A586" s="3">
        <v>585</v>
      </c>
      <c r="B586" s="3" t="s">
        <v>46</v>
      </c>
      <c r="C586" s="33">
        <v>45330</v>
      </c>
      <c r="D586" s="3" t="s">
        <v>19</v>
      </c>
      <c r="E586" s="3" t="s">
        <v>16</v>
      </c>
      <c r="F586" s="3" t="s">
        <v>24</v>
      </c>
      <c r="G586" s="3">
        <v>66</v>
      </c>
      <c r="H586" s="3" t="s">
        <v>17</v>
      </c>
      <c r="I586" s="23">
        <v>5.2179999351501403</v>
      </c>
      <c r="J586" s="4">
        <v>2035.19995117187</v>
      </c>
      <c r="K586" s="4">
        <v>45301.57</v>
      </c>
      <c r="L586" s="4">
        <v>26154524080</v>
      </c>
      <c r="M586" s="3">
        <v>2.2200000000000002</v>
      </c>
    </row>
    <row r="587" spans="1:13" x14ac:dyDescent="0.25">
      <c r="A587" s="3">
        <v>586</v>
      </c>
      <c r="B587" s="3" t="s">
        <v>46</v>
      </c>
      <c r="C587" s="33">
        <v>45331</v>
      </c>
      <c r="D587" s="3" t="s">
        <v>20</v>
      </c>
      <c r="E587" s="3" t="s">
        <v>16</v>
      </c>
      <c r="F587" s="3" t="s">
        <v>24</v>
      </c>
      <c r="G587" s="3">
        <v>72</v>
      </c>
      <c r="H587" s="3" t="s">
        <v>17</v>
      </c>
      <c r="I587" s="23">
        <v>5.2199997901916504</v>
      </c>
      <c r="J587" s="4">
        <v>2032.19995117187</v>
      </c>
      <c r="K587" s="4">
        <v>47147.199999999997</v>
      </c>
      <c r="L587" s="4">
        <v>39316770844</v>
      </c>
      <c r="M587" s="3">
        <v>4.07</v>
      </c>
    </row>
    <row r="588" spans="1:13" x14ac:dyDescent="0.25">
      <c r="A588" s="3">
        <v>587</v>
      </c>
      <c r="B588" s="3" t="s">
        <v>46</v>
      </c>
      <c r="C588" s="33">
        <v>45332</v>
      </c>
      <c r="D588" s="3" t="s">
        <v>21</v>
      </c>
      <c r="E588" s="3" t="s">
        <v>13</v>
      </c>
      <c r="F588" s="3" t="s">
        <v>24</v>
      </c>
      <c r="G588" s="3">
        <v>74</v>
      </c>
      <c r="H588" s="3" t="s">
        <v>17</v>
      </c>
      <c r="I588" s="23">
        <v>5.2199997901916504</v>
      </c>
      <c r="J588" s="4">
        <v>2023.30004882812</v>
      </c>
      <c r="K588" s="4">
        <v>47771.28</v>
      </c>
      <c r="L588" s="4">
        <v>16398681570</v>
      </c>
      <c r="M588" s="3">
        <v>1.32</v>
      </c>
    </row>
    <row r="589" spans="1:13" x14ac:dyDescent="0.25">
      <c r="A589" s="3">
        <v>588</v>
      </c>
      <c r="B589" s="3" t="s">
        <v>46</v>
      </c>
      <c r="C589" s="33">
        <v>45333</v>
      </c>
      <c r="D589" s="3" t="s">
        <v>22</v>
      </c>
      <c r="E589" s="3" t="s">
        <v>13</v>
      </c>
      <c r="F589" s="3" t="s">
        <v>24</v>
      </c>
      <c r="G589" s="3">
        <v>71</v>
      </c>
      <c r="H589" s="3" t="s">
        <v>17</v>
      </c>
      <c r="I589" s="23">
        <v>5.2199997901916504</v>
      </c>
      <c r="J589" s="4">
        <v>2032.19995117187</v>
      </c>
      <c r="K589" s="4">
        <v>48293.919999999998</v>
      </c>
      <c r="L589" s="4">
        <v>19315867136</v>
      </c>
      <c r="M589" s="3">
        <v>1.0900000000000001</v>
      </c>
    </row>
    <row r="590" spans="1:13" x14ac:dyDescent="0.25">
      <c r="A590" s="3">
        <v>589</v>
      </c>
      <c r="B590" s="3" t="s">
        <v>46</v>
      </c>
      <c r="C590" s="33">
        <v>45334</v>
      </c>
      <c r="D590" s="3" t="s">
        <v>12</v>
      </c>
      <c r="E590" s="3" t="s">
        <v>16</v>
      </c>
      <c r="F590" s="3" t="s">
        <v>24</v>
      </c>
      <c r="G590" s="3">
        <v>70</v>
      </c>
      <c r="H590" s="3" t="s">
        <v>17</v>
      </c>
      <c r="I590" s="23">
        <v>5.2280001640319798</v>
      </c>
      <c r="J590" s="4">
        <v>2023.30004882812</v>
      </c>
      <c r="K590" s="4">
        <v>49958.22</v>
      </c>
      <c r="L590" s="4">
        <v>34511985805</v>
      </c>
      <c r="M590" s="3">
        <v>3.45</v>
      </c>
    </row>
    <row r="591" spans="1:13" x14ac:dyDescent="0.25">
      <c r="A591" s="3">
        <v>590</v>
      </c>
      <c r="B591" s="3" t="s">
        <v>46</v>
      </c>
      <c r="C591" s="33">
        <v>45335</v>
      </c>
      <c r="D591" s="3" t="s">
        <v>15</v>
      </c>
      <c r="E591" s="3" t="s">
        <v>16</v>
      </c>
      <c r="F591" s="3" t="s">
        <v>25</v>
      </c>
      <c r="G591" s="3">
        <v>79</v>
      </c>
      <c r="H591" s="3" t="s">
        <v>17</v>
      </c>
      <c r="I591" s="23">
        <v>5.2329998016357404</v>
      </c>
      <c r="J591" s="4">
        <v>2018.19995117187</v>
      </c>
      <c r="K591" s="4">
        <v>49742.44</v>
      </c>
      <c r="L591" s="4">
        <v>35593051468</v>
      </c>
      <c r="M591" s="3">
        <v>-0.43</v>
      </c>
    </row>
    <row r="592" spans="1:13" x14ac:dyDescent="0.25">
      <c r="A592" s="3">
        <v>591</v>
      </c>
      <c r="B592" s="3" t="s">
        <v>46</v>
      </c>
      <c r="C592" s="33">
        <v>45336</v>
      </c>
      <c r="D592" s="3" t="s">
        <v>18</v>
      </c>
      <c r="E592" s="3" t="s">
        <v>16</v>
      </c>
      <c r="F592" s="3" t="s">
        <v>24</v>
      </c>
      <c r="G592" s="3">
        <v>74</v>
      </c>
      <c r="H592" s="3" t="s">
        <v>17</v>
      </c>
      <c r="I592" s="23">
        <v>5.2179999351501403</v>
      </c>
      <c r="J592" s="4">
        <v>1992.90002441406</v>
      </c>
      <c r="K592" s="4">
        <v>51826.7</v>
      </c>
      <c r="L592" s="4">
        <v>39105608050</v>
      </c>
      <c r="M592" s="3">
        <v>4.1900000000000004</v>
      </c>
    </row>
    <row r="593" spans="1:13" x14ac:dyDescent="0.25">
      <c r="A593" s="3">
        <v>592</v>
      </c>
      <c r="B593" s="3" t="s">
        <v>46</v>
      </c>
      <c r="C593" s="33">
        <v>45337</v>
      </c>
      <c r="D593" s="3" t="s">
        <v>19</v>
      </c>
      <c r="E593" s="3" t="s">
        <v>16</v>
      </c>
      <c r="F593" s="3" t="s">
        <v>24</v>
      </c>
      <c r="G593" s="3">
        <v>72</v>
      </c>
      <c r="H593" s="3" t="s">
        <v>17</v>
      </c>
      <c r="I593" s="23">
        <v>5.2179999351501403</v>
      </c>
      <c r="J593" s="4">
        <v>1990.30004882812</v>
      </c>
      <c r="K593" s="4">
        <v>51938.55</v>
      </c>
      <c r="L593" s="4">
        <v>38564360533</v>
      </c>
      <c r="M593" s="3">
        <v>0.22</v>
      </c>
    </row>
    <row r="594" spans="1:13" x14ac:dyDescent="0.25">
      <c r="A594" s="3">
        <v>593</v>
      </c>
      <c r="B594" s="3" t="s">
        <v>46</v>
      </c>
      <c r="C594" s="33">
        <v>45338</v>
      </c>
      <c r="D594" s="3" t="s">
        <v>20</v>
      </c>
      <c r="E594" s="3" t="s">
        <v>16</v>
      </c>
      <c r="F594" s="3" t="s">
        <v>24</v>
      </c>
      <c r="G594" s="3">
        <v>72</v>
      </c>
      <c r="H594" s="3" t="s">
        <v>17</v>
      </c>
      <c r="I594" s="23">
        <v>5.22300004959106</v>
      </c>
      <c r="J594" s="4">
        <v>2002.09997558593</v>
      </c>
      <c r="K594" s="4">
        <v>52160.2</v>
      </c>
      <c r="L594" s="4">
        <v>28180567298</v>
      </c>
      <c r="M594" s="3">
        <v>0.43</v>
      </c>
    </row>
    <row r="595" spans="1:13" x14ac:dyDescent="0.25">
      <c r="A595" s="3">
        <v>594</v>
      </c>
      <c r="B595" s="3" t="s">
        <v>46</v>
      </c>
      <c r="C595" s="33">
        <v>45339</v>
      </c>
      <c r="D595" s="3" t="s">
        <v>21</v>
      </c>
      <c r="E595" s="3" t="s">
        <v>13</v>
      </c>
      <c r="F595" s="3" t="s">
        <v>25</v>
      </c>
      <c r="G595" s="3">
        <v>76</v>
      </c>
      <c r="H595" s="3" t="s">
        <v>17</v>
      </c>
      <c r="I595" s="23">
        <v>5.22300004959106</v>
      </c>
      <c r="J595" s="4">
        <v>2011.5</v>
      </c>
      <c r="K595" s="4">
        <v>51663</v>
      </c>
      <c r="L595" s="4">
        <v>20009091006</v>
      </c>
      <c r="M595" s="3">
        <v>-0.95</v>
      </c>
    </row>
    <row r="596" spans="1:13" x14ac:dyDescent="0.25">
      <c r="A596" s="3">
        <v>595</v>
      </c>
      <c r="B596" s="3" t="s">
        <v>46</v>
      </c>
      <c r="C596" s="33">
        <v>45340</v>
      </c>
      <c r="D596" s="3" t="s">
        <v>22</v>
      </c>
      <c r="E596" s="3" t="s">
        <v>13</v>
      </c>
      <c r="F596" s="3" t="s">
        <v>24</v>
      </c>
      <c r="G596" s="3">
        <v>72</v>
      </c>
      <c r="H596" s="3" t="s">
        <v>17</v>
      </c>
      <c r="I596" s="23">
        <v>5.22300004959106</v>
      </c>
      <c r="J596" s="4">
        <v>2002.09997558593</v>
      </c>
      <c r="K596" s="4">
        <v>52122.55</v>
      </c>
      <c r="L596" s="4">
        <v>17595377311</v>
      </c>
      <c r="M596" s="3">
        <v>0.89</v>
      </c>
    </row>
    <row r="597" spans="1:13" x14ac:dyDescent="0.25">
      <c r="A597" s="3">
        <v>596</v>
      </c>
      <c r="B597" s="3" t="s">
        <v>46</v>
      </c>
      <c r="C597" s="33">
        <v>45341</v>
      </c>
      <c r="D597" s="3" t="s">
        <v>12</v>
      </c>
      <c r="E597" s="3" t="s">
        <v>16</v>
      </c>
      <c r="F597" s="3" t="s">
        <v>25</v>
      </c>
      <c r="G597" s="3">
        <v>75</v>
      </c>
      <c r="H597" s="3" t="s">
        <v>17</v>
      </c>
      <c r="I597" s="23">
        <v>5.22300004959106</v>
      </c>
      <c r="J597" s="4">
        <v>2011.5</v>
      </c>
      <c r="K597" s="4">
        <v>51779.14</v>
      </c>
      <c r="L597" s="4">
        <v>21362184346</v>
      </c>
      <c r="M597" s="3">
        <v>-0.66</v>
      </c>
    </row>
    <row r="598" spans="1:13" x14ac:dyDescent="0.25">
      <c r="A598" s="3">
        <v>597</v>
      </c>
      <c r="B598" s="3" t="s">
        <v>46</v>
      </c>
      <c r="C598" s="33">
        <v>45342</v>
      </c>
      <c r="D598" s="3" t="s">
        <v>15</v>
      </c>
      <c r="E598" s="3" t="s">
        <v>16</v>
      </c>
      <c r="F598" s="3" t="s">
        <v>24</v>
      </c>
      <c r="G598" s="3">
        <v>72</v>
      </c>
      <c r="H598" s="3" t="s">
        <v>17</v>
      </c>
      <c r="I598" s="23">
        <v>5.2129998207092196</v>
      </c>
      <c r="J598" s="4">
        <v>2002.09997558593</v>
      </c>
      <c r="K598" s="4">
        <v>52284.88</v>
      </c>
      <c r="L598" s="4">
        <v>33353758256</v>
      </c>
      <c r="M598" s="3">
        <v>0.98</v>
      </c>
    </row>
    <row r="599" spans="1:13" x14ac:dyDescent="0.25">
      <c r="A599" s="3">
        <v>598</v>
      </c>
      <c r="B599" s="3" t="s">
        <v>46</v>
      </c>
      <c r="C599" s="33">
        <v>45343</v>
      </c>
      <c r="D599" s="3" t="s">
        <v>18</v>
      </c>
      <c r="E599" s="3" t="s">
        <v>16</v>
      </c>
      <c r="F599" s="3" t="s">
        <v>25</v>
      </c>
      <c r="G599" s="3">
        <v>78</v>
      </c>
      <c r="H599" s="3" t="s">
        <v>17</v>
      </c>
      <c r="I599" s="23">
        <v>5.2350001335143999</v>
      </c>
      <c r="J599" s="4">
        <v>2027.5</v>
      </c>
      <c r="K599" s="4">
        <v>51839.18</v>
      </c>
      <c r="L599" s="4">
        <v>28624907020</v>
      </c>
      <c r="M599" s="3">
        <v>-0.85</v>
      </c>
    </row>
    <row r="600" spans="1:13" x14ac:dyDescent="0.25">
      <c r="A600" s="3">
        <v>599</v>
      </c>
      <c r="B600" s="3" t="s">
        <v>46</v>
      </c>
      <c r="C600" s="33">
        <v>45344</v>
      </c>
      <c r="D600" s="3" t="s">
        <v>19</v>
      </c>
      <c r="E600" s="3" t="s">
        <v>16</v>
      </c>
      <c r="F600" s="3" t="s">
        <v>24</v>
      </c>
      <c r="G600" s="3">
        <v>74</v>
      </c>
      <c r="H600" s="3" t="s">
        <v>17</v>
      </c>
      <c r="I600" s="23">
        <v>5.2329998016357404</v>
      </c>
      <c r="J600" s="4">
        <v>2022.30004882812</v>
      </c>
      <c r="K600" s="4">
        <v>51304.97</v>
      </c>
      <c r="L600" s="4">
        <v>25413900611</v>
      </c>
      <c r="M600" s="3">
        <v>-1.03</v>
      </c>
    </row>
    <row r="601" spans="1:13" x14ac:dyDescent="0.25">
      <c r="A601" s="3">
        <v>600</v>
      </c>
      <c r="B601" s="3" t="s">
        <v>46</v>
      </c>
      <c r="C601" s="33">
        <v>45345</v>
      </c>
      <c r="D601" s="3" t="s">
        <v>20</v>
      </c>
      <c r="E601" s="3" t="s">
        <v>16</v>
      </c>
      <c r="F601" s="3" t="s">
        <v>25</v>
      </c>
      <c r="G601" s="3">
        <v>76</v>
      </c>
      <c r="H601" s="3" t="s">
        <v>17</v>
      </c>
      <c r="I601" s="23">
        <v>5.2399997711181596</v>
      </c>
      <c r="J601" s="4">
        <v>2019.69995117187</v>
      </c>
      <c r="K601" s="4">
        <v>50731.95</v>
      </c>
      <c r="L601" s="4">
        <v>21427078270</v>
      </c>
      <c r="M601" s="3">
        <v>-1.1200000000000001</v>
      </c>
    </row>
    <row r="602" spans="1:13" x14ac:dyDescent="0.25">
      <c r="A602" s="3">
        <v>601</v>
      </c>
      <c r="B602" s="3" t="s">
        <v>46</v>
      </c>
      <c r="C602" s="33">
        <v>45346</v>
      </c>
      <c r="D602" s="3" t="s">
        <v>21</v>
      </c>
      <c r="E602" s="3" t="s">
        <v>13</v>
      </c>
      <c r="F602" s="3" t="s">
        <v>24</v>
      </c>
      <c r="G602" s="3">
        <v>72</v>
      </c>
      <c r="H602" s="3" t="s">
        <v>17</v>
      </c>
      <c r="I602" s="23">
        <v>5.2399997711181596</v>
      </c>
      <c r="J602" s="4">
        <v>2038.59997558593</v>
      </c>
      <c r="K602" s="4">
        <v>51571.1</v>
      </c>
      <c r="L602" s="4">
        <v>15174077879</v>
      </c>
      <c r="M602" s="3">
        <v>1.65</v>
      </c>
    </row>
    <row r="603" spans="1:13" x14ac:dyDescent="0.25">
      <c r="A603" s="3">
        <v>602</v>
      </c>
      <c r="B603" s="3" t="s">
        <v>46</v>
      </c>
      <c r="C603" s="33">
        <v>45347</v>
      </c>
      <c r="D603" s="3" t="s">
        <v>22</v>
      </c>
      <c r="E603" s="3" t="s">
        <v>13</v>
      </c>
      <c r="F603" s="3" t="s">
        <v>24</v>
      </c>
      <c r="G603" s="3">
        <v>74</v>
      </c>
      <c r="H603" s="3" t="s">
        <v>17</v>
      </c>
      <c r="I603" s="23">
        <v>5.2399997711181596</v>
      </c>
      <c r="J603" s="4">
        <v>2019.69995117187</v>
      </c>
      <c r="K603" s="4">
        <v>51733.24</v>
      </c>
      <c r="L603" s="4">
        <v>15413239245</v>
      </c>
      <c r="M603" s="3">
        <v>0.31</v>
      </c>
    </row>
    <row r="604" spans="1:13" x14ac:dyDescent="0.25">
      <c r="A604" s="3">
        <v>603</v>
      </c>
      <c r="B604" s="3" t="s">
        <v>46</v>
      </c>
      <c r="C604" s="33">
        <v>45348</v>
      </c>
      <c r="D604" s="3" t="s">
        <v>12</v>
      </c>
      <c r="E604" s="3" t="s">
        <v>16</v>
      </c>
      <c r="F604" s="3" t="s">
        <v>24</v>
      </c>
      <c r="G604" s="3">
        <v>72</v>
      </c>
      <c r="H604" s="3" t="s">
        <v>17</v>
      </c>
      <c r="I604" s="23">
        <v>5.25</v>
      </c>
      <c r="J604" s="4">
        <v>2038.59997558593</v>
      </c>
      <c r="K604" s="4">
        <v>54522.400000000001</v>
      </c>
      <c r="L604" s="4">
        <v>34074411896</v>
      </c>
      <c r="M604" s="3">
        <v>5.39</v>
      </c>
    </row>
    <row r="605" spans="1:13" x14ac:dyDescent="0.25">
      <c r="A605" s="3">
        <v>604</v>
      </c>
      <c r="B605" s="3" t="s">
        <v>46</v>
      </c>
      <c r="C605" s="33">
        <v>45349</v>
      </c>
      <c r="D605" s="3" t="s">
        <v>15</v>
      </c>
      <c r="E605" s="3" t="s">
        <v>16</v>
      </c>
      <c r="F605" s="3" t="s">
        <v>25</v>
      </c>
      <c r="G605" s="3">
        <v>79</v>
      </c>
      <c r="H605" s="3" t="s">
        <v>17</v>
      </c>
      <c r="I605" s="23">
        <v>5.2449998855590803</v>
      </c>
      <c r="J605" s="4">
        <v>2028.5</v>
      </c>
      <c r="K605" s="4">
        <v>57085.37</v>
      </c>
      <c r="L605" s="4">
        <v>49756832031</v>
      </c>
      <c r="M605" s="3">
        <v>4.7</v>
      </c>
    </row>
    <row r="606" spans="1:13" x14ac:dyDescent="0.25">
      <c r="A606" s="3">
        <v>605</v>
      </c>
      <c r="B606" s="3" t="s">
        <v>46</v>
      </c>
      <c r="C606" s="33">
        <v>45350</v>
      </c>
      <c r="D606" s="3" t="s">
        <v>18</v>
      </c>
      <c r="E606" s="3" t="s">
        <v>16</v>
      </c>
      <c r="F606" s="3" t="s">
        <v>25</v>
      </c>
      <c r="G606" s="3">
        <v>82</v>
      </c>
      <c r="H606" s="3" t="s">
        <v>17</v>
      </c>
      <c r="I606" s="23">
        <v>5.2399997711181596</v>
      </c>
      <c r="J606" s="4">
        <v>2034</v>
      </c>
      <c r="K606" s="4">
        <v>62504.79</v>
      </c>
      <c r="L606" s="4">
        <v>83239156760</v>
      </c>
      <c r="M606" s="3">
        <v>9.49</v>
      </c>
    </row>
    <row r="607" spans="1:13" x14ac:dyDescent="0.25">
      <c r="A607" s="3">
        <v>606</v>
      </c>
      <c r="B607" s="3" t="s">
        <v>46</v>
      </c>
      <c r="C607" s="33">
        <v>45351</v>
      </c>
      <c r="D607" s="3" t="s">
        <v>19</v>
      </c>
      <c r="E607" s="3" t="s">
        <v>16</v>
      </c>
      <c r="F607" s="3" t="s">
        <v>25</v>
      </c>
      <c r="G607" s="3">
        <v>80</v>
      </c>
      <c r="H607" s="3" t="s">
        <v>17</v>
      </c>
      <c r="I607" s="23">
        <v>5.22300004959106</v>
      </c>
      <c r="J607" s="4">
        <v>2033</v>
      </c>
      <c r="K607" s="4">
        <v>61198.38</v>
      </c>
      <c r="L607" s="4">
        <v>65496611844</v>
      </c>
      <c r="M607" s="3">
        <v>-2.09</v>
      </c>
    </row>
    <row r="608" spans="1:13" x14ac:dyDescent="0.25">
      <c r="A608" s="3">
        <v>607</v>
      </c>
      <c r="B608" s="3" t="s">
        <v>47</v>
      </c>
      <c r="C608" s="33">
        <v>45352</v>
      </c>
      <c r="D608" s="3" t="s">
        <v>20</v>
      </c>
      <c r="E608" s="3" t="s">
        <v>16</v>
      </c>
      <c r="F608" s="3" t="s">
        <v>25</v>
      </c>
      <c r="G608" s="3">
        <v>80</v>
      </c>
      <c r="H608" s="3">
        <v>13</v>
      </c>
      <c r="I608" s="23">
        <v>5.2150001525878897</v>
      </c>
      <c r="J608" s="4">
        <v>2045.69995117187</v>
      </c>
      <c r="K608" s="4">
        <v>62440.63</v>
      </c>
      <c r="L608" s="4">
        <v>40186368423</v>
      </c>
      <c r="M608" s="3">
        <v>2.0299999999999998</v>
      </c>
    </row>
    <row r="609" spans="1:13" x14ac:dyDescent="0.25">
      <c r="A609" s="3">
        <v>608</v>
      </c>
      <c r="B609" s="3" t="s">
        <v>47</v>
      </c>
      <c r="C609" s="33">
        <v>45353</v>
      </c>
      <c r="D609" s="3" t="s">
        <v>21</v>
      </c>
      <c r="E609" s="3" t="s">
        <v>13</v>
      </c>
      <c r="F609" s="3" t="s">
        <v>25</v>
      </c>
      <c r="G609" s="3">
        <v>80</v>
      </c>
      <c r="H609" s="3" t="s">
        <v>17</v>
      </c>
      <c r="I609" s="23">
        <v>5.2150001525878897</v>
      </c>
      <c r="J609" s="4">
        <v>2086.89990234375</v>
      </c>
      <c r="K609" s="4">
        <v>62029.85</v>
      </c>
      <c r="L609" s="4">
        <v>23888473685</v>
      </c>
      <c r="M609" s="3">
        <v>-0.66</v>
      </c>
    </row>
    <row r="610" spans="1:13" x14ac:dyDescent="0.25">
      <c r="A610" s="3">
        <v>609</v>
      </c>
      <c r="B610" s="3" t="s">
        <v>47</v>
      </c>
      <c r="C610" s="33">
        <v>45354</v>
      </c>
      <c r="D610" s="3" t="s">
        <v>22</v>
      </c>
      <c r="E610" s="3" t="s">
        <v>13</v>
      </c>
      <c r="F610" s="3" t="s">
        <v>25</v>
      </c>
      <c r="G610" s="3">
        <v>83</v>
      </c>
      <c r="H610" s="3" t="s">
        <v>17</v>
      </c>
      <c r="I610" s="23">
        <v>5.2150001525878897</v>
      </c>
      <c r="J610" s="4">
        <v>2045.69995117187</v>
      </c>
      <c r="K610" s="4">
        <v>63167.37</v>
      </c>
      <c r="L610" s="4">
        <v>26253811450</v>
      </c>
      <c r="M610" s="3">
        <v>1.83</v>
      </c>
    </row>
    <row r="611" spans="1:13" x14ac:dyDescent="0.25">
      <c r="A611" s="3">
        <v>610</v>
      </c>
      <c r="B611" s="3" t="s">
        <v>47</v>
      </c>
      <c r="C611" s="33">
        <v>45355</v>
      </c>
      <c r="D611" s="3" t="s">
        <v>12</v>
      </c>
      <c r="E611" s="3" t="s">
        <v>16</v>
      </c>
      <c r="F611" s="3" t="s">
        <v>25</v>
      </c>
      <c r="G611" s="3">
        <v>82</v>
      </c>
      <c r="H611" s="3" t="s">
        <v>17</v>
      </c>
      <c r="I611" s="23">
        <v>5.22300004959106</v>
      </c>
      <c r="J611" s="4">
        <v>2086.89990234375</v>
      </c>
      <c r="K611" s="4">
        <v>68330.41</v>
      </c>
      <c r="L611" s="4">
        <v>70670471105</v>
      </c>
      <c r="M611" s="3">
        <v>8.17</v>
      </c>
    </row>
    <row r="612" spans="1:13" x14ac:dyDescent="0.25">
      <c r="A612" s="3">
        <v>611</v>
      </c>
      <c r="B612" s="3" t="s">
        <v>47</v>
      </c>
      <c r="C612" s="33">
        <v>45356</v>
      </c>
      <c r="D612" s="3" t="s">
        <v>15</v>
      </c>
      <c r="E612" s="3" t="s">
        <v>16</v>
      </c>
      <c r="F612" s="3" t="s">
        <v>25</v>
      </c>
      <c r="G612" s="3">
        <v>90</v>
      </c>
      <c r="H612" s="3" t="s">
        <v>17</v>
      </c>
      <c r="I612" s="23">
        <v>5.2249999046325604</v>
      </c>
      <c r="J612" s="4">
        <v>2117.69995117187</v>
      </c>
      <c r="K612" s="4">
        <v>63801.2</v>
      </c>
      <c r="L612" s="4">
        <v>102802940877</v>
      </c>
      <c r="M612" s="3">
        <v>-6.63</v>
      </c>
    </row>
    <row r="613" spans="1:13" x14ac:dyDescent="0.25">
      <c r="A613" s="3">
        <v>612</v>
      </c>
      <c r="B613" s="3" t="s">
        <v>47</v>
      </c>
      <c r="C613" s="33">
        <v>45357</v>
      </c>
      <c r="D613" s="3" t="s">
        <v>18</v>
      </c>
      <c r="E613" s="3" t="s">
        <v>16</v>
      </c>
      <c r="F613" s="3" t="s">
        <v>25</v>
      </c>
      <c r="G613" s="3">
        <v>75</v>
      </c>
      <c r="H613" s="3" t="s">
        <v>17</v>
      </c>
      <c r="I613" s="23">
        <v>5.2300000190734801</v>
      </c>
      <c r="J613" s="4">
        <v>2133.5</v>
      </c>
      <c r="K613" s="4">
        <v>66106.8</v>
      </c>
      <c r="L613" s="4">
        <v>68750229073</v>
      </c>
      <c r="M613" s="3">
        <v>3.61</v>
      </c>
    </row>
    <row r="614" spans="1:13" x14ac:dyDescent="0.25">
      <c r="A614" s="3">
        <v>613</v>
      </c>
      <c r="B614" s="3" t="s">
        <v>47</v>
      </c>
      <c r="C614" s="33">
        <v>45358</v>
      </c>
      <c r="D614" s="3" t="s">
        <v>19</v>
      </c>
      <c r="E614" s="3" t="s">
        <v>16</v>
      </c>
      <c r="F614" s="3" t="s">
        <v>25</v>
      </c>
      <c r="G614" s="3">
        <v>82</v>
      </c>
      <c r="H614" s="3" t="s">
        <v>17</v>
      </c>
      <c r="I614" s="23">
        <v>5.2280001640319798</v>
      </c>
      <c r="J614" s="4">
        <v>2150.30004882812</v>
      </c>
      <c r="K614" s="4">
        <v>66925.48</v>
      </c>
      <c r="L614" s="4">
        <v>46989543159</v>
      </c>
      <c r="M614" s="3">
        <v>1.24</v>
      </c>
    </row>
    <row r="615" spans="1:13" x14ac:dyDescent="0.25">
      <c r="A615" s="3">
        <v>614</v>
      </c>
      <c r="B615" s="3" t="s">
        <v>47</v>
      </c>
      <c r="C615" s="33">
        <v>45359</v>
      </c>
      <c r="D615" s="3" t="s">
        <v>20</v>
      </c>
      <c r="E615" s="3" t="s">
        <v>16</v>
      </c>
      <c r="F615" s="3" t="s">
        <v>25</v>
      </c>
      <c r="G615" s="3">
        <v>81</v>
      </c>
      <c r="H615" s="3" t="s">
        <v>17</v>
      </c>
      <c r="I615" s="23">
        <v>5.2280001640319798</v>
      </c>
      <c r="J615" s="4">
        <v>2158</v>
      </c>
      <c r="K615" s="4">
        <v>68300.09</v>
      </c>
      <c r="L615" s="4">
        <v>59202881172</v>
      </c>
      <c r="M615" s="3">
        <v>2.0499999999999998</v>
      </c>
    </row>
    <row r="616" spans="1:13" x14ac:dyDescent="0.25">
      <c r="A616" s="3">
        <v>615</v>
      </c>
      <c r="B616" s="3" t="s">
        <v>47</v>
      </c>
      <c r="C616" s="33">
        <v>45360</v>
      </c>
      <c r="D616" s="3" t="s">
        <v>21</v>
      </c>
      <c r="E616" s="3" t="s">
        <v>13</v>
      </c>
      <c r="F616" s="3" t="s">
        <v>25</v>
      </c>
      <c r="G616" s="3">
        <v>84</v>
      </c>
      <c r="H616" s="3" t="s">
        <v>17</v>
      </c>
      <c r="I616" s="23">
        <v>5.2280001640319798</v>
      </c>
      <c r="J616" s="4">
        <v>2178.60009765625</v>
      </c>
      <c r="K616" s="4">
        <v>68498.880000000005</v>
      </c>
      <c r="L616" s="4">
        <v>21609650379</v>
      </c>
      <c r="M616" s="3">
        <v>0.28999999999999998</v>
      </c>
    </row>
    <row r="617" spans="1:13" x14ac:dyDescent="0.25">
      <c r="A617" s="3">
        <v>616</v>
      </c>
      <c r="B617" s="3" t="s">
        <v>47</v>
      </c>
      <c r="C617" s="33">
        <v>45361</v>
      </c>
      <c r="D617" s="3" t="s">
        <v>22</v>
      </c>
      <c r="E617" s="3" t="s">
        <v>13</v>
      </c>
      <c r="F617" s="3" t="s">
        <v>25</v>
      </c>
      <c r="G617" s="3">
        <v>79</v>
      </c>
      <c r="H617" s="3" t="s">
        <v>17</v>
      </c>
      <c r="I617" s="23">
        <v>5.2280001640319798</v>
      </c>
      <c r="J617" s="4">
        <v>2158</v>
      </c>
      <c r="K617" s="4">
        <v>69019.789999999994</v>
      </c>
      <c r="L617" s="4">
        <v>35683977532</v>
      </c>
      <c r="M617" s="3">
        <v>0.76</v>
      </c>
    </row>
    <row r="618" spans="1:13" x14ac:dyDescent="0.25">
      <c r="A618" s="3">
        <v>617</v>
      </c>
      <c r="B618" s="3" t="s">
        <v>47</v>
      </c>
      <c r="C618" s="33">
        <v>45362</v>
      </c>
      <c r="D618" s="3" t="s">
        <v>12</v>
      </c>
      <c r="E618" s="3" t="s">
        <v>16</v>
      </c>
      <c r="F618" s="3" t="s">
        <v>25</v>
      </c>
      <c r="G618" s="3">
        <v>82</v>
      </c>
      <c r="H618" s="3" t="s">
        <v>17</v>
      </c>
      <c r="I618" s="23">
        <v>5.2399997711181596</v>
      </c>
      <c r="J618" s="4">
        <v>2178.60009765625</v>
      </c>
      <c r="K618" s="4">
        <v>72123.91</v>
      </c>
      <c r="L618" s="4">
        <v>65716656765</v>
      </c>
      <c r="M618" s="3">
        <v>4.5</v>
      </c>
    </row>
    <row r="619" spans="1:13" x14ac:dyDescent="0.25">
      <c r="A619" s="3">
        <v>618</v>
      </c>
      <c r="B619" s="3" t="s">
        <v>47</v>
      </c>
      <c r="C619" s="33">
        <v>45363</v>
      </c>
      <c r="D619" s="3" t="s">
        <v>15</v>
      </c>
      <c r="E619" s="3" t="s">
        <v>16</v>
      </c>
      <c r="F619" s="3" t="s">
        <v>25</v>
      </c>
      <c r="G619" s="3">
        <v>81</v>
      </c>
      <c r="H619" s="3" t="s">
        <v>17</v>
      </c>
      <c r="I619" s="23">
        <v>5.2399997711181596</v>
      </c>
      <c r="J619" s="4">
        <v>2182.5</v>
      </c>
      <c r="K619" s="4">
        <v>71481.289999999994</v>
      </c>
      <c r="L619" s="4">
        <v>62554434520</v>
      </c>
      <c r="M619" s="3">
        <v>-0.89</v>
      </c>
    </row>
    <row r="620" spans="1:13" x14ac:dyDescent="0.25">
      <c r="A620" s="3">
        <v>619</v>
      </c>
      <c r="B620" s="3" t="s">
        <v>47</v>
      </c>
      <c r="C620" s="33">
        <v>45364</v>
      </c>
      <c r="D620" s="3" t="s">
        <v>18</v>
      </c>
      <c r="E620" s="3" t="s">
        <v>16</v>
      </c>
      <c r="F620" s="3" t="s">
        <v>25</v>
      </c>
      <c r="G620" s="3">
        <v>81</v>
      </c>
      <c r="H620" s="3" t="s">
        <v>17</v>
      </c>
      <c r="I620" s="23">
        <v>5.2379999160766602</v>
      </c>
      <c r="J620" s="4">
        <v>2160.39990234375</v>
      </c>
      <c r="K620" s="4">
        <v>73083.5</v>
      </c>
      <c r="L620" s="4">
        <v>48212536929</v>
      </c>
      <c r="M620" s="3">
        <v>2.2400000000000002</v>
      </c>
    </row>
    <row r="621" spans="1:13" x14ac:dyDescent="0.25">
      <c r="A621" s="3">
        <v>620</v>
      </c>
      <c r="B621" s="3" t="s">
        <v>47</v>
      </c>
      <c r="C621" s="33">
        <v>45365</v>
      </c>
      <c r="D621" s="3" t="s">
        <v>19</v>
      </c>
      <c r="E621" s="3" t="s">
        <v>16</v>
      </c>
      <c r="F621" s="3" t="s">
        <v>25</v>
      </c>
      <c r="G621" s="3">
        <v>88</v>
      </c>
      <c r="H621" s="3" t="s">
        <v>17</v>
      </c>
      <c r="I621" s="23">
        <v>5.2379999160766602</v>
      </c>
      <c r="J621" s="4">
        <v>2175.39990234375</v>
      </c>
      <c r="K621" s="4">
        <v>71396.59</v>
      </c>
      <c r="L621" s="4">
        <v>59594605698</v>
      </c>
      <c r="M621" s="3">
        <v>-2.31</v>
      </c>
    </row>
    <row r="622" spans="1:13" x14ac:dyDescent="0.25">
      <c r="A622" s="3">
        <v>621</v>
      </c>
      <c r="B622" s="3" t="s">
        <v>47</v>
      </c>
      <c r="C622" s="33">
        <v>45366</v>
      </c>
      <c r="D622" s="3" t="s">
        <v>20</v>
      </c>
      <c r="E622" s="3" t="s">
        <v>16</v>
      </c>
      <c r="F622" s="3" t="s">
        <v>25</v>
      </c>
      <c r="G622" s="3">
        <v>83</v>
      </c>
      <c r="H622" s="3" t="s">
        <v>17</v>
      </c>
      <c r="I622" s="23">
        <v>5.2379999160766602</v>
      </c>
      <c r="J622" s="4">
        <v>2163</v>
      </c>
      <c r="K622" s="4">
        <v>69403.77</v>
      </c>
      <c r="L622" s="4">
        <v>78320453976</v>
      </c>
      <c r="M622" s="3">
        <v>-2.79</v>
      </c>
    </row>
    <row r="623" spans="1:13" x14ac:dyDescent="0.25">
      <c r="A623" s="3">
        <v>622</v>
      </c>
      <c r="B623" s="3" t="s">
        <v>47</v>
      </c>
      <c r="C623" s="33">
        <v>45367</v>
      </c>
      <c r="D623" s="3" t="s">
        <v>21</v>
      </c>
      <c r="E623" s="3" t="s">
        <v>13</v>
      </c>
      <c r="F623" s="3" t="s">
        <v>25</v>
      </c>
      <c r="G623" s="3">
        <v>81</v>
      </c>
      <c r="H623" s="3" t="s">
        <v>17</v>
      </c>
      <c r="I623" s="23">
        <v>5.2379999160766602</v>
      </c>
      <c r="J623" s="4">
        <v>2157.30004882812</v>
      </c>
      <c r="K623" s="4">
        <v>65315.12</v>
      </c>
      <c r="L623" s="4">
        <v>46842198371</v>
      </c>
      <c r="M623" s="3">
        <v>-5.89</v>
      </c>
    </row>
    <row r="624" spans="1:13" x14ac:dyDescent="0.25">
      <c r="A624" s="3">
        <v>623</v>
      </c>
      <c r="B624" s="3" t="s">
        <v>47</v>
      </c>
      <c r="C624" s="33">
        <v>45368</v>
      </c>
      <c r="D624" s="3" t="s">
        <v>22</v>
      </c>
      <c r="E624" s="3" t="s">
        <v>13</v>
      </c>
      <c r="F624" s="3" t="s">
        <v>25</v>
      </c>
      <c r="G624" s="3">
        <v>79</v>
      </c>
      <c r="H624" s="3" t="s">
        <v>17</v>
      </c>
      <c r="I624" s="23">
        <v>5.2379999160766602</v>
      </c>
      <c r="J624" s="4">
        <v>2163</v>
      </c>
      <c r="K624" s="4">
        <v>68390.63</v>
      </c>
      <c r="L624" s="4">
        <v>44716864318</v>
      </c>
      <c r="M624" s="3">
        <v>4.71</v>
      </c>
    </row>
    <row r="625" spans="1:13" x14ac:dyDescent="0.25">
      <c r="A625" s="3">
        <v>624</v>
      </c>
      <c r="B625" s="3" t="s">
        <v>47</v>
      </c>
      <c r="C625" s="33">
        <v>45369</v>
      </c>
      <c r="D625" s="3" t="s">
        <v>12</v>
      </c>
      <c r="E625" s="3" t="s">
        <v>16</v>
      </c>
      <c r="F625" s="3" t="s">
        <v>25</v>
      </c>
      <c r="G625" s="3">
        <v>77</v>
      </c>
      <c r="H625" s="3" t="s">
        <v>17</v>
      </c>
      <c r="I625" s="23">
        <v>5.2379999160766602</v>
      </c>
      <c r="J625" s="4">
        <v>2157.30004882812</v>
      </c>
      <c r="K625" s="4">
        <v>67548.59</v>
      </c>
      <c r="L625" s="4">
        <v>49261579492</v>
      </c>
      <c r="M625" s="3">
        <v>-1.23</v>
      </c>
    </row>
    <row r="626" spans="1:13" x14ac:dyDescent="0.25">
      <c r="A626" s="3">
        <v>625</v>
      </c>
      <c r="B626" s="3" t="s">
        <v>47</v>
      </c>
      <c r="C626" s="33">
        <v>45370</v>
      </c>
      <c r="D626" s="3" t="s">
        <v>15</v>
      </c>
      <c r="E626" s="3" t="s">
        <v>16</v>
      </c>
      <c r="F626" s="3" t="s">
        <v>25</v>
      </c>
      <c r="G626" s="3">
        <v>79</v>
      </c>
      <c r="H626" s="3" t="s">
        <v>17</v>
      </c>
      <c r="I626" s="23">
        <v>5.2379999160766602</v>
      </c>
      <c r="J626" s="4">
        <v>2160.69995117187</v>
      </c>
      <c r="K626" s="4">
        <v>61912.77</v>
      </c>
      <c r="L626" s="4">
        <v>74215844794</v>
      </c>
      <c r="M626" s="3">
        <v>-8.34</v>
      </c>
    </row>
    <row r="627" spans="1:13" x14ac:dyDescent="0.25">
      <c r="A627" s="3">
        <v>626</v>
      </c>
      <c r="B627" s="3" t="s">
        <v>47</v>
      </c>
      <c r="C627" s="33">
        <v>45371</v>
      </c>
      <c r="D627" s="3" t="s">
        <v>18</v>
      </c>
      <c r="E627" s="3" t="s">
        <v>16</v>
      </c>
      <c r="F627" s="3" t="s">
        <v>24</v>
      </c>
      <c r="G627" s="3">
        <v>74</v>
      </c>
      <c r="H627" s="3" t="s">
        <v>17</v>
      </c>
      <c r="I627" s="23">
        <v>5.2280001640319798</v>
      </c>
      <c r="J627" s="4">
        <v>2156.30004882812</v>
      </c>
      <c r="K627" s="4">
        <v>67913.67</v>
      </c>
      <c r="L627" s="4">
        <v>66792634382</v>
      </c>
      <c r="M627" s="3">
        <v>9.69</v>
      </c>
    </row>
    <row r="628" spans="1:13" x14ac:dyDescent="0.25">
      <c r="A628" s="3">
        <v>627</v>
      </c>
      <c r="B628" s="3" t="s">
        <v>47</v>
      </c>
      <c r="C628" s="33">
        <v>45372</v>
      </c>
      <c r="D628" s="3" t="s">
        <v>19</v>
      </c>
      <c r="E628" s="3" t="s">
        <v>16</v>
      </c>
      <c r="F628" s="3" t="s">
        <v>25</v>
      </c>
      <c r="G628" s="3">
        <v>78</v>
      </c>
      <c r="H628" s="3" t="s">
        <v>17</v>
      </c>
      <c r="I628" s="23">
        <v>5.2280001640319798</v>
      </c>
      <c r="J628" s="4">
        <v>2157.89990234375</v>
      </c>
      <c r="K628" s="4">
        <v>65491.39</v>
      </c>
      <c r="L628" s="4">
        <v>44480350565</v>
      </c>
      <c r="M628" s="3">
        <v>-3.57</v>
      </c>
    </row>
    <row r="629" spans="1:13" x14ac:dyDescent="0.25">
      <c r="A629" s="3">
        <v>628</v>
      </c>
      <c r="B629" s="3" t="s">
        <v>47</v>
      </c>
      <c r="C629" s="33">
        <v>45373</v>
      </c>
      <c r="D629" s="3" t="s">
        <v>20</v>
      </c>
      <c r="E629" s="3" t="s">
        <v>16</v>
      </c>
      <c r="F629" s="3" t="s">
        <v>25</v>
      </c>
      <c r="G629" s="3">
        <v>75</v>
      </c>
      <c r="H629" s="3" t="s">
        <v>17</v>
      </c>
      <c r="I629" s="23">
        <v>5.2199997901916504</v>
      </c>
      <c r="J629" s="4">
        <v>2182.39990234375</v>
      </c>
      <c r="K629" s="4">
        <v>63778.76</v>
      </c>
      <c r="L629" s="4">
        <v>41401116964</v>
      </c>
      <c r="M629" s="3">
        <v>-2.62</v>
      </c>
    </row>
    <row r="630" spans="1:13" x14ac:dyDescent="0.25">
      <c r="A630" s="3">
        <v>629</v>
      </c>
      <c r="B630" s="3" t="s">
        <v>47</v>
      </c>
      <c r="C630" s="33">
        <v>45374</v>
      </c>
      <c r="D630" s="3" t="s">
        <v>21</v>
      </c>
      <c r="E630" s="3" t="s">
        <v>13</v>
      </c>
      <c r="F630" s="3" t="s">
        <v>24</v>
      </c>
      <c r="G630" s="3">
        <v>73</v>
      </c>
      <c r="H630" s="3" t="s">
        <v>17</v>
      </c>
      <c r="I630" s="23">
        <v>5.2199997901916504</v>
      </c>
      <c r="J630" s="4">
        <v>2158.10009765625</v>
      </c>
      <c r="K630" s="4">
        <v>64062.2</v>
      </c>
      <c r="L630" s="4">
        <v>24738964812</v>
      </c>
      <c r="M630" s="3">
        <v>0.44</v>
      </c>
    </row>
    <row r="631" spans="1:13" x14ac:dyDescent="0.25">
      <c r="A631" s="3">
        <v>630</v>
      </c>
      <c r="B631" s="3" t="s">
        <v>47</v>
      </c>
      <c r="C631" s="33">
        <v>45375</v>
      </c>
      <c r="D631" s="3" t="s">
        <v>22</v>
      </c>
      <c r="E631" s="3" t="s">
        <v>13</v>
      </c>
      <c r="F631" s="3" t="s">
        <v>24</v>
      </c>
      <c r="G631" s="3">
        <v>74</v>
      </c>
      <c r="H631" s="3" t="s">
        <v>17</v>
      </c>
      <c r="I631" s="23">
        <v>5.2199997901916504</v>
      </c>
      <c r="J631" s="4">
        <v>2182.39990234375</v>
      </c>
      <c r="K631" s="4">
        <v>67234.17</v>
      </c>
      <c r="L631" s="4">
        <v>27206630673</v>
      </c>
      <c r="M631" s="3">
        <v>4.95</v>
      </c>
    </row>
    <row r="632" spans="1:13" x14ac:dyDescent="0.25">
      <c r="A632" s="3">
        <v>631</v>
      </c>
      <c r="B632" s="3" t="s">
        <v>47</v>
      </c>
      <c r="C632" s="33">
        <v>45376</v>
      </c>
      <c r="D632" s="3" t="s">
        <v>12</v>
      </c>
      <c r="E632" s="3" t="s">
        <v>16</v>
      </c>
      <c r="F632" s="3" t="s">
        <v>25</v>
      </c>
      <c r="G632" s="3">
        <v>75</v>
      </c>
      <c r="H632" s="3" t="s">
        <v>17</v>
      </c>
      <c r="I632" s="23">
        <v>5.2179999351501403</v>
      </c>
      <c r="J632" s="4">
        <v>2158.10009765625</v>
      </c>
      <c r="K632" s="4">
        <v>69958.81</v>
      </c>
      <c r="L632" s="4">
        <v>42700139523</v>
      </c>
      <c r="M632" s="3">
        <v>4.05</v>
      </c>
    </row>
    <row r="633" spans="1:13" x14ac:dyDescent="0.25">
      <c r="A633" s="3">
        <v>632</v>
      </c>
      <c r="B633" s="3" t="s">
        <v>47</v>
      </c>
      <c r="C633" s="33">
        <v>45377</v>
      </c>
      <c r="D633" s="3" t="s">
        <v>15</v>
      </c>
      <c r="E633" s="3" t="s">
        <v>16</v>
      </c>
      <c r="F633" s="3" t="s">
        <v>25</v>
      </c>
      <c r="G633" s="3">
        <v>81</v>
      </c>
      <c r="H633" s="3" t="s">
        <v>17</v>
      </c>
      <c r="I633" s="23">
        <v>5.2179999351501403</v>
      </c>
      <c r="J633" s="4">
        <v>2174.80004882812</v>
      </c>
      <c r="K633" s="4">
        <v>69987.839999999997</v>
      </c>
      <c r="L633" s="4">
        <v>36010437368</v>
      </c>
      <c r="M633" s="3">
        <v>0.04</v>
      </c>
    </row>
    <row r="634" spans="1:13" x14ac:dyDescent="0.25">
      <c r="A634" s="3">
        <v>633</v>
      </c>
      <c r="B634" s="3" t="s">
        <v>47</v>
      </c>
      <c r="C634" s="33">
        <v>45378</v>
      </c>
      <c r="D634" s="3" t="s">
        <v>18</v>
      </c>
      <c r="E634" s="3" t="s">
        <v>16</v>
      </c>
      <c r="F634" s="3" t="s">
        <v>25</v>
      </c>
      <c r="G634" s="3">
        <v>83</v>
      </c>
      <c r="H634" s="3" t="s">
        <v>17</v>
      </c>
      <c r="I634" s="23">
        <v>5.2150001525878897</v>
      </c>
      <c r="J634" s="4">
        <v>2175.60009765625</v>
      </c>
      <c r="K634" s="4">
        <v>69455.34</v>
      </c>
      <c r="L634" s="4">
        <v>40827113309</v>
      </c>
      <c r="M634" s="3">
        <v>-0.76</v>
      </c>
    </row>
    <row r="635" spans="1:13" x14ac:dyDescent="0.25">
      <c r="A635" s="3">
        <v>634</v>
      </c>
      <c r="B635" s="3" t="s">
        <v>47</v>
      </c>
      <c r="C635" s="33">
        <v>45379</v>
      </c>
      <c r="D635" s="3" t="s">
        <v>19</v>
      </c>
      <c r="E635" s="3" t="s">
        <v>16</v>
      </c>
      <c r="F635" s="3" t="s">
        <v>25</v>
      </c>
      <c r="G635" s="3">
        <v>80</v>
      </c>
      <c r="H635" s="3" t="s">
        <v>17</v>
      </c>
      <c r="I635" s="23">
        <v>5.2030000686645499</v>
      </c>
      <c r="J635" s="4">
        <v>2190.60009765625</v>
      </c>
      <c r="K635" s="4">
        <v>70744.95</v>
      </c>
      <c r="L635" s="4">
        <v>34374900617</v>
      </c>
      <c r="M635" s="3">
        <v>1.86</v>
      </c>
    </row>
    <row r="636" spans="1:13" x14ac:dyDescent="0.25">
      <c r="A636" s="3">
        <v>635</v>
      </c>
      <c r="B636" s="3" t="s">
        <v>47</v>
      </c>
      <c r="C636" s="33">
        <v>45380</v>
      </c>
      <c r="D636" s="3" t="s">
        <v>20</v>
      </c>
      <c r="E636" s="3" t="s">
        <v>16</v>
      </c>
      <c r="F636" s="3" t="s">
        <v>25</v>
      </c>
      <c r="G636" s="3">
        <v>79</v>
      </c>
      <c r="H636" s="3" t="s">
        <v>17</v>
      </c>
      <c r="I636" s="23">
        <v>5.2030000686645499</v>
      </c>
      <c r="J636" s="4">
        <v>2217.39990234375</v>
      </c>
      <c r="K636" s="4">
        <v>69892.83</v>
      </c>
      <c r="L636" s="4">
        <v>25230851763</v>
      </c>
      <c r="M636" s="3">
        <v>-1.2</v>
      </c>
    </row>
    <row r="637" spans="1:13" x14ac:dyDescent="0.25">
      <c r="A637" s="3">
        <v>636</v>
      </c>
      <c r="B637" s="3" t="s">
        <v>47</v>
      </c>
      <c r="C637" s="33">
        <v>45381</v>
      </c>
      <c r="D637" s="3" t="s">
        <v>21</v>
      </c>
      <c r="E637" s="3" t="s">
        <v>13</v>
      </c>
      <c r="F637" s="3" t="s">
        <v>25</v>
      </c>
      <c r="G637" s="3">
        <v>75</v>
      </c>
      <c r="H637" s="3" t="s">
        <v>17</v>
      </c>
      <c r="I637" s="23">
        <v>5.2030000686645499</v>
      </c>
      <c r="J637" s="4">
        <v>2190.60009765625</v>
      </c>
      <c r="K637" s="4">
        <v>69645.3</v>
      </c>
      <c r="L637" s="4">
        <v>17130241883</v>
      </c>
      <c r="M637" s="3">
        <v>-0.35</v>
      </c>
    </row>
    <row r="638" spans="1:13" x14ac:dyDescent="0.25">
      <c r="A638" s="3">
        <v>637</v>
      </c>
      <c r="B638" s="3" t="s">
        <v>47</v>
      </c>
      <c r="C638" s="33">
        <v>45382</v>
      </c>
      <c r="D638" s="3" t="s">
        <v>22</v>
      </c>
      <c r="E638" s="3" t="s">
        <v>13</v>
      </c>
      <c r="F638" s="3" t="s">
        <v>25</v>
      </c>
      <c r="G638" s="3">
        <v>75</v>
      </c>
      <c r="H638" s="3" t="s">
        <v>17</v>
      </c>
      <c r="I638" s="23">
        <v>5.2030000686645499</v>
      </c>
      <c r="J638" s="4">
        <v>2217.39990234375</v>
      </c>
      <c r="K638" s="4">
        <v>71333.649999999994</v>
      </c>
      <c r="L638" s="4">
        <v>20050941373</v>
      </c>
      <c r="M638" s="3">
        <v>2.42</v>
      </c>
    </row>
    <row r="639" spans="1:13" x14ac:dyDescent="0.25">
      <c r="A639" s="3">
        <v>638</v>
      </c>
      <c r="B639" s="3" t="s">
        <v>48</v>
      </c>
      <c r="C639" s="33">
        <v>45383</v>
      </c>
      <c r="D639" s="3" t="s">
        <v>12</v>
      </c>
      <c r="E639" s="3" t="s">
        <v>16</v>
      </c>
      <c r="F639" s="3" t="s">
        <v>25</v>
      </c>
      <c r="G639" s="3">
        <v>79</v>
      </c>
      <c r="H639" s="3" t="s">
        <v>17</v>
      </c>
      <c r="I639" s="23">
        <v>5.2179999351501403</v>
      </c>
      <c r="J639" s="4">
        <v>2190.60009765625</v>
      </c>
      <c r="K639" s="4">
        <v>69702.149999999994</v>
      </c>
      <c r="L639" s="4">
        <v>34873527352</v>
      </c>
      <c r="M639" s="3">
        <v>-2.29</v>
      </c>
    </row>
    <row r="640" spans="1:13" x14ac:dyDescent="0.25">
      <c r="A640" s="3">
        <v>639</v>
      </c>
      <c r="B640" s="3" t="s">
        <v>48</v>
      </c>
      <c r="C640" s="33">
        <v>45384</v>
      </c>
      <c r="D640" s="3" t="s">
        <v>15</v>
      </c>
      <c r="E640" s="3" t="s">
        <v>16</v>
      </c>
      <c r="F640" s="3" t="s">
        <v>25</v>
      </c>
      <c r="G640" s="3">
        <v>79</v>
      </c>
      <c r="H640" s="3" t="s">
        <v>17</v>
      </c>
      <c r="I640" s="23">
        <v>5.2129998207092196</v>
      </c>
      <c r="J640" s="4">
        <v>2236.5</v>
      </c>
      <c r="K640" s="4">
        <v>65446.97</v>
      </c>
      <c r="L640" s="4">
        <v>50705240709</v>
      </c>
      <c r="M640" s="3">
        <v>-6.1</v>
      </c>
    </row>
    <row r="641" spans="1:13" x14ac:dyDescent="0.25">
      <c r="A641" s="3">
        <v>640</v>
      </c>
      <c r="B641" s="3" t="s">
        <v>48</v>
      </c>
      <c r="C641" s="33">
        <v>45385</v>
      </c>
      <c r="D641" s="3" t="s">
        <v>18</v>
      </c>
      <c r="E641" s="3" t="s">
        <v>16</v>
      </c>
      <c r="F641" s="3" t="s">
        <v>24</v>
      </c>
      <c r="G641" s="3">
        <v>71</v>
      </c>
      <c r="H641" s="3" t="s">
        <v>17</v>
      </c>
      <c r="I641" s="23">
        <v>5.21000003814697</v>
      </c>
      <c r="J641" s="4">
        <v>2261</v>
      </c>
      <c r="K641" s="4">
        <v>65980.81</v>
      </c>
      <c r="L641" s="4">
        <v>34488018367</v>
      </c>
      <c r="M641" s="3">
        <v>0.82</v>
      </c>
    </row>
    <row r="642" spans="1:13" x14ac:dyDescent="0.25">
      <c r="A642" s="3">
        <v>641</v>
      </c>
      <c r="B642" s="3" t="s">
        <v>48</v>
      </c>
      <c r="C642" s="33">
        <v>45386</v>
      </c>
      <c r="D642" s="3" t="s">
        <v>19</v>
      </c>
      <c r="E642" s="3" t="s">
        <v>16</v>
      </c>
      <c r="F642" s="3" t="s">
        <v>24</v>
      </c>
      <c r="G642" s="3">
        <v>70</v>
      </c>
      <c r="H642" s="3" t="s">
        <v>17</v>
      </c>
      <c r="I642" s="23">
        <v>5.2030000686645499</v>
      </c>
      <c r="J642" s="4">
        <v>2294.39990234375</v>
      </c>
      <c r="K642" s="4">
        <v>68508.84</v>
      </c>
      <c r="L642" s="4">
        <v>34439527442</v>
      </c>
      <c r="M642" s="3">
        <v>3.83</v>
      </c>
    </row>
    <row r="643" spans="1:13" x14ac:dyDescent="0.25">
      <c r="A643" s="3">
        <v>642</v>
      </c>
      <c r="B643" s="3" t="s">
        <v>48</v>
      </c>
      <c r="C643" s="33">
        <v>45387</v>
      </c>
      <c r="D643" s="3" t="s">
        <v>20</v>
      </c>
      <c r="E643" s="3" t="s">
        <v>16</v>
      </c>
      <c r="F643" s="3" t="s">
        <v>25</v>
      </c>
      <c r="G643" s="3">
        <v>79</v>
      </c>
      <c r="H643" s="3" t="s">
        <v>17</v>
      </c>
      <c r="I643" s="23">
        <v>5.2150001525878897</v>
      </c>
      <c r="J643" s="4">
        <v>2288.80004882812</v>
      </c>
      <c r="K643" s="4">
        <v>67837.64</v>
      </c>
      <c r="L643" s="4">
        <v>33748230056</v>
      </c>
      <c r="M643" s="3">
        <v>-0.98</v>
      </c>
    </row>
    <row r="644" spans="1:13" x14ac:dyDescent="0.25">
      <c r="A644" s="3">
        <v>643</v>
      </c>
      <c r="B644" s="3" t="s">
        <v>48</v>
      </c>
      <c r="C644" s="33">
        <v>45388</v>
      </c>
      <c r="D644" s="3" t="s">
        <v>21</v>
      </c>
      <c r="E644" s="3" t="s">
        <v>13</v>
      </c>
      <c r="F644" s="3" t="s">
        <v>25</v>
      </c>
      <c r="G644" s="3">
        <v>75</v>
      </c>
      <c r="H644" s="3" t="s">
        <v>17</v>
      </c>
      <c r="I644" s="23">
        <v>5.2150001525878897</v>
      </c>
      <c r="J644" s="4">
        <v>2325.69995117187</v>
      </c>
      <c r="K644" s="4">
        <v>68896.11</v>
      </c>
      <c r="L644" s="4">
        <v>19967785809</v>
      </c>
      <c r="M644" s="3">
        <v>1.56</v>
      </c>
    </row>
    <row r="645" spans="1:13" x14ac:dyDescent="0.25">
      <c r="A645" s="3">
        <v>644</v>
      </c>
      <c r="B645" s="3" t="s">
        <v>48</v>
      </c>
      <c r="C645" s="33">
        <v>45389</v>
      </c>
      <c r="D645" s="3" t="s">
        <v>22</v>
      </c>
      <c r="E645" s="3" t="s">
        <v>13</v>
      </c>
      <c r="F645" s="3" t="s">
        <v>25</v>
      </c>
      <c r="G645" s="3">
        <v>78</v>
      </c>
      <c r="H645" s="3" t="s">
        <v>17</v>
      </c>
      <c r="I645" s="23">
        <v>5.2150001525878897</v>
      </c>
      <c r="J645" s="4">
        <v>2288.80004882812</v>
      </c>
      <c r="K645" s="4">
        <v>69362.55</v>
      </c>
      <c r="L645" s="4">
        <v>21204930369</v>
      </c>
      <c r="M645" s="3">
        <v>0.68</v>
      </c>
    </row>
    <row r="646" spans="1:13" x14ac:dyDescent="0.25">
      <c r="A646" s="3">
        <v>645</v>
      </c>
      <c r="B646" s="3" t="s">
        <v>48</v>
      </c>
      <c r="C646" s="33">
        <v>45390</v>
      </c>
      <c r="D646" s="3" t="s">
        <v>12</v>
      </c>
      <c r="E646" s="3" t="s">
        <v>16</v>
      </c>
      <c r="F646" s="3" t="s">
        <v>25</v>
      </c>
      <c r="G646" s="3">
        <v>76</v>
      </c>
      <c r="H646" s="3" t="s">
        <v>17</v>
      </c>
      <c r="I646" s="23">
        <v>5.22300004959106</v>
      </c>
      <c r="J646" s="4">
        <v>2325.69995117187</v>
      </c>
      <c r="K646" s="4">
        <v>71631.360000000001</v>
      </c>
      <c r="L646" s="4">
        <v>37261432669</v>
      </c>
      <c r="M646" s="3">
        <v>3.27</v>
      </c>
    </row>
    <row r="647" spans="1:13" x14ac:dyDescent="0.25">
      <c r="A647" s="3">
        <v>646</v>
      </c>
      <c r="B647" s="3" t="s">
        <v>48</v>
      </c>
      <c r="C647" s="33">
        <v>45391</v>
      </c>
      <c r="D647" s="3" t="s">
        <v>15</v>
      </c>
      <c r="E647" s="3" t="s">
        <v>16</v>
      </c>
      <c r="F647" s="3" t="s">
        <v>25</v>
      </c>
      <c r="G647" s="3">
        <v>80</v>
      </c>
      <c r="H647" s="3" t="s">
        <v>17</v>
      </c>
      <c r="I647" s="23">
        <v>5.2199997901916504</v>
      </c>
      <c r="J647" s="4">
        <v>2331.69995117187</v>
      </c>
      <c r="K647" s="4">
        <v>69139.02</v>
      </c>
      <c r="L647" s="4">
        <v>36426900409</v>
      </c>
      <c r="M647" s="3">
        <v>-3.48</v>
      </c>
    </row>
    <row r="648" spans="1:13" x14ac:dyDescent="0.25">
      <c r="A648" s="3">
        <v>647</v>
      </c>
      <c r="B648" s="3" t="s">
        <v>48</v>
      </c>
      <c r="C648" s="33">
        <v>45392</v>
      </c>
      <c r="D648" s="3" t="s">
        <v>18</v>
      </c>
      <c r="E648" s="3" t="s">
        <v>16</v>
      </c>
      <c r="F648" s="3" t="s">
        <v>25</v>
      </c>
      <c r="G648" s="3">
        <v>78</v>
      </c>
      <c r="H648" s="3" t="s">
        <v>17</v>
      </c>
      <c r="I648" s="23">
        <v>5.2430000305175701</v>
      </c>
      <c r="J648" s="4">
        <v>2343.5</v>
      </c>
      <c r="K648" s="4">
        <v>70587.88</v>
      </c>
      <c r="L648" s="4">
        <v>38318601774</v>
      </c>
      <c r="M648" s="3">
        <v>2.1</v>
      </c>
    </row>
    <row r="649" spans="1:13" x14ac:dyDescent="0.25">
      <c r="A649" s="3">
        <v>648</v>
      </c>
      <c r="B649" s="3" t="s">
        <v>48</v>
      </c>
      <c r="C649" s="33">
        <v>45393</v>
      </c>
      <c r="D649" s="3" t="s">
        <v>19</v>
      </c>
      <c r="E649" s="3" t="s">
        <v>16</v>
      </c>
      <c r="F649" s="3" t="s">
        <v>25</v>
      </c>
      <c r="G649" s="3">
        <v>76</v>
      </c>
      <c r="H649" s="3" t="s">
        <v>17</v>
      </c>
      <c r="I649" s="23">
        <v>5.2379999160766602</v>
      </c>
      <c r="J649" s="4">
        <v>2329.60009765625</v>
      </c>
      <c r="K649" s="4">
        <v>70060.61</v>
      </c>
      <c r="L649" s="4">
        <v>30153382941</v>
      </c>
      <c r="M649" s="3">
        <v>-0.75</v>
      </c>
    </row>
    <row r="650" spans="1:13" x14ac:dyDescent="0.25">
      <c r="A650" s="3">
        <v>649</v>
      </c>
      <c r="B650" s="3" t="s">
        <v>48</v>
      </c>
      <c r="C650" s="33">
        <v>45394</v>
      </c>
      <c r="D650" s="3" t="s">
        <v>20</v>
      </c>
      <c r="E650" s="3" t="s">
        <v>16</v>
      </c>
      <c r="F650" s="3" t="s">
        <v>25</v>
      </c>
      <c r="G650" s="3">
        <v>79</v>
      </c>
      <c r="H650" s="3" t="s">
        <v>17</v>
      </c>
      <c r="I650" s="23">
        <v>5.2300000190734801</v>
      </c>
      <c r="J650" s="4">
        <v>2354.80004882812</v>
      </c>
      <c r="K650" s="4">
        <v>67195.87</v>
      </c>
      <c r="L650" s="4">
        <v>44129299406</v>
      </c>
      <c r="M650" s="3">
        <v>-4.09</v>
      </c>
    </row>
    <row r="651" spans="1:13" x14ac:dyDescent="0.25">
      <c r="A651" s="3">
        <v>650</v>
      </c>
      <c r="B651" s="3" t="s">
        <v>48</v>
      </c>
      <c r="C651" s="33">
        <v>45395</v>
      </c>
      <c r="D651" s="3" t="s">
        <v>21</v>
      </c>
      <c r="E651" s="3" t="s">
        <v>13</v>
      </c>
      <c r="F651" s="3" t="s">
        <v>24</v>
      </c>
      <c r="G651" s="3">
        <v>72</v>
      </c>
      <c r="H651" s="3" t="s">
        <v>17</v>
      </c>
      <c r="I651" s="23">
        <v>5.2300000190734801</v>
      </c>
      <c r="J651" s="4">
        <v>2356.19995117187</v>
      </c>
      <c r="K651" s="4">
        <v>63821.47</v>
      </c>
      <c r="L651" s="4">
        <v>52869738185</v>
      </c>
      <c r="M651" s="3">
        <v>-5.0199999999999996</v>
      </c>
    </row>
    <row r="652" spans="1:13" x14ac:dyDescent="0.25">
      <c r="A652" s="3">
        <v>651</v>
      </c>
      <c r="B652" s="3" t="s">
        <v>48</v>
      </c>
      <c r="C652" s="33">
        <v>45396</v>
      </c>
      <c r="D652" s="3" t="s">
        <v>22</v>
      </c>
      <c r="E652" s="3" t="s">
        <v>13</v>
      </c>
      <c r="F652" s="3" t="s">
        <v>24</v>
      </c>
      <c r="G652" s="3">
        <v>72</v>
      </c>
      <c r="H652" s="3" t="s">
        <v>17</v>
      </c>
      <c r="I652" s="23">
        <v>5.2300000190734801</v>
      </c>
      <c r="J652" s="4">
        <v>2354.80004882812</v>
      </c>
      <c r="K652" s="4">
        <v>65738.73</v>
      </c>
      <c r="L652" s="4">
        <v>49084320047</v>
      </c>
      <c r="M652" s="3">
        <v>3</v>
      </c>
    </row>
    <row r="653" spans="1:13" x14ac:dyDescent="0.25">
      <c r="A653" s="3">
        <v>652</v>
      </c>
      <c r="B653" s="3" t="s">
        <v>48</v>
      </c>
      <c r="C653" s="33">
        <v>45397</v>
      </c>
      <c r="D653" s="3" t="s">
        <v>12</v>
      </c>
      <c r="E653" s="3" t="s">
        <v>16</v>
      </c>
      <c r="F653" s="3" t="s">
        <v>24</v>
      </c>
      <c r="G653" s="3">
        <v>74</v>
      </c>
      <c r="H653" s="3" t="s">
        <v>17</v>
      </c>
      <c r="I653" s="23">
        <v>5.2379999160766602</v>
      </c>
      <c r="J653" s="4">
        <v>2356.19995117187</v>
      </c>
      <c r="K653" s="4">
        <v>63426.21</v>
      </c>
      <c r="L653" s="4">
        <v>43595917654</v>
      </c>
      <c r="M653" s="3">
        <v>-3.52</v>
      </c>
    </row>
    <row r="654" spans="1:13" x14ac:dyDescent="0.25">
      <c r="A654" s="3">
        <v>653</v>
      </c>
      <c r="B654" s="3" t="s">
        <v>48</v>
      </c>
      <c r="C654" s="33">
        <v>45398</v>
      </c>
      <c r="D654" s="3" t="s">
        <v>15</v>
      </c>
      <c r="E654" s="3" t="s">
        <v>16</v>
      </c>
      <c r="F654" s="3" t="s">
        <v>24</v>
      </c>
      <c r="G654" s="3">
        <v>65</v>
      </c>
      <c r="H654" s="3" t="s">
        <v>17</v>
      </c>
      <c r="I654" s="23">
        <v>5.2329998016357404</v>
      </c>
      <c r="J654" s="4">
        <v>2365.80004882812</v>
      </c>
      <c r="K654" s="4">
        <v>63811.86</v>
      </c>
      <c r="L654" s="4">
        <v>42847528078</v>
      </c>
      <c r="M654" s="3">
        <v>0.61</v>
      </c>
    </row>
    <row r="655" spans="1:13" x14ac:dyDescent="0.25">
      <c r="A655" s="3">
        <v>654</v>
      </c>
      <c r="B655" s="3" t="s">
        <v>48</v>
      </c>
      <c r="C655" s="33">
        <v>45399</v>
      </c>
      <c r="D655" s="3" t="s">
        <v>18</v>
      </c>
      <c r="E655" s="3" t="s">
        <v>16</v>
      </c>
      <c r="F655" s="3" t="s">
        <v>24</v>
      </c>
      <c r="G655" s="3">
        <v>67</v>
      </c>
      <c r="H655" s="3" t="s">
        <v>17</v>
      </c>
      <c r="I655" s="23">
        <v>5.2399997711181596</v>
      </c>
      <c r="J655" s="4">
        <v>2390.80004882812</v>
      </c>
      <c r="K655" s="4">
        <v>61276.69</v>
      </c>
      <c r="L655" s="4">
        <v>41915247049</v>
      </c>
      <c r="M655" s="3">
        <v>-3.97</v>
      </c>
    </row>
    <row r="656" spans="1:13" x14ac:dyDescent="0.25">
      <c r="A656" s="3">
        <v>655</v>
      </c>
      <c r="B656" s="3" t="s">
        <v>48</v>
      </c>
      <c r="C656" s="33">
        <v>45400</v>
      </c>
      <c r="D656" s="3" t="s">
        <v>19</v>
      </c>
      <c r="E656" s="3" t="s">
        <v>16</v>
      </c>
      <c r="F656" s="3" t="s">
        <v>24</v>
      </c>
      <c r="G656" s="3">
        <v>57</v>
      </c>
      <c r="H656" s="3" t="s">
        <v>17</v>
      </c>
      <c r="I656" s="23">
        <v>5.2430000305175701</v>
      </c>
      <c r="J656" s="4">
        <v>2371.69995117187</v>
      </c>
      <c r="K656" s="4">
        <v>63512.75</v>
      </c>
      <c r="L656" s="4">
        <v>36006307335</v>
      </c>
      <c r="M656" s="3">
        <v>3.65</v>
      </c>
    </row>
    <row r="657" spans="1:13" x14ac:dyDescent="0.25">
      <c r="A657" s="3">
        <v>656</v>
      </c>
      <c r="B657" s="3" t="s">
        <v>48</v>
      </c>
      <c r="C657" s="33">
        <v>45401</v>
      </c>
      <c r="D657" s="3" t="s">
        <v>20</v>
      </c>
      <c r="E657" s="3" t="s">
        <v>16</v>
      </c>
      <c r="F657" s="3" t="s">
        <v>24</v>
      </c>
      <c r="G657" s="3">
        <v>66</v>
      </c>
      <c r="H657" s="3" t="s">
        <v>17</v>
      </c>
      <c r="I657" s="23">
        <v>5.2449998855590803</v>
      </c>
      <c r="J657" s="4">
        <v>2382.30004882812</v>
      </c>
      <c r="K657" s="4">
        <v>63843.57</v>
      </c>
      <c r="L657" s="4">
        <v>49920425401</v>
      </c>
      <c r="M657" s="3">
        <v>0.52</v>
      </c>
    </row>
    <row r="658" spans="1:13" x14ac:dyDescent="0.25">
      <c r="A658" s="3">
        <v>657</v>
      </c>
      <c r="B658" s="3" t="s">
        <v>48</v>
      </c>
      <c r="C658" s="33">
        <v>45402</v>
      </c>
      <c r="D658" s="3" t="s">
        <v>21</v>
      </c>
      <c r="E658" s="3" t="s">
        <v>13</v>
      </c>
      <c r="F658" s="3" t="s">
        <v>24</v>
      </c>
      <c r="G658" s="3">
        <v>66</v>
      </c>
      <c r="H658" s="3" t="s">
        <v>17</v>
      </c>
      <c r="I658" s="23">
        <v>5.2449998855590803</v>
      </c>
      <c r="J658" s="4">
        <v>2398.39990234375</v>
      </c>
      <c r="K658" s="4">
        <v>64994.44</v>
      </c>
      <c r="L658" s="4">
        <v>23097485495</v>
      </c>
      <c r="M658" s="3">
        <v>1.8</v>
      </c>
    </row>
    <row r="659" spans="1:13" x14ac:dyDescent="0.25">
      <c r="A659" s="3">
        <v>658</v>
      </c>
      <c r="B659" s="3" t="s">
        <v>48</v>
      </c>
      <c r="C659" s="33">
        <v>45403</v>
      </c>
      <c r="D659" s="3" t="s">
        <v>22</v>
      </c>
      <c r="E659" s="3" t="s">
        <v>13</v>
      </c>
      <c r="F659" s="3" t="s">
        <v>24</v>
      </c>
      <c r="G659" s="3">
        <v>72</v>
      </c>
      <c r="H659" s="3" t="s">
        <v>17</v>
      </c>
      <c r="I659" s="23">
        <v>5.2449998855590803</v>
      </c>
      <c r="J659" s="4">
        <v>2382.30004882812</v>
      </c>
      <c r="K659" s="4">
        <v>64926.64</v>
      </c>
      <c r="L659" s="4">
        <v>20506644853</v>
      </c>
      <c r="M659" s="3">
        <v>-0.1</v>
      </c>
    </row>
    <row r="660" spans="1:13" x14ac:dyDescent="0.25">
      <c r="A660" s="3">
        <v>659</v>
      </c>
      <c r="B660" s="3" t="s">
        <v>48</v>
      </c>
      <c r="C660" s="33">
        <v>45404</v>
      </c>
      <c r="D660" s="3" t="s">
        <v>12</v>
      </c>
      <c r="E660" s="3" t="s">
        <v>16</v>
      </c>
      <c r="F660" s="3" t="s">
        <v>24</v>
      </c>
      <c r="G660" s="3">
        <v>73</v>
      </c>
      <c r="H660" s="3" t="s">
        <v>17</v>
      </c>
      <c r="I660" s="23">
        <v>5.2449998855590803</v>
      </c>
      <c r="J660" s="4">
        <v>2398.39990234375</v>
      </c>
      <c r="K660" s="4">
        <v>66837.679999999993</v>
      </c>
      <c r="L660" s="4">
        <v>28282686673</v>
      </c>
      <c r="M660" s="3">
        <v>2.94</v>
      </c>
    </row>
    <row r="661" spans="1:13" x14ac:dyDescent="0.25">
      <c r="A661" s="3">
        <v>660</v>
      </c>
      <c r="B661" s="3" t="s">
        <v>48</v>
      </c>
      <c r="C661" s="33">
        <v>45405</v>
      </c>
      <c r="D661" s="3" t="s">
        <v>15</v>
      </c>
      <c r="E661" s="3" t="s">
        <v>16</v>
      </c>
      <c r="F661" s="3" t="s">
        <v>24</v>
      </c>
      <c r="G661" s="3">
        <v>71</v>
      </c>
      <c r="H661" s="3" t="s">
        <v>17</v>
      </c>
      <c r="I661" s="23">
        <v>5.2449998855590803</v>
      </c>
      <c r="J661" s="4">
        <v>2332.19995117187</v>
      </c>
      <c r="K661" s="4">
        <v>66407.27</v>
      </c>
      <c r="L661" s="4">
        <v>24310975583</v>
      </c>
      <c r="M661" s="3">
        <v>-0.64</v>
      </c>
    </row>
    <row r="662" spans="1:13" x14ac:dyDescent="0.25">
      <c r="A662" s="3">
        <v>661</v>
      </c>
      <c r="B662" s="3" t="s">
        <v>48</v>
      </c>
      <c r="C662" s="33">
        <v>45406</v>
      </c>
      <c r="D662" s="3" t="s">
        <v>18</v>
      </c>
      <c r="E662" s="3" t="s">
        <v>16</v>
      </c>
      <c r="F662" s="3" t="s">
        <v>24</v>
      </c>
      <c r="G662" s="3">
        <v>72</v>
      </c>
      <c r="H662" s="3" t="s">
        <v>17</v>
      </c>
      <c r="I662" s="23">
        <v>5.25500011444091</v>
      </c>
      <c r="J662" s="4">
        <v>2327.69995117187</v>
      </c>
      <c r="K662" s="4">
        <v>64276.9</v>
      </c>
      <c r="L662" s="4">
        <v>30276655120</v>
      </c>
      <c r="M662" s="3">
        <v>-3.21</v>
      </c>
    </row>
    <row r="663" spans="1:13" x14ac:dyDescent="0.25">
      <c r="A663" s="3">
        <v>662</v>
      </c>
      <c r="B663" s="3" t="s">
        <v>48</v>
      </c>
      <c r="C663" s="33">
        <v>45407</v>
      </c>
      <c r="D663" s="3" t="s">
        <v>19</v>
      </c>
      <c r="E663" s="3" t="s">
        <v>16</v>
      </c>
      <c r="F663" s="3" t="s">
        <v>24</v>
      </c>
      <c r="G663" s="3">
        <v>72</v>
      </c>
      <c r="H663" s="3" t="s">
        <v>17</v>
      </c>
      <c r="I663" s="23">
        <v>5.2449998855590803</v>
      </c>
      <c r="J663" s="4">
        <v>2324.5</v>
      </c>
      <c r="K663" s="4">
        <v>64481.71</v>
      </c>
      <c r="L663" s="4">
        <v>32155786816</v>
      </c>
      <c r="M663" s="3">
        <v>0.32</v>
      </c>
    </row>
    <row r="664" spans="1:13" x14ac:dyDescent="0.25">
      <c r="A664" s="3">
        <v>663</v>
      </c>
      <c r="B664" s="3" t="s">
        <v>48</v>
      </c>
      <c r="C664" s="33">
        <v>45408</v>
      </c>
      <c r="D664" s="3" t="s">
        <v>20</v>
      </c>
      <c r="E664" s="3" t="s">
        <v>16</v>
      </c>
      <c r="F664" s="3" t="s">
        <v>24</v>
      </c>
      <c r="G664" s="3">
        <v>70</v>
      </c>
      <c r="H664" s="3" t="s">
        <v>17</v>
      </c>
      <c r="I664" s="23">
        <v>5.2379999160766602</v>
      </c>
      <c r="J664" s="4">
        <v>2329.80004882812</v>
      </c>
      <c r="K664" s="4">
        <v>63755.32</v>
      </c>
      <c r="L664" s="4">
        <v>24139372950</v>
      </c>
      <c r="M664" s="3">
        <v>-1.1299999999999999</v>
      </c>
    </row>
    <row r="665" spans="1:13" x14ac:dyDescent="0.25">
      <c r="A665" s="3">
        <v>664</v>
      </c>
      <c r="B665" s="3" t="s">
        <v>48</v>
      </c>
      <c r="C665" s="33">
        <v>45409</v>
      </c>
      <c r="D665" s="3" t="s">
        <v>21</v>
      </c>
      <c r="E665" s="3" t="s">
        <v>13</v>
      </c>
      <c r="F665" s="3" t="s">
        <v>24</v>
      </c>
      <c r="G665" s="3">
        <v>67</v>
      </c>
      <c r="H665" s="3" t="s">
        <v>17</v>
      </c>
      <c r="I665" s="23">
        <v>5.2379999160766602</v>
      </c>
      <c r="J665" s="4">
        <v>2334.80004882812</v>
      </c>
      <c r="K665" s="4">
        <v>63419.14</v>
      </c>
      <c r="L665" s="4">
        <v>19530783039</v>
      </c>
      <c r="M665" s="3">
        <v>-0.53</v>
      </c>
    </row>
    <row r="666" spans="1:13" x14ac:dyDescent="0.25">
      <c r="A666" s="3">
        <v>665</v>
      </c>
      <c r="B666" s="3" t="s">
        <v>48</v>
      </c>
      <c r="C666" s="33">
        <v>45410</v>
      </c>
      <c r="D666" s="3" t="s">
        <v>22</v>
      </c>
      <c r="E666" s="3" t="s">
        <v>13</v>
      </c>
      <c r="F666" s="3" t="s">
        <v>24</v>
      </c>
      <c r="G666" s="3">
        <v>65</v>
      </c>
      <c r="H666" s="3" t="s">
        <v>17</v>
      </c>
      <c r="I666" s="23">
        <v>5.2379999160766602</v>
      </c>
      <c r="J666" s="4">
        <v>2329.80004882812</v>
      </c>
      <c r="K666" s="4">
        <v>63113.23</v>
      </c>
      <c r="L666" s="4">
        <v>17334827993</v>
      </c>
      <c r="M666" s="3">
        <v>-0.48</v>
      </c>
    </row>
    <row r="667" spans="1:13" x14ac:dyDescent="0.25">
      <c r="A667" s="3">
        <v>666</v>
      </c>
      <c r="B667" s="3" t="s">
        <v>48</v>
      </c>
      <c r="C667" s="33">
        <v>45411</v>
      </c>
      <c r="D667" s="3" t="s">
        <v>12</v>
      </c>
      <c r="E667" s="3" t="s">
        <v>16</v>
      </c>
      <c r="F667" s="3" t="s">
        <v>24</v>
      </c>
      <c r="G667" s="3">
        <v>67</v>
      </c>
      <c r="H667" s="3" t="s">
        <v>17</v>
      </c>
      <c r="I667" s="23">
        <v>5.2430000305175701</v>
      </c>
      <c r="J667" s="4">
        <v>2334.80004882812</v>
      </c>
      <c r="K667" s="4">
        <v>63841.120000000003</v>
      </c>
      <c r="L667" s="4">
        <v>26635912073</v>
      </c>
      <c r="M667" s="3">
        <v>1.1499999999999999</v>
      </c>
    </row>
    <row r="668" spans="1:13" x14ac:dyDescent="0.25">
      <c r="A668" s="3">
        <v>667</v>
      </c>
      <c r="B668" s="3" t="s">
        <v>48</v>
      </c>
      <c r="C668" s="33">
        <v>45412</v>
      </c>
      <c r="D668" s="3" t="s">
        <v>15</v>
      </c>
      <c r="E668" s="3" t="s">
        <v>16</v>
      </c>
      <c r="F668" s="3" t="s">
        <v>24</v>
      </c>
      <c r="G668" s="3">
        <v>67</v>
      </c>
      <c r="H668" s="3" t="s">
        <v>17</v>
      </c>
      <c r="I668" s="23">
        <v>5.2449998855590803</v>
      </c>
      <c r="J668" s="4">
        <v>2345.39990234375</v>
      </c>
      <c r="K668" s="4">
        <v>60636.86</v>
      </c>
      <c r="L668" s="4">
        <v>37840840057</v>
      </c>
      <c r="M668" s="3">
        <v>-5.0199999999999996</v>
      </c>
    </row>
    <row r="669" spans="1:13" x14ac:dyDescent="0.25">
      <c r="A669" s="3">
        <v>668</v>
      </c>
      <c r="B669" s="3" t="s">
        <v>49</v>
      </c>
      <c r="C669" s="33">
        <v>45413</v>
      </c>
      <c r="D669" s="3" t="s">
        <v>18</v>
      </c>
      <c r="E669" s="3" t="s">
        <v>16</v>
      </c>
      <c r="F669" s="3" t="s">
        <v>24</v>
      </c>
      <c r="G669" s="3">
        <v>54</v>
      </c>
      <c r="H669" s="3" t="s">
        <v>17</v>
      </c>
      <c r="I669" s="23">
        <v>5.25</v>
      </c>
      <c r="J669" s="4">
        <v>2291.39990234375</v>
      </c>
      <c r="K669" s="4">
        <v>58254.01</v>
      </c>
      <c r="L669" s="4">
        <v>48439780271</v>
      </c>
      <c r="M669" s="3">
        <v>-3.93</v>
      </c>
    </row>
    <row r="670" spans="1:13" x14ac:dyDescent="0.25">
      <c r="A670" s="3">
        <v>669</v>
      </c>
      <c r="B670" s="3" t="s">
        <v>49</v>
      </c>
      <c r="C670" s="33">
        <v>45414</v>
      </c>
      <c r="D670" s="3" t="s">
        <v>19</v>
      </c>
      <c r="E670" s="3" t="s">
        <v>16</v>
      </c>
      <c r="F670" s="3" t="s">
        <v>23</v>
      </c>
      <c r="G670" s="3">
        <v>43</v>
      </c>
      <c r="H670" s="3" t="s">
        <v>17</v>
      </c>
      <c r="I670" s="23">
        <v>5.2379999160766602</v>
      </c>
      <c r="J670" s="4">
        <v>2299.89990234375</v>
      </c>
      <c r="K670" s="4">
        <v>59123.43</v>
      </c>
      <c r="L670" s="4">
        <v>32711813559</v>
      </c>
      <c r="M670" s="3">
        <v>1.49</v>
      </c>
    </row>
    <row r="671" spans="1:13" x14ac:dyDescent="0.25">
      <c r="A671" s="3">
        <v>670</v>
      </c>
      <c r="B671" s="3" t="s">
        <v>49</v>
      </c>
      <c r="C671" s="33">
        <v>45415</v>
      </c>
      <c r="D671" s="3" t="s">
        <v>20</v>
      </c>
      <c r="E671" s="3" t="s">
        <v>16</v>
      </c>
      <c r="F671" s="3" t="s">
        <v>23</v>
      </c>
      <c r="G671" s="3">
        <v>48</v>
      </c>
      <c r="H671" s="3" t="s">
        <v>17</v>
      </c>
      <c r="I671" s="23">
        <v>5.2350001335143999</v>
      </c>
      <c r="J671" s="4">
        <v>2299.19995117187</v>
      </c>
      <c r="K671" s="4">
        <v>62889.84</v>
      </c>
      <c r="L671" s="4">
        <v>33172023048</v>
      </c>
      <c r="M671" s="3">
        <v>6.37</v>
      </c>
    </row>
    <row r="672" spans="1:13" x14ac:dyDescent="0.25">
      <c r="A672" s="3">
        <v>671</v>
      </c>
      <c r="B672" s="3" t="s">
        <v>49</v>
      </c>
      <c r="C672" s="33">
        <v>45416</v>
      </c>
      <c r="D672" s="3" t="s">
        <v>21</v>
      </c>
      <c r="E672" s="3" t="s">
        <v>13</v>
      </c>
      <c r="F672" s="3" t="s">
        <v>24</v>
      </c>
      <c r="G672" s="3">
        <v>67</v>
      </c>
      <c r="H672" s="3" t="s">
        <v>17</v>
      </c>
      <c r="I672" s="23">
        <v>5.2350001335143999</v>
      </c>
      <c r="J672" s="4">
        <v>2299</v>
      </c>
      <c r="K672" s="4">
        <v>63891.47</v>
      </c>
      <c r="L672" s="4">
        <v>20620477992</v>
      </c>
      <c r="M672" s="3">
        <v>1.59</v>
      </c>
    </row>
    <row r="673" spans="1:13" x14ac:dyDescent="0.25">
      <c r="A673" s="3">
        <v>672</v>
      </c>
      <c r="B673" s="3" t="s">
        <v>49</v>
      </c>
      <c r="C673" s="33">
        <v>45417</v>
      </c>
      <c r="D673" s="3" t="s">
        <v>22</v>
      </c>
      <c r="E673" s="3" t="s">
        <v>13</v>
      </c>
      <c r="F673" s="3" t="s">
        <v>24</v>
      </c>
      <c r="G673" s="3">
        <v>69</v>
      </c>
      <c r="H673" s="3" t="s">
        <v>17</v>
      </c>
      <c r="I673" s="23">
        <v>5.2350001335143999</v>
      </c>
      <c r="J673" s="4">
        <v>2299.19995117187</v>
      </c>
      <c r="K673" s="4">
        <v>64031.13</v>
      </c>
      <c r="L673" s="4">
        <v>18296164805</v>
      </c>
      <c r="M673" s="3">
        <v>0.22</v>
      </c>
    </row>
    <row r="674" spans="1:13" x14ac:dyDescent="0.25">
      <c r="A674" s="3">
        <v>673</v>
      </c>
      <c r="B674" s="3" t="s">
        <v>49</v>
      </c>
      <c r="C674" s="33">
        <v>45418</v>
      </c>
      <c r="D674" s="3" t="s">
        <v>12</v>
      </c>
      <c r="E674" s="3" t="s">
        <v>16</v>
      </c>
      <c r="F674" s="3" t="s">
        <v>24</v>
      </c>
      <c r="G674" s="3">
        <v>71</v>
      </c>
      <c r="H674" s="3" t="s">
        <v>17</v>
      </c>
      <c r="I674" s="23">
        <v>5.2399997711181596</v>
      </c>
      <c r="J674" s="4">
        <v>2299</v>
      </c>
      <c r="K674" s="4">
        <v>63161.95</v>
      </c>
      <c r="L674" s="4">
        <v>28697928697</v>
      </c>
      <c r="M674" s="3">
        <v>-1.36</v>
      </c>
    </row>
    <row r="675" spans="1:13" x14ac:dyDescent="0.25">
      <c r="A675" s="3">
        <v>674</v>
      </c>
      <c r="B675" s="3" t="s">
        <v>49</v>
      </c>
      <c r="C675" s="33">
        <v>45419</v>
      </c>
      <c r="D675" s="3" t="s">
        <v>15</v>
      </c>
      <c r="E675" s="3" t="s">
        <v>16</v>
      </c>
      <c r="F675" s="3" t="s">
        <v>24</v>
      </c>
      <c r="G675" s="3">
        <v>68</v>
      </c>
      <c r="H675" s="3" t="s">
        <v>17</v>
      </c>
      <c r="I675" s="23">
        <v>5.2430000305175701</v>
      </c>
      <c r="J675" s="4">
        <v>2321.60009765625</v>
      </c>
      <c r="K675" s="4">
        <v>62334.82</v>
      </c>
      <c r="L675" s="4">
        <v>25930730982</v>
      </c>
      <c r="M675" s="3">
        <v>-1.31</v>
      </c>
    </row>
    <row r="676" spans="1:13" x14ac:dyDescent="0.25">
      <c r="A676" s="3">
        <v>675</v>
      </c>
      <c r="B676" s="3" t="s">
        <v>49</v>
      </c>
      <c r="C676" s="33">
        <v>45420</v>
      </c>
      <c r="D676" s="3" t="s">
        <v>18</v>
      </c>
      <c r="E676" s="3" t="s">
        <v>16</v>
      </c>
      <c r="F676" s="3" t="s">
        <v>24</v>
      </c>
      <c r="G676" s="3">
        <v>64</v>
      </c>
      <c r="H676" s="3" t="s">
        <v>17</v>
      </c>
      <c r="I676" s="23">
        <v>5.2449998855590803</v>
      </c>
      <c r="J676" s="4">
        <v>2315.19995117187</v>
      </c>
      <c r="K676" s="4">
        <v>61187.94</v>
      </c>
      <c r="L676" s="4">
        <v>26088172222</v>
      </c>
      <c r="M676" s="3">
        <v>-1.84</v>
      </c>
    </row>
    <row r="677" spans="1:13" x14ac:dyDescent="0.25">
      <c r="A677" s="3">
        <v>676</v>
      </c>
      <c r="B677" s="3" t="s">
        <v>49</v>
      </c>
      <c r="C677" s="33">
        <v>45421</v>
      </c>
      <c r="D677" s="3" t="s">
        <v>19</v>
      </c>
      <c r="E677" s="3" t="s">
        <v>16</v>
      </c>
      <c r="F677" s="3" t="s">
        <v>24</v>
      </c>
      <c r="G677" s="3">
        <v>55</v>
      </c>
      <c r="H677" s="3" t="s">
        <v>17</v>
      </c>
      <c r="I677" s="23">
        <v>5.2399997711181596</v>
      </c>
      <c r="J677" s="4">
        <v>2313.60009765625</v>
      </c>
      <c r="K677" s="4">
        <v>63049.96</v>
      </c>
      <c r="L677" s="4">
        <v>25453338161</v>
      </c>
      <c r="M677" s="3">
        <v>3.04</v>
      </c>
    </row>
    <row r="678" spans="1:13" x14ac:dyDescent="0.25">
      <c r="A678" s="3">
        <v>677</v>
      </c>
      <c r="B678" s="3" t="s">
        <v>49</v>
      </c>
      <c r="C678" s="33">
        <v>45422</v>
      </c>
      <c r="D678" s="3" t="s">
        <v>20</v>
      </c>
      <c r="E678" s="3" t="s">
        <v>16</v>
      </c>
      <c r="F678" s="3" t="s">
        <v>24</v>
      </c>
      <c r="G678" s="3">
        <v>66</v>
      </c>
      <c r="H678" s="3" t="s">
        <v>17</v>
      </c>
      <c r="I678" s="23">
        <v>5.2430000305175701</v>
      </c>
      <c r="J678" s="4">
        <v>2332.10009765625</v>
      </c>
      <c r="K678" s="4">
        <v>60792.78</v>
      </c>
      <c r="L678" s="4">
        <v>27804954694</v>
      </c>
      <c r="M678" s="3">
        <v>-3.58</v>
      </c>
    </row>
    <row r="679" spans="1:13" x14ac:dyDescent="0.25">
      <c r="A679" s="3">
        <v>678</v>
      </c>
      <c r="B679" s="3" t="s">
        <v>49</v>
      </c>
      <c r="C679" s="33">
        <v>45423</v>
      </c>
      <c r="D679" s="3" t="s">
        <v>21</v>
      </c>
      <c r="E679" s="3" t="s">
        <v>13</v>
      </c>
      <c r="F679" s="3" t="s">
        <v>24</v>
      </c>
      <c r="G679" s="3">
        <v>53</v>
      </c>
      <c r="H679" s="3" t="s">
        <v>17</v>
      </c>
      <c r="I679" s="23">
        <v>5.2430000305175701</v>
      </c>
      <c r="J679" s="4">
        <v>2367.30004882812</v>
      </c>
      <c r="K679" s="4">
        <v>60793.71</v>
      </c>
      <c r="L679" s="4">
        <v>13842272968</v>
      </c>
      <c r="M679" s="3">
        <v>0</v>
      </c>
    </row>
    <row r="680" spans="1:13" x14ac:dyDescent="0.25">
      <c r="A680" s="3">
        <v>679</v>
      </c>
      <c r="B680" s="3" t="s">
        <v>49</v>
      </c>
      <c r="C680" s="33">
        <v>45424</v>
      </c>
      <c r="D680" s="3" t="s">
        <v>22</v>
      </c>
      <c r="E680" s="3" t="s">
        <v>13</v>
      </c>
      <c r="F680" s="3" t="s">
        <v>24</v>
      </c>
      <c r="G680" s="3">
        <v>56</v>
      </c>
      <c r="H680" s="3">
        <v>14</v>
      </c>
      <c r="I680" s="23">
        <v>5.2430000305175701</v>
      </c>
      <c r="J680" s="4">
        <v>2332.10009765625</v>
      </c>
      <c r="K680" s="4">
        <v>61448.39</v>
      </c>
      <c r="L680" s="4">
        <v>13800459405</v>
      </c>
      <c r="M680" s="3">
        <v>1.08</v>
      </c>
    </row>
    <row r="681" spans="1:13" x14ac:dyDescent="0.25">
      <c r="A681" s="3">
        <v>680</v>
      </c>
      <c r="B681" s="3" t="s">
        <v>49</v>
      </c>
      <c r="C681" s="33">
        <v>45425</v>
      </c>
      <c r="D681" s="3" t="s">
        <v>12</v>
      </c>
      <c r="E681" s="3" t="s">
        <v>16</v>
      </c>
      <c r="F681" s="3" t="s">
        <v>24</v>
      </c>
      <c r="G681" s="3">
        <v>57</v>
      </c>
      <c r="H681" s="3" t="s">
        <v>17</v>
      </c>
      <c r="I681" s="23">
        <v>5.2399997711181596</v>
      </c>
      <c r="J681" s="4">
        <v>2367.30004882812</v>
      </c>
      <c r="K681" s="4">
        <v>62901.45</v>
      </c>
      <c r="L681" s="4">
        <v>27889181179</v>
      </c>
      <c r="M681" s="3">
        <v>2.36</v>
      </c>
    </row>
    <row r="682" spans="1:13" x14ac:dyDescent="0.25">
      <c r="A682" s="3">
        <v>681</v>
      </c>
      <c r="B682" s="3" t="s">
        <v>49</v>
      </c>
      <c r="C682" s="33">
        <v>45426</v>
      </c>
      <c r="D682" s="3" t="s">
        <v>15</v>
      </c>
      <c r="E682" s="3" t="s">
        <v>16</v>
      </c>
      <c r="F682" s="3" t="s">
        <v>24</v>
      </c>
      <c r="G682" s="3">
        <v>66</v>
      </c>
      <c r="H682" s="3" t="s">
        <v>17</v>
      </c>
      <c r="I682" s="23">
        <v>5.2350001335143999</v>
      </c>
      <c r="J682" s="4">
        <v>2336.10009765625</v>
      </c>
      <c r="K682" s="4">
        <v>61552.79</v>
      </c>
      <c r="L682" s="4">
        <v>28186271527</v>
      </c>
      <c r="M682" s="3">
        <v>-2.14</v>
      </c>
    </row>
    <row r="683" spans="1:13" x14ac:dyDescent="0.25">
      <c r="A683" s="3">
        <v>682</v>
      </c>
      <c r="B683" s="3" t="s">
        <v>49</v>
      </c>
      <c r="C683" s="33">
        <v>45427</v>
      </c>
      <c r="D683" s="3" t="s">
        <v>18</v>
      </c>
      <c r="E683" s="3" t="s">
        <v>16</v>
      </c>
      <c r="F683" s="3" t="s">
        <v>24</v>
      </c>
      <c r="G683" s="3">
        <v>64</v>
      </c>
      <c r="H683" s="3" t="s">
        <v>17</v>
      </c>
      <c r="I683" s="23">
        <v>5.2399997711181596</v>
      </c>
      <c r="J683" s="4">
        <v>2353.39990234375</v>
      </c>
      <c r="K683" s="4">
        <v>66267.490000000005</v>
      </c>
      <c r="L683" s="4">
        <v>39815167074</v>
      </c>
      <c r="M683" s="3">
        <v>7.66</v>
      </c>
    </row>
    <row r="684" spans="1:13" x14ac:dyDescent="0.25">
      <c r="A684" s="3">
        <v>683</v>
      </c>
      <c r="B684" s="3" t="s">
        <v>49</v>
      </c>
      <c r="C684" s="33">
        <v>45428</v>
      </c>
      <c r="D684" s="3" t="s">
        <v>19</v>
      </c>
      <c r="E684" s="3" t="s">
        <v>16</v>
      </c>
      <c r="F684" s="3" t="s">
        <v>24</v>
      </c>
      <c r="G684" s="3">
        <v>70</v>
      </c>
      <c r="H684" s="3" t="s">
        <v>17</v>
      </c>
      <c r="I684" s="23">
        <v>5.2430000305175701</v>
      </c>
      <c r="J684" s="4">
        <v>2388.69995117187</v>
      </c>
      <c r="K684" s="4">
        <v>65231.58</v>
      </c>
      <c r="L684" s="4">
        <v>31573077994</v>
      </c>
      <c r="M684" s="3">
        <v>-1.56</v>
      </c>
    </row>
    <row r="685" spans="1:13" x14ac:dyDescent="0.25">
      <c r="A685" s="3">
        <v>684</v>
      </c>
      <c r="B685" s="3" t="s">
        <v>49</v>
      </c>
      <c r="C685" s="33">
        <v>45429</v>
      </c>
      <c r="D685" s="3" t="s">
        <v>20</v>
      </c>
      <c r="E685" s="3" t="s">
        <v>16</v>
      </c>
      <c r="F685" s="3" t="s">
        <v>24</v>
      </c>
      <c r="G685" s="3">
        <v>74</v>
      </c>
      <c r="H685" s="3" t="s">
        <v>17</v>
      </c>
      <c r="I685" s="23">
        <v>5.2399997711181596</v>
      </c>
      <c r="J685" s="4">
        <v>2380</v>
      </c>
      <c r="K685" s="4">
        <v>67051.88</v>
      </c>
      <c r="L685" s="4">
        <v>28031279310</v>
      </c>
      <c r="M685" s="3">
        <v>2.79</v>
      </c>
    </row>
    <row r="686" spans="1:13" x14ac:dyDescent="0.25">
      <c r="A686" s="3">
        <v>685</v>
      </c>
      <c r="B686" s="3" t="s">
        <v>49</v>
      </c>
      <c r="C686" s="33">
        <v>45430</v>
      </c>
      <c r="D686" s="3" t="s">
        <v>21</v>
      </c>
      <c r="E686" s="3" t="s">
        <v>13</v>
      </c>
      <c r="F686" s="3" t="s">
        <v>24</v>
      </c>
      <c r="G686" s="3">
        <v>73</v>
      </c>
      <c r="H686" s="3" t="s">
        <v>17</v>
      </c>
      <c r="I686" s="23">
        <v>5.2399997711181596</v>
      </c>
      <c r="J686" s="4">
        <v>2412.19995117187</v>
      </c>
      <c r="K686" s="4">
        <v>66940.800000000003</v>
      </c>
      <c r="L686" s="4">
        <v>16712277406</v>
      </c>
      <c r="M686" s="3">
        <v>-0.17</v>
      </c>
    </row>
    <row r="687" spans="1:13" x14ac:dyDescent="0.25">
      <c r="A687" s="3">
        <v>686</v>
      </c>
      <c r="B687" s="3" t="s">
        <v>49</v>
      </c>
      <c r="C687" s="33">
        <v>45431</v>
      </c>
      <c r="D687" s="3" t="s">
        <v>22</v>
      </c>
      <c r="E687" s="3" t="s">
        <v>13</v>
      </c>
      <c r="F687" s="3" t="s">
        <v>24</v>
      </c>
      <c r="G687" s="3">
        <v>72</v>
      </c>
      <c r="H687" s="3" t="s">
        <v>17</v>
      </c>
      <c r="I687" s="23">
        <v>5.2399997711181596</v>
      </c>
      <c r="J687" s="4">
        <v>2380</v>
      </c>
      <c r="K687" s="4">
        <v>66278.37</v>
      </c>
      <c r="L687" s="4">
        <v>19249094538</v>
      </c>
      <c r="M687" s="3">
        <v>-0.99</v>
      </c>
    </row>
    <row r="688" spans="1:13" x14ac:dyDescent="0.25">
      <c r="A688" s="3">
        <v>687</v>
      </c>
      <c r="B688" s="3" t="s">
        <v>49</v>
      </c>
      <c r="C688" s="33">
        <v>45432</v>
      </c>
      <c r="D688" s="3" t="s">
        <v>12</v>
      </c>
      <c r="E688" s="3" t="s">
        <v>16</v>
      </c>
      <c r="F688" s="3" t="s">
        <v>24</v>
      </c>
      <c r="G688" s="3">
        <v>70</v>
      </c>
      <c r="H688" s="3" t="s">
        <v>17</v>
      </c>
      <c r="I688" s="23">
        <v>5.2399997711181596</v>
      </c>
      <c r="J688" s="4">
        <v>2412.19995117187</v>
      </c>
      <c r="K688" s="4">
        <v>71448.2</v>
      </c>
      <c r="L688" s="4">
        <v>43850655717</v>
      </c>
      <c r="M688" s="3">
        <v>7.8</v>
      </c>
    </row>
    <row r="689" spans="1:13" x14ac:dyDescent="0.25">
      <c r="A689" s="3">
        <v>688</v>
      </c>
      <c r="B689" s="3" t="s">
        <v>49</v>
      </c>
      <c r="C689" s="33">
        <v>45433</v>
      </c>
      <c r="D689" s="3" t="s">
        <v>15</v>
      </c>
      <c r="E689" s="3" t="s">
        <v>16</v>
      </c>
      <c r="F689" s="3" t="s">
        <v>25</v>
      </c>
      <c r="G689" s="3">
        <v>76</v>
      </c>
      <c r="H689" s="3" t="s">
        <v>17</v>
      </c>
      <c r="I689" s="23">
        <v>5.2399997711181596</v>
      </c>
      <c r="J689" s="4">
        <v>2433.89990234375</v>
      </c>
      <c r="K689" s="4">
        <v>70136.53</v>
      </c>
      <c r="L689" s="4">
        <v>46932005990</v>
      </c>
      <c r="M689" s="3">
        <v>-1.84</v>
      </c>
    </row>
    <row r="690" spans="1:13" x14ac:dyDescent="0.25">
      <c r="A690" s="3">
        <v>689</v>
      </c>
      <c r="B690" s="3" t="s">
        <v>49</v>
      </c>
      <c r="C690" s="33">
        <v>45434</v>
      </c>
      <c r="D690" s="3" t="s">
        <v>18</v>
      </c>
      <c r="E690" s="3" t="s">
        <v>16</v>
      </c>
      <c r="F690" s="3" t="s">
        <v>25</v>
      </c>
      <c r="G690" s="3">
        <v>76</v>
      </c>
      <c r="H690" s="3" t="s">
        <v>17</v>
      </c>
      <c r="I690" s="23">
        <v>5.2449998855590803</v>
      </c>
      <c r="J690" s="4">
        <v>2421.69995117187</v>
      </c>
      <c r="K690" s="4">
        <v>69122.34</v>
      </c>
      <c r="L690" s="4">
        <v>32802561717</v>
      </c>
      <c r="M690" s="3">
        <v>-1.45</v>
      </c>
    </row>
    <row r="691" spans="1:13" x14ac:dyDescent="0.25">
      <c r="A691" s="3">
        <v>690</v>
      </c>
      <c r="B691" s="3" t="s">
        <v>49</v>
      </c>
      <c r="C691" s="33">
        <v>45435</v>
      </c>
      <c r="D691" s="3" t="s">
        <v>19</v>
      </c>
      <c r="E691" s="3" t="s">
        <v>16</v>
      </c>
      <c r="F691" s="3" t="s">
        <v>25</v>
      </c>
      <c r="G691" s="3">
        <v>76</v>
      </c>
      <c r="H691" s="3" t="s">
        <v>17</v>
      </c>
      <c r="I691" s="23">
        <v>5.2449998855590803</v>
      </c>
      <c r="J691" s="4">
        <v>2389.19995117187</v>
      </c>
      <c r="K691" s="4">
        <v>67929.56</v>
      </c>
      <c r="L691" s="4">
        <v>41895680979</v>
      </c>
      <c r="M691" s="3">
        <v>-1.73</v>
      </c>
    </row>
    <row r="692" spans="1:13" x14ac:dyDescent="0.25">
      <c r="A692" s="3">
        <v>691</v>
      </c>
      <c r="B692" s="3" t="s">
        <v>49</v>
      </c>
      <c r="C692" s="33">
        <v>45436</v>
      </c>
      <c r="D692" s="3" t="s">
        <v>20</v>
      </c>
      <c r="E692" s="3" t="s">
        <v>16</v>
      </c>
      <c r="F692" s="3" t="s">
        <v>24</v>
      </c>
      <c r="G692" s="3">
        <v>74</v>
      </c>
      <c r="H692" s="3" t="s">
        <v>17</v>
      </c>
      <c r="I692" s="23">
        <v>5.2449998855590803</v>
      </c>
      <c r="J692" s="4">
        <v>2335</v>
      </c>
      <c r="K692" s="4">
        <v>68526.100000000006</v>
      </c>
      <c r="L692" s="4">
        <v>29197308153</v>
      </c>
      <c r="M692" s="3">
        <v>0.88</v>
      </c>
    </row>
    <row r="693" spans="1:13" x14ac:dyDescent="0.25">
      <c r="A693" s="3">
        <v>692</v>
      </c>
      <c r="B693" s="3" t="s">
        <v>49</v>
      </c>
      <c r="C693" s="33">
        <v>45437</v>
      </c>
      <c r="D693" s="3" t="s">
        <v>21</v>
      </c>
      <c r="E693" s="3" t="s">
        <v>13</v>
      </c>
      <c r="F693" s="3" t="s">
        <v>25</v>
      </c>
      <c r="G693" s="3">
        <v>76</v>
      </c>
      <c r="H693" s="3" t="s">
        <v>17</v>
      </c>
      <c r="I693" s="23">
        <v>5.2449998855590803</v>
      </c>
      <c r="J693" s="4">
        <v>2332.5</v>
      </c>
      <c r="K693" s="4">
        <v>69265.95</v>
      </c>
      <c r="L693" s="4">
        <v>15473071741</v>
      </c>
      <c r="M693" s="3">
        <v>1.08</v>
      </c>
    </row>
    <row r="694" spans="1:13" x14ac:dyDescent="0.25">
      <c r="A694" s="3">
        <v>693</v>
      </c>
      <c r="B694" s="3" t="s">
        <v>49</v>
      </c>
      <c r="C694" s="33">
        <v>45438</v>
      </c>
      <c r="D694" s="3" t="s">
        <v>22</v>
      </c>
      <c r="E694" s="3" t="s">
        <v>13</v>
      </c>
      <c r="F694" s="3" t="s">
        <v>25</v>
      </c>
      <c r="G694" s="3">
        <v>75</v>
      </c>
      <c r="H694" s="3" t="s">
        <v>17</v>
      </c>
      <c r="I694" s="23">
        <v>5.2449998855590803</v>
      </c>
      <c r="J694" s="4">
        <v>2335</v>
      </c>
      <c r="K694" s="4">
        <v>68518.09</v>
      </c>
      <c r="L694" s="4">
        <v>15628433737</v>
      </c>
      <c r="M694" s="3">
        <v>-1.08</v>
      </c>
    </row>
    <row r="695" spans="1:13" x14ac:dyDescent="0.25">
      <c r="A695" s="3">
        <v>694</v>
      </c>
      <c r="B695" s="3" t="s">
        <v>49</v>
      </c>
      <c r="C695" s="33">
        <v>45439</v>
      </c>
      <c r="D695" s="3" t="s">
        <v>12</v>
      </c>
      <c r="E695" s="3" t="s">
        <v>16</v>
      </c>
      <c r="F695" s="3" t="s">
        <v>24</v>
      </c>
      <c r="G695" s="3">
        <v>74</v>
      </c>
      <c r="H695" s="3" t="s">
        <v>17</v>
      </c>
      <c r="I695" s="23">
        <v>5.2449998855590803</v>
      </c>
      <c r="J695" s="4">
        <v>2332.5</v>
      </c>
      <c r="K695" s="4">
        <v>69394.55</v>
      </c>
      <c r="L695" s="4">
        <v>25870990717</v>
      </c>
      <c r="M695" s="3">
        <v>1.28</v>
      </c>
    </row>
    <row r="696" spans="1:13" x14ac:dyDescent="0.25">
      <c r="A696" s="3">
        <v>695</v>
      </c>
      <c r="B696" s="3" t="s">
        <v>49</v>
      </c>
      <c r="C696" s="33">
        <v>45440</v>
      </c>
      <c r="D696" s="3" t="s">
        <v>15</v>
      </c>
      <c r="E696" s="3" t="s">
        <v>16</v>
      </c>
      <c r="F696" s="3" t="s">
        <v>24</v>
      </c>
      <c r="G696" s="3">
        <v>72</v>
      </c>
      <c r="H696" s="3" t="s">
        <v>17</v>
      </c>
      <c r="I696" s="23">
        <v>5.2480001449584899</v>
      </c>
      <c r="J696" s="4">
        <v>2335</v>
      </c>
      <c r="K696" s="4">
        <v>68296.22</v>
      </c>
      <c r="L696" s="4">
        <v>32722265965</v>
      </c>
      <c r="M696" s="3">
        <v>-1.58</v>
      </c>
    </row>
    <row r="697" spans="1:13" x14ac:dyDescent="0.25">
      <c r="A697" s="3">
        <v>696</v>
      </c>
      <c r="B697" s="3" t="s">
        <v>49</v>
      </c>
      <c r="C697" s="33">
        <v>45441</v>
      </c>
      <c r="D697" s="3" t="s">
        <v>18</v>
      </c>
      <c r="E697" s="3" t="s">
        <v>16</v>
      </c>
      <c r="F697" s="3" t="s">
        <v>24</v>
      </c>
      <c r="G697" s="3">
        <v>72</v>
      </c>
      <c r="H697" s="3" t="s">
        <v>17</v>
      </c>
      <c r="I697" s="23">
        <v>5.25</v>
      </c>
      <c r="J697" s="4">
        <v>2355.19995117187</v>
      </c>
      <c r="K697" s="4">
        <v>67578.09</v>
      </c>
      <c r="L697" s="4">
        <v>26707072906</v>
      </c>
      <c r="M697" s="3">
        <v>-1.05</v>
      </c>
    </row>
    <row r="698" spans="1:13" x14ac:dyDescent="0.25">
      <c r="A698" s="3">
        <v>697</v>
      </c>
      <c r="B698" s="3" t="s">
        <v>49</v>
      </c>
      <c r="C698" s="33">
        <v>45442</v>
      </c>
      <c r="D698" s="3" t="s">
        <v>19</v>
      </c>
      <c r="E698" s="3" t="s">
        <v>16</v>
      </c>
      <c r="F698" s="3" t="s">
        <v>24</v>
      </c>
      <c r="G698" s="3">
        <v>73</v>
      </c>
      <c r="H698" s="3" t="s">
        <v>17</v>
      </c>
      <c r="I698" s="23">
        <v>5.2480001449584899</v>
      </c>
      <c r="J698" s="4">
        <v>2340.30004882812</v>
      </c>
      <c r="K698" s="4">
        <v>68364.990000000005</v>
      </c>
      <c r="L698" s="4">
        <v>29509712534</v>
      </c>
      <c r="M698" s="3">
        <v>1.1599999999999999</v>
      </c>
    </row>
    <row r="699" spans="1:13" x14ac:dyDescent="0.25">
      <c r="A699" s="3">
        <v>698</v>
      </c>
      <c r="B699" s="3" t="s">
        <v>49</v>
      </c>
      <c r="C699" s="33">
        <v>45443</v>
      </c>
      <c r="D699" s="3" t="s">
        <v>20</v>
      </c>
      <c r="E699" s="3" t="s">
        <v>16</v>
      </c>
      <c r="F699" s="3" t="s">
        <v>24</v>
      </c>
      <c r="G699" s="3">
        <v>73</v>
      </c>
      <c r="H699" s="3" t="s">
        <v>17</v>
      </c>
      <c r="I699" s="23">
        <v>5.2449998855590803</v>
      </c>
      <c r="J699" s="4">
        <v>2342.89990234375</v>
      </c>
      <c r="K699" s="4">
        <v>67491.41</v>
      </c>
      <c r="L699" s="4">
        <v>27387283769</v>
      </c>
      <c r="M699" s="3">
        <v>-1.28</v>
      </c>
    </row>
    <row r="700" spans="1:13" x14ac:dyDescent="0.25">
      <c r="A700" s="3">
        <v>699</v>
      </c>
      <c r="B700" s="3" t="s">
        <v>50</v>
      </c>
      <c r="C700" s="33">
        <v>45444</v>
      </c>
      <c r="D700" s="3" t="s">
        <v>21</v>
      </c>
      <c r="E700" s="3" t="s">
        <v>13</v>
      </c>
      <c r="F700" s="3" t="s">
        <v>24</v>
      </c>
      <c r="G700" s="3">
        <v>72</v>
      </c>
      <c r="H700" s="3" t="s">
        <v>17</v>
      </c>
      <c r="I700" s="23">
        <v>5.2449998855590803</v>
      </c>
      <c r="J700" s="4">
        <v>2322.89990234375</v>
      </c>
      <c r="K700" s="4">
        <v>67706.94</v>
      </c>
      <c r="L700" s="4">
        <v>11641495604</v>
      </c>
      <c r="M700" s="3">
        <v>0.32</v>
      </c>
    </row>
    <row r="701" spans="1:13" x14ac:dyDescent="0.25">
      <c r="A701" s="3">
        <v>700</v>
      </c>
      <c r="B701" s="3" t="s">
        <v>50</v>
      </c>
      <c r="C701" s="33">
        <v>45445</v>
      </c>
      <c r="D701" s="3" t="s">
        <v>22</v>
      </c>
      <c r="E701" s="3" t="s">
        <v>13</v>
      </c>
      <c r="F701" s="3" t="s">
        <v>24</v>
      </c>
      <c r="G701" s="3">
        <v>73</v>
      </c>
      <c r="H701" s="3" t="s">
        <v>17</v>
      </c>
      <c r="I701" s="23">
        <v>5.2449998855590803</v>
      </c>
      <c r="J701" s="4">
        <v>2342.89990234375</v>
      </c>
      <c r="K701" s="4">
        <v>67751.600000000006</v>
      </c>
      <c r="L701" s="4">
        <v>17110588415</v>
      </c>
      <c r="M701" s="3">
        <v>7.0000000000000007E-2</v>
      </c>
    </row>
    <row r="702" spans="1:13" x14ac:dyDescent="0.25">
      <c r="A702" s="3">
        <v>701</v>
      </c>
      <c r="B702" s="3" t="s">
        <v>50</v>
      </c>
      <c r="C702" s="33">
        <v>45446</v>
      </c>
      <c r="D702" s="3" t="s">
        <v>12</v>
      </c>
      <c r="E702" s="3" t="s">
        <v>16</v>
      </c>
      <c r="F702" s="3" t="s">
        <v>24</v>
      </c>
      <c r="G702" s="3">
        <v>73</v>
      </c>
      <c r="H702" s="3" t="s">
        <v>17</v>
      </c>
      <c r="I702" s="23">
        <v>5.2430000305175701</v>
      </c>
      <c r="J702" s="4">
        <v>2322.89990234375</v>
      </c>
      <c r="K702" s="4">
        <v>68804.78</v>
      </c>
      <c r="L702" s="4">
        <v>32401285324</v>
      </c>
      <c r="M702" s="3">
        <v>1.55</v>
      </c>
    </row>
    <row r="703" spans="1:13" x14ac:dyDescent="0.25">
      <c r="A703" s="3">
        <v>702</v>
      </c>
      <c r="B703" s="3" t="s">
        <v>50</v>
      </c>
      <c r="C703" s="33">
        <v>45447</v>
      </c>
      <c r="D703" s="3" t="s">
        <v>15</v>
      </c>
      <c r="E703" s="3" t="s">
        <v>16</v>
      </c>
      <c r="F703" s="3" t="s">
        <v>24</v>
      </c>
      <c r="G703" s="3">
        <v>73</v>
      </c>
      <c r="H703" s="3" t="s">
        <v>17</v>
      </c>
      <c r="I703" s="23">
        <v>5.2399997711181596</v>
      </c>
      <c r="J703" s="4">
        <v>2346.60009765625</v>
      </c>
      <c r="K703" s="4">
        <v>70567.77</v>
      </c>
      <c r="L703" s="4">
        <v>33149696545</v>
      </c>
      <c r="M703" s="3">
        <v>2.56</v>
      </c>
    </row>
    <row r="704" spans="1:13" x14ac:dyDescent="0.25">
      <c r="A704" s="3">
        <v>703</v>
      </c>
      <c r="B704" s="3" t="s">
        <v>50</v>
      </c>
      <c r="C704" s="33">
        <v>45448</v>
      </c>
      <c r="D704" s="3" t="s">
        <v>18</v>
      </c>
      <c r="E704" s="3" t="s">
        <v>16</v>
      </c>
      <c r="F704" s="3" t="s">
        <v>25</v>
      </c>
      <c r="G704" s="3">
        <v>75</v>
      </c>
      <c r="H704" s="3" t="s">
        <v>17</v>
      </c>
      <c r="I704" s="23">
        <v>5.2399997711181596</v>
      </c>
      <c r="J704" s="4">
        <v>2325.5</v>
      </c>
      <c r="K704" s="4">
        <v>71082.820000000007</v>
      </c>
      <c r="L704" s="4">
        <v>32810771409</v>
      </c>
      <c r="M704" s="3">
        <v>0.73</v>
      </c>
    </row>
    <row r="705" spans="1:13" x14ac:dyDescent="0.25">
      <c r="A705" s="3">
        <v>704</v>
      </c>
      <c r="B705" s="3" t="s">
        <v>50</v>
      </c>
      <c r="C705" s="33">
        <v>45449</v>
      </c>
      <c r="D705" s="3" t="s">
        <v>19</v>
      </c>
      <c r="E705" s="3" t="s">
        <v>16</v>
      </c>
      <c r="F705" s="3" t="s">
        <v>25</v>
      </c>
      <c r="G705" s="3">
        <v>78</v>
      </c>
      <c r="H705" s="3" t="s">
        <v>17</v>
      </c>
      <c r="I705" s="23">
        <v>5.2329998016357404</v>
      </c>
      <c r="J705" s="4">
        <v>2354.10009765625</v>
      </c>
      <c r="K705" s="4">
        <v>70757.16</v>
      </c>
      <c r="L705" s="4">
        <v>25223152007</v>
      </c>
      <c r="M705" s="3">
        <v>-0.46</v>
      </c>
    </row>
    <row r="706" spans="1:13" x14ac:dyDescent="0.25">
      <c r="A706" s="3">
        <v>705</v>
      </c>
      <c r="B706" s="3" t="s">
        <v>50</v>
      </c>
      <c r="C706" s="33">
        <v>45450</v>
      </c>
      <c r="D706" s="3" t="s">
        <v>20</v>
      </c>
      <c r="E706" s="3" t="s">
        <v>16</v>
      </c>
      <c r="F706" s="3" t="s">
        <v>25</v>
      </c>
      <c r="G706" s="3">
        <v>77</v>
      </c>
      <c r="H706" s="3" t="s">
        <v>17</v>
      </c>
      <c r="I706" s="23">
        <v>5.2379999160766602</v>
      </c>
      <c r="J706" s="4">
        <v>2370.30004882812</v>
      </c>
      <c r="K706" s="4">
        <v>69342.59</v>
      </c>
      <c r="L706" s="4">
        <v>36188381096</v>
      </c>
      <c r="M706" s="3">
        <v>-2</v>
      </c>
    </row>
    <row r="707" spans="1:13" x14ac:dyDescent="0.25">
      <c r="A707" s="3">
        <v>706</v>
      </c>
      <c r="B707" s="3" t="s">
        <v>50</v>
      </c>
      <c r="C707" s="33">
        <v>45451</v>
      </c>
      <c r="D707" s="3" t="s">
        <v>21</v>
      </c>
      <c r="E707" s="3" t="s">
        <v>13</v>
      </c>
      <c r="F707" s="3" t="s">
        <v>24</v>
      </c>
      <c r="G707" s="3">
        <v>72</v>
      </c>
      <c r="H707" s="3" t="s">
        <v>17</v>
      </c>
      <c r="I707" s="23">
        <v>5.2379999160766602</v>
      </c>
      <c r="J707" s="4">
        <v>2305.19995117187</v>
      </c>
      <c r="K707" s="4">
        <v>69305.77</v>
      </c>
      <c r="L707" s="4">
        <v>14262185861</v>
      </c>
      <c r="M707" s="3">
        <v>-0.05</v>
      </c>
    </row>
    <row r="708" spans="1:13" x14ac:dyDescent="0.25">
      <c r="A708" s="3">
        <v>707</v>
      </c>
      <c r="B708" s="3" t="s">
        <v>50</v>
      </c>
      <c r="C708" s="33">
        <v>45452</v>
      </c>
      <c r="D708" s="3" t="s">
        <v>22</v>
      </c>
      <c r="E708" s="3" t="s">
        <v>13</v>
      </c>
      <c r="F708" s="3" t="s">
        <v>25</v>
      </c>
      <c r="G708" s="3">
        <v>75</v>
      </c>
      <c r="H708" s="3" t="s">
        <v>17</v>
      </c>
      <c r="I708" s="23">
        <v>5.2379999160766602</v>
      </c>
      <c r="J708" s="4">
        <v>2370.30004882812</v>
      </c>
      <c r="K708" s="4">
        <v>69647.990000000005</v>
      </c>
      <c r="L708" s="4">
        <v>13534028500</v>
      </c>
      <c r="M708" s="3">
        <v>0.49</v>
      </c>
    </row>
    <row r="709" spans="1:13" x14ac:dyDescent="0.25">
      <c r="A709" s="3">
        <v>708</v>
      </c>
      <c r="B709" s="3" t="s">
        <v>50</v>
      </c>
      <c r="C709" s="33">
        <v>45453</v>
      </c>
      <c r="D709" s="3" t="s">
        <v>12</v>
      </c>
      <c r="E709" s="3" t="s">
        <v>16</v>
      </c>
      <c r="F709" s="3" t="s">
        <v>24</v>
      </c>
      <c r="G709" s="3">
        <v>72</v>
      </c>
      <c r="H709" s="3" t="s">
        <v>17</v>
      </c>
      <c r="I709" s="23">
        <v>5.2329998016357404</v>
      </c>
      <c r="J709" s="4">
        <v>2305.19995117187</v>
      </c>
      <c r="K709" s="4">
        <v>69512.28</v>
      </c>
      <c r="L709" s="4">
        <v>20597699541</v>
      </c>
      <c r="M709" s="3">
        <v>-0.19</v>
      </c>
    </row>
    <row r="710" spans="1:13" x14ac:dyDescent="0.25">
      <c r="A710" s="3">
        <v>709</v>
      </c>
      <c r="B710" s="3" t="s">
        <v>50</v>
      </c>
      <c r="C710" s="33">
        <v>45454</v>
      </c>
      <c r="D710" s="3" t="s">
        <v>15</v>
      </c>
      <c r="E710" s="3" t="s">
        <v>16</v>
      </c>
      <c r="F710" s="3" t="s">
        <v>24</v>
      </c>
      <c r="G710" s="3">
        <v>74</v>
      </c>
      <c r="H710" s="3" t="s">
        <v>17</v>
      </c>
      <c r="I710" s="23">
        <v>5.2449998855590803</v>
      </c>
      <c r="J710" s="4">
        <v>2307.69995117187</v>
      </c>
      <c r="K710" s="4">
        <v>67332.03</v>
      </c>
      <c r="L710" s="4">
        <v>37116136345</v>
      </c>
      <c r="M710" s="3">
        <v>-3.14</v>
      </c>
    </row>
    <row r="711" spans="1:13" x14ac:dyDescent="0.25">
      <c r="A711" s="3">
        <v>710</v>
      </c>
      <c r="B711" s="3" t="s">
        <v>50</v>
      </c>
      <c r="C711" s="33">
        <v>45455</v>
      </c>
      <c r="D711" s="3" t="s">
        <v>18</v>
      </c>
      <c r="E711" s="3" t="s">
        <v>16</v>
      </c>
      <c r="F711" s="3" t="s">
        <v>24</v>
      </c>
      <c r="G711" s="3">
        <v>72</v>
      </c>
      <c r="H711" s="3" t="s">
        <v>17</v>
      </c>
      <c r="I711" s="23">
        <v>5.2430000305175701</v>
      </c>
      <c r="J711" s="4">
        <v>2307.5</v>
      </c>
      <c r="K711" s="4">
        <v>68241.19</v>
      </c>
      <c r="L711" s="4">
        <v>34497940694</v>
      </c>
      <c r="M711" s="3">
        <v>1.35</v>
      </c>
    </row>
    <row r="712" spans="1:13" x14ac:dyDescent="0.25">
      <c r="A712" s="3">
        <v>711</v>
      </c>
      <c r="B712" s="3" t="s">
        <v>50</v>
      </c>
      <c r="C712" s="33">
        <v>45456</v>
      </c>
      <c r="D712" s="3" t="s">
        <v>19</v>
      </c>
      <c r="E712" s="3" t="s">
        <v>16</v>
      </c>
      <c r="F712" s="3" t="s">
        <v>24</v>
      </c>
      <c r="G712" s="3">
        <v>70</v>
      </c>
      <c r="H712" s="3" t="s">
        <v>17</v>
      </c>
      <c r="I712" s="23">
        <v>5.2399997711181596</v>
      </c>
      <c r="J712" s="4">
        <v>2336</v>
      </c>
      <c r="K712" s="4">
        <v>66756.399999999994</v>
      </c>
      <c r="L712" s="4">
        <v>28955204146</v>
      </c>
      <c r="M712" s="3">
        <v>-2.1800000000000002</v>
      </c>
    </row>
    <row r="713" spans="1:13" x14ac:dyDescent="0.25">
      <c r="A713" s="3">
        <v>712</v>
      </c>
      <c r="B713" s="3" t="s">
        <v>50</v>
      </c>
      <c r="C713" s="33">
        <v>45457</v>
      </c>
      <c r="D713" s="3" t="s">
        <v>20</v>
      </c>
      <c r="E713" s="3" t="s">
        <v>16</v>
      </c>
      <c r="F713" s="3" t="s">
        <v>24</v>
      </c>
      <c r="G713" s="3">
        <v>74</v>
      </c>
      <c r="H713" s="3" t="s">
        <v>17</v>
      </c>
      <c r="I713" s="23">
        <v>5.2399997711181596</v>
      </c>
      <c r="J713" s="4">
        <v>2300.19995117187</v>
      </c>
      <c r="K713" s="4">
        <v>66011.09</v>
      </c>
      <c r="L713" s="4">
        <v>27403884779</v>
      </c>
      <c r="M713" s="3">
        <v>-1.1200000000000001</v>
      </c>
    </row>
    <row r="714" spans="1:13" x14ac:dyDescent="0.25">
      <c r="A714" s="3">
        <v>713</v>
      </c>
      <c r="B714" s="3" t="s">
        <v>50</v>
      </c>
      <c r="C714" s="33">
        <v>45458</v>
      </c>
      <c r="D714" s="3" t="s">
        <v>21</v>
      </c>
      <c r="E714" s="3" t="s">
        <v>13</v>
      </c>
      <c r="F714" s="3" t="s">
        <v>24</v>
      </c>
      <c r="G714" s="3">
        <v>74</v>
      </c>
      <c r="H714" s="3">
        <v>15</v>
      </c>
      <c r="I714" s="23">
        <v>5.2399997711181596</v>
      </c>
      <c r="J714" s="4">
        <v>2331.39990234375</v>
      </c>
      <c r="K714" s="4">
        <v>66191</v>
      </c>
      <c r="L714" s="4">
        <v>14121265576</v>
      </c>
      <c r="M714" s="3">
        <v>0.27</v>
      </c>
    </row>
    <row r="715" spans="1:13" x14ac:dyDescent="0.25">
      <c r="A715" s="3">
        <v>714</v>
      </c>
      <c r="B715" s="3" t="s">
        <v>50</v>
      </c>
      <c r="C715" s="33">
        <v>45459</v>
      </c>
      <c r="D715" s="3" t="s">
        <v>22</v>
      </c>
      <c r="E715" s="3" t="s">
        <v>13</v>
      </c>
      <c r="F715" s="3" t="s">
        <v>24</v>
      </c>
      <c r="G715" s="3">
        <v>71</v>
      </c>
      <c r="H715" s="3" t="s">
        <v>17</v>
      </c>
      <c r="I715" s="23">
        <v>5.2399997711181596</v>
      </c>
      <c r="J715" s="4">
        <v>2300.19995117187</v>
      </c>
      <c r="K715" s="4">
        <v>66639.05</v>
      </c>
      <c r="L715" s="4">
        <v>13281140541</v>
      </c>
      <c r="M715" s="3">
        <v>0.68</v>
      </c>
    </row>
    <row r="716" spans="1:13" x14ac:dyDescent="0.25">
      <c r="A716" s="3">
        <v>715</v>
      </c>
      <c r="B716" s="3" t="s">
        <v>50</v>
      </c>
      <c r="C716" s="33">
        <v>45460</v>
      </c>
      <c r="D716" s="3" t="s">
        <v>12</v>
      </c>
      <c r="E716" s="3" t="s">
        <v>16</v>
      </c>
      <c r="F716" s="3" t="s">
        <v>24</v>
      </c>
      <c r="G716" s="3">
        <v>71</v>
      </c>
      <c r="H716" s="3" t="s">
        <v>17</v>
      </c>
      <c r="I716" s="23">
        <v>5.2430000305175701</v>
      </c>
      <c r="J716" s="4">
        <v>2331.39990234375</v>
      </c>
      <c r="K716" s="4">
        <v>66490.3</v>
      </c>
      <c r="L716" s="4">
        <v>30006354476</v>
      </c>
      <c r="M716" s="3">
        <v>-0.22</v>
      </c>
    </row>
    <row r="717" spans="1:13" x14ac:dyDescent="0.25">
      <c r="A717" s="3">
        <v>716</v>
      </c>
      <c r="B717" s="3" t="s">
        <v>50</v>
      </c>
      <c r="C717" s="33">
        <v>45461</v>
      </c>
      <c r="D717" s="3" t="s">
        <v>15</v>
      </c>
      <c r="E717" s="3" t="s">
        <v>16</v>
      </c>
      <c r="F717" s="3" t="s">
        <v>24</v>
      </c>
      <c r="G717" s="3">
        <v>74</v>
      </c>
      <c r="H717" s="3" t="s">
        <v>17</v>
      </c>
      <c r="I717" s="23">
        <v>5.2350001335143999</v>
      </c>
      <c r="J717" s="4">
        <v>2312.39990234375</v>
      </c>
      <c r="K717" s="4">
        <v>65140.75</v>
      </c>
      <c r="L717" s="4">
        <v>39481285950</v>
      </c>
      <c r="M717" s="3">
        <v>-2.0299999999999998</v>
      </c>
    </row>
    <row r="718" spans="1:13" x14ac:dyDescent="0.25">
      <c r="A718" s="3">
        <v>717</v>
      </c>
      <c r="B718" s="3" t="s">
        <v>50</v>
      </c>
      <c r="C718" s="33">
        <v>45462</v>
      </c>
      <c r="D718" s="3" t="s">
        <v>18</v>
      </c>
      <c r="E718" s="3" t="s">
        <v>16</v>
      </c>
      <c r="F718" s="3" t="s">
        <v>24</v>
      </c>
      <c r="G718" s="3">
        <v>64</v>
      </c>
      <c r="H718" s="3" t="s">
        <v>17</v>
      </c>
      <c r="I718" s="23">
        <v>5.2350001335143999</v>
      </c>
      <c r="J718" s="4">
        <v>2330.39990234375</v>
      </c>
      <c r="K718" s="4">
        <v>64960.3</v>
      </c>
      <c r="L718" s="4">
        <v>21103423504</v>
      </c>
      <c r="M718" s="3">
        <v>-0.28000000000000003</v>
      </c>
    </row>
    <row r="719" spans="1:13" x14ac:dyDescent="0.25">
      <c r="A719" s="3">
        <v>718</v>
      </c>
      <c r="B719" s="3" t="s">
        <v>50</v>
      </c>
      <c r="C719" s="33">
        <v>45463</v>
      </c>
      <c r="D719" s="3" t="s">
        <v>19</v>
      </c>
      <c r="E719" s="3" t="s">
        <v>16</v>
      </c>
      <c r="F719" s="3" t="s">
        <v>24</v>
      </c>
      <c r="G719" s="3">
        <v>60</v>
      </c>
      <c r="H719" s="3" t="s">
        <v>17</v>
      </c>
      <c r="I719" s="23">
        <v>5.2249999046325604</v>
      </c>
      <c r="J719" s="4">
        <v>2312.39990234375</v>
      </c>
      <c r="K719" s="4">
        <v>64828.66</v>
      </c>
      <c r="L719" s="4">
        <v>25641109124</v>
      </c>
      <c r="M719" s="3">
        <v>-0.2</v>
      </c>
    </row>
    <row r="720" spans="1:13" x14ac:dyDescent="0.25">
      <c r="A720" s="3">
        <v>719</v>
      </c>
      <c r="B720" s="3" t="s">
        <v>50</v>
      </c>
      <c r="C720" s="33">
        <v>45464</v>
      </c>
      <c r="D720" s="3" t="s">
        <v>20</v>
      </c>
      <c r="E720" s="3" t="s">
        <v>16</v>
      </c>
      <c r="F720" s="3" t="s">
        <v>24</v>
      </c>
      <c r="G720" s="3">
        <v>63</v>
      </c>
      <c r="H720" s="3" t="s">
        <v>17</v>
      </c>
      <c r="I720" s="23">
        <v>5.2150001525878897</v>
      </c>
      <c r="J720" s="4">
        <v>2353.80004882812</v>
      </c>
      <c r="K720" s="4">
        <v>64096.2</v>
      </c>
      <c r="L720" s="4">
        <v>26188171739</v>
      </c>
      <c r="M720" s="3">
        <v>-1.1299999999999999</v>
      </c>
    </row>
    <row r="721" spans="1:13" x14ac:dyDescent="0.25">
      <c r="A721" s="3">
        <v>720</v>
      </c>
      <c r="B721" s="3" t="s">
        <v>50</v>
      </c>
      <c r="C721" s="33">
        <v>45465</v>
      </c>
      <c r="D721" s="3" t="s">
        <v>21</v>
      </c>
      <c r="E721" s="3" t="s">
        <v>13</v>
      </c>
      <c r="F721" s="3" t="s">
        <v>24</v>
      </c>
      <c r="G721" s="3">
        <v>53</v>
      </c>
      <c r="H721" s="3" t="s">
        <v>17</v>
      </c>
      <c r="I721" s="23">
        <v>5.2150001525878897</v>
      </c>
      <c r="J721" s="4">
        <v>2316.39990234375</v>
      </c>
      <c r="K721" s="4">
        <v>64252.58</v>
      </c>
      <c r="L721" s="4">
        <v>9858198793</v>
      </c>
      <c r="M721" s="3">
        <v>0.24</v>
      </c>
    </row>
    <row r="722" spans="1:13" x14ac:dyDescent="0.25">
      <c r="A722" s="3">
        <v>721</v>
      </c>
      <c r="B722" s="3" t="s">
        <v>50</v>
      </c>
      <c r="C722" s="33">
        <v>45466</v>
      </c>
      <c r="D722" s="3" t="s">
        <v>22</v>
      </c>
      <c r="E722" s="3" t="s">
        <v>13</v>
      </c>
      <c r="F722" s="3" t="s">
        <v>24</v>
      </c>
      <c r="G722" s="3">
        <v>55</v>
      </c>
      <c r="H722" s="3" t="s">
        <v>17</v>
      </c>
      <c r="I722" s="23">
        <v>5.2150001525878897</v>
      </c>
      <c r="J722" s="4">
        <v>2353.80004882812</v>
      </c>
      <c r="K722" s="4">
        <v>63180.800000000003</v>
      </c>
      <c r="L722" s="4">
        <v>11170471802</v>
      </c>
      <c r="M722" s="3">
        <v>-1.67</v>
      </c>
    </row>
    <row r="723" spans="1:13" x14ac:dyDescent="0.25">
      <c r="A723" s="3">
        <v>722</v>
      </c>
      <c r="B723" s="3" t="s">
        <v>50</v>
      </c>
      <c r="C723" s="33">
        <v>45467</v>
      </c>
      <c r="D723" s="3" t="s">
        <v>12</v>
      </c>
      <c r="E723" s="3" t="s">
        <v>16</v>
      </c>
      <c r="F723" s="3" t="s">
        <v>24</v>
      </c>
      <c r="G723" s="3">
        <v>51</v>
      </c>
      <c r="H723" s="3" t="s">
        <v>17</v>
      </c>
      <c r="I723" s="23">
        <v>5.21000003814697</v>
      </c>
      <c r="J723" s="4">
        <v>2316.39990234375</v>
      </c>
      <c r="K723" s="4">
        <v>60277.41</v>
      </c>
      <c r="L723" s="4">
        <v>43152133651</v>
      </c>
      <c r="M723" s="3">
        <v>-4.5999999999999996</v>
      </c>
    </row>
    <row r="724" spans="1:13" x14ac:dyDescent="0.25">
      <c r="A724" s="3">
        <v>723</v>
      </c>
      <c r="B724" s="3" t="s">
        <v>50</v>
      </c>
      <c r="C724" s="33">
        <v>45468</v>
      </c>
      <c r="D724" s="3" t="s">
        <v>15</v>
      </c>
      <c r="E724" s="3" t="s">
        <v>16</v>
      </c>
      <c r="F724" s="3" t="s">
        <v>23</v>
      </c>
      <c r="G724" s="3">
        <v>30</v>
      </c>
      <c r="H724" s="3" t="s">
        <v>17</v>
      </c>
      <c r="I724" s="23">
        <v>5.22300004959106</v>
      </c>
      <c r="J724" s="4">
        <v>2330</v>
      </c>
      <c r="K724" s="4">
        <v>61804.639999999999</v>
      </c>
      <c r="L724" s="4">
        <v>29201215431</v>
      </c>
      <c r="M724" s="3">
        <v>2.5299999999999998</v>
      </c>
    </row>
    <row r="725" spans="1:13" x14ac:dyDescent="0.25">
      <c r="A725" s="3">
        <v>724</v>
      </c>
      <c r="B725" s="3" t="s">
        <v>50</v>
      </c>
      <c r="C725" s="33">
        <v>45469</v>
      </c>
      <c r="D725" s="3" t="s">
        <v>18</v>
      </c>
      <c r="E725" s="3" t="s">
        <v>16</v>
      </c>
      <c r="F725" s="3" t="s">
        <v>23</v>
      </c>
      <c r="G725" s="3">
        <v>46</v>
      </c>
      <c r="H725" s="3" t="s">
        <v>17</v>
      </c>
      <c r="I725" s="23">
        <v>5.2300000190734801</v>
      </c>
      <c r="J725" s="4">
        <v>2316.60009765625</v>
      </c>
      <c r="K725" s="4">
        <v>60811.28</v>
      </c>
      <c r="L725" s="4">
        <v>22506003064</v>
      </c>
      <c r="M725" s="3">
        <v>-1.61</v>
      </c>
    </row>
    <row r="726" spans="1:13" x14ac:dyDescent="0.25">
      <c r="A726" s="3">
        <v>725</v>
      </c>
      <c r="B726" s="3" t="s">
        <v>50</v>
      </c>
      <c r="C726" s="33">
        <v>45470</v>
      </c>
      <c r="D726" s="3" t="s">
        <v>19</v>
      </c>
      <c r="E726" s="3" t="s">
        <v>16</v>
      </c>
      <c r="F726" s="3" t="s">
        <v>23</v>
      </c>
      <c r="G726" s="3">
        <v>40</v>
      </c>
      <c r="H726" s="3" t="s">
        <v>17</v>
      </c>
      <c r="I726" s="23">
        <v>5.22300004959106</v>
      </c>
      <c r="J726" s="4">
        <v>2299.19995117187</v>
      </c>
      <c r="K726" s="4">
        <v>61604.800000000003</v>
      </c>
      <c r="L726" s="4">
        <v>21231745045</v>
      </c>
      <c r="M726" s="3">
        <v>1.3</v>
      </c>
    </row>
    <row r="727" spans="1:13" x14ac:dyDescent="0.25">
      <c r="A727" s="3">
        <v>726</v>
      </c>
      <c r="B727" s="3" t="s">
        <v>50</v>
      </c>
      <c r="C727" s="33">
        <v>45471</v>
      </c>
      <c r="D727" s="3" t="s">
        <v>20</v>
      </c>
      <c r="E727" s="3" t="s">
        <v>16</v>
      </c>
      <c r="F727" s="3" t="s">
        <v>23</v>
      </c>
      <c r="G727" s="3">
        <v>47</v>
      </c>
      <c r="H727" s="3" t="s">
        <v>17</v>
      </c>
      <c r="I727" s="23">
        <v>5.2129998207092196</v>
      </c>
      <c r="J727" s="4">
        <v>2324.5</v>
      </c>
      <c r="K727" s="4">
        <v>60320.14</v>
      </c>
      <c r="L727" s="4">
        <v>24952866877</v>
      </c>
      <c r="M727" s="3">
        <v>-2.09</v>
      </c>
    </row>
    <row r="728" spans="1:13" x14ac:dyDescent="0.25">
      <c r="A728" s="3">
        <v>727</v>
      </c>
      <c r="B728" s="3" t="s">
        <v>50</v>
      </c>
      <c r="C728" s="33">
        <v>45472</v>
      </c>
      <c r="D728" s="3" t="s">
        <v>21</v>
      </c>
      <c r="E728" s="3" t="s">
        <v>13</v>
      </c>
      <c r="F728" s="3" t="s">
        <v>23</v>
      </c>
      <c r="G728" s="3">
        <v>30</v>
      </c>
      <c r="H728" s="3" t="s">
        <v>17</v>
      </c>
      <c r="I728" s="23">
        <v>5.2129998207092196</v>
      </c>
      <c r="J728" s="4">
        <v>2327.69995117187</v>
      </c>
      <c r="K728" s="4">
        <v>60887.38</v>
      </c>
      <c r="L728" s="4">
        <v>12652903396</v>
      </c>
      <c r="M728" s="3">
        <v>0.94</v>
      </c>
    </row>
    <row r="729" spans="1:13" x14ac:dyDescent="0.25">
      <c r="A729" s="3">
        <v>728</v>
      </c>
      <c r="B729" s="3" t="s">
        <v>50</v>
      </c>
      <c r="C729" s="33">
        <v>45473</v>
      </c>
      <c r="D729" s="3" t="s">
        <v>22</v>
      </c>
      <c r="E729" s="3" t="s">
        <v>13</v>
      </c>
      <c r="F729" s="3" t="s">
        <v>23</v>
      </c>
      <c r="G729" s="3">
        <v>47</v>
      </c>
      <c r="H729" s="3" t="s">
        <v>17</v>
      </c>
      <c r="I729" s="23">
        <v>5.2129998207092196</v>
      </c>
      <c r="J729" s="4">
        <v>2324.5</v>
      </c>
      <c r="K729" s="4">
        <v>62678.29</v>
      </c>
      <c r="L729" s="4">
        <v>17333226409</v>
      </c>
      <c r="M729" s="3">
        <v>2.94</v>
      </c>
    </row>
    <row r="730" spans="1:13" x14ac:dyDescent="0.25">
      <c r="A730" s="3">
        <v>729</v>
      </c>
      <c r="B730" s="3" t="s">
        <v>51</v>
      </c>
      <c r="C730" s="33">
        <v>45474</v>
      </c>
      <c r="D730" s="3" t="s">
        <v>12</v>
      </c>
      <c r="E730" s="3" t="s">
        <v>16</v>
      </c>
      <c r="F730" s="3" t="s">
        <v>24</v>
      </c>
      <c r="G730" s="3">
        <v>53</v>
      </c>
      <c r="H730" s="3" t="s">
        <v>17</v>
      </c>
      <c r="I730" s="23">
        <v>5.2179999351501403</v>
      </c>
      <c r="J730" s="4">
        <v>2327.69995117187</v>
      </c>
      <c r="K730" s="4">
        <v>62851.98</v>
      </c>
      <c r="L730" s="4">
        <v>25468379421</v>
      </c>
      <c r="M730" s="3">
        <v>0.28000000000000003</v>
      </c>
    </row>
    <row r="731" spans="1:13" x14ac:dyDescent="0.25">
      <c r="A731" s="3">
        <v>730</v>
      </c>
      <c r="B731" s="3" t="s">
        <v>51</v>
      </c>
      <c r="C731" s="33">
        <v>45475</v>
      </c>
      <c r="D731" s="3" t="s">
        <v>15</v>
      </c>
      <c r="E731" s="3" t="s">
        <v>16</v>
      </c>
      <c r="F731" s="3" t="s">
        <v>24</v>
      </c>
      <c r="G731" s="3">
        <v>51</v>
      </c>
      <c r="H731" s="3" t="s">
        <v>17</v>
      </c>
      <c r="I731" s="23">
        <v>5.2280001640319798</v>
      </c>
      <c r="J731" s="4">
        <v>2327.60009765625</v>
      </c>
      <c r="K731" s="4">
        <v>62029.02</v>
      </c>
      <c r="L731" s="4">
        <v>20151616992</v>
      </c>
      <c r="M731" s="3">
        <v>-1.31</v>
      </c>
    </row>
    <row r="732" spans="1:13" x14ac:dyDescent="0.25">
      <c r="A732" s="3">
        <v>731</v>
      </c>
      <c r="B732" s="3" t="s">
        <v>51</v>
      </c>
      <c r="C732" s="33">
        <v>45476</v>
      </c>
      <c r="D732" s="3" t="s">
        <v>18</v>
      </c>
      <c r="E732" s="3" t="s">
        <v>16</v>
      </c>
      <c r="F732" s="3" t="s">
        <v>24</v>
      </c>
      <c r="G732" s="3">
        <v>50</v>
      </c>
      <c r="H732" s="3" t="s">
        <v>17</v>
      </c>
      <c r="I732" s="23">
        <v>5.2300000190734801</v>
      </c>
      <c r="J732" s="4">
        <v>2323</v>
      </c>
      <c r="K732" s="4">
        <v>60173.919999999998</v>
      </c>
      <c r="L732" s="4">
        <v>29756701685</v>
      </c>
      <c r="M732" s="3">
        <v>-2.99</v>
      </c>
    </row>
    <row r="733" spans="1:13" x14ac:dyDescent="0.25">
      <c r="A733" s="3">
        <v>732</v>
      </c>
      <c r="B733" s="3" t="s">
        <v>51</v>
      </c>
      <c r="C733" s="33">
        <v>45477</v>
      </c>
      <c r="D733" s="3" t="s">
        <v>19</v>
      </c>
      <c r="E733" s="3" t="s">
        <v>16</v>
      </c>
      <c r="F733" s="3" t="s">
        <v>23</v>
      </c>
      <c r="G733" s="3">
        <v>44</v>
      </c>
      <c r="H733" s="3" t="s">
        <v>17</v>
      </c>
      <c r="I733" s="23">
        <v>5.2300000190734801</v>
      </c>
      <c r="J733" s="4">
        <v>2359.80004882812</v>
      </c>
      <c r="K733" s="4">
        <v>56977.7</v>
      </c>
      <c r="L733" s="4">
        <v>41149609230</v>
      </c>
      <c r="M733" s="3">
        <v>-5.31</v>
      </c>
    </row>
    <row r="734" spans="1:13" x14ac:dyDescent="0.25">
      <c r="A734" s="3">
        <v>733</v>
      </c>
      <c r="B734" s="3" t="s">
        <v>51</v>
      </c>
      <c r="C734" s="33">
        <v>45478</v>
      </c>
      <c r="D734" s="3" t="s">
        <v>20</v>
      </c>
      <c r="E734" s="3" t="s">
        <v>16</v>
      </c>
      <c r="F734" s="3" t="s">
        <v>23</v>
      </c>
      <c r="G734" s="3">
        <v>29</v>
      </c>
      <c r="H734" s="3" t="s">
        <v>17</v>
      </c>
      <c r="I734" s="23">
        <v>5.2249999046325604</v>
      </c>
      <c r="J734" s="4">
        <v>2323</v>
      </c>
      <c r="K734" s="4">
        <v>56662.38</v>
      </c>
      <c r="L734" s="4">
        <v>55417544033</v>
      </c>
      <c r="M734" s="3">
        <v>-0.55000000000000004</v>
      </c>
    </row>
    <row r="735" spans="1:13" x14ac:dyDescent="0.25">
      <c r="A735" s="3">
        <v>734</v>
      </c>
      <c r="B735" s="3" t="s">
        <v>51</v>
      </c>
      <c r="C735" s="33">
        <v>45479</v>
      </c>
      <c r="D735" s="3" t="s">
        <v>21</v>
      </c>
      <c r="E735" s="3" t="s">
        <v>13</v>
      </c>
      <c r="F735" s="3" t="s">
        <v>23</v>
      </c>
      <c r="G735" s="3">
        <v>26</v>
      </c>
      <c r="H735" s="3" t="s">
        <v>17</v>
      </c>
      <c r="I735" s="23">
        <v>5.2249999046325604</v>
      </c>
      <c r="J735" s="4">
        <v>2388.5</v>
      </c>
      <c r="K735" s="4">
        <v>58303.54</v>
      </c>
      <c r="L735" s="4">
        <v>20610320577</v>
      </c>
      <c r="M735" s="3">
        <v>2.9</v>
      </c>
    </row>
    <row r="736" spans="1:13" x14ac:dyDescent="0.25">
      <c r="A736" s="3">
        <v>735</v>
      </c>
      <c r="B736" s="3" t="s">
        <v>51</v>
      </c>
      <c r="C736" s="33">
        <v>45480</v>
      </c>
      <c r="D736" s="3" t="s">
        <v>22</v>
      </c>
      <c r="E736" s="3" t="s">
        <v>13</v>
      </c>
      <c r="F736" s="3" t="s">
        <v>23</v>
      </c>
      <c r="G736" s="3">
        <v>29</v>
      </c>
      <c r="H736" s="3" t="s">
        <v>17</v>
      </c>
      <c r="I736" s="23">
        <v>5.2249999046325604</v>
      </c>
      <c r="J736" s="4">
        <v>2323</v>
      </c>
      <c r="K736" s="4">
        <v>55849.11</v>
      </c>
      <c r="L736" s="4">
        <v>20553359505</v>
      </c>
      <c r="M736" s="3">
        <v>-4.21</v>
      </c>
    </row>
    <row r="737" spans="1:13" x14ac:dyDescent="0.25">
      <c r="A737" s="3">
        <v>736</v>
      </c>
      <c r="B737" s="3" t="s">
        <v>51</v>
      </c>
      <c r="C737" s="33">
        <v>45481</v>
      </c>
      <c r="D737" s="3" t="s">
        <v>12</v>
      </c>
      <c r="E737" s="3" t="s">
        <v>16</v>
      </c>
      <c r="F737" s="3" t="s">
        <v>23</v>
      </c>
      <c r="G737" s="3">
        <v>28</v>
      </c>
      <c r="H737" s="3" t="s">
        <v>17</v>
      </c>
      <c r="I737" s="23">
        <v>5.2179999351501403</v>
      </c>
      <c r="J737" s="4">
        <v>2388.5</v>
      </c>
      <c r="K737" s="4">
        <v>56705.1</v>
      </c>
      <c r="L737" s="4">
        <v>39766159899</v>
      </c>
      <c r="M737" s="3">
        <v>1.53</v>
      </c>
    </row>
    <row r="738" spans="1:13" x14ac:dyDescent="0.25">
      <c r="A738" s="3">
        <v>737</v>
      </c>
      <c r="B738" s="3" t="s">
        <v>51</v>
      </c>
      <c r="C738" s="33">
        <v>45482</v>
      </c>
      <c r="D738" s="3" t="s">
        <v>15</v>
      </c>
      <c r="E738" s="3" t="s">
        <v>16</v>
      </c>
      <c r="F738" s="3" t="s">
        <v>23</v>
      </c>
      <c r="G738" s="3">
        <v>27</v>
      </c>
      <c r="H738" s="3" t="s">
        <v>17</v>
      </c>
      <c r="I738" s="23">
        <v>5.2249999046325604</v>
      </c>
      <c r="J738" s="4">
        <v>2355.19995117187</v>
      </c>
      <c r="K738" s="4">
        <v>58009.23</v>
      </c>
      <c r="L738" s="4">
        <v>27849512607</v>
      </c>
      <c r="M738" s="3">
        <v>2.2999999999999998</v>
      </c>
    </row>
    <row r="739" spans="1:13" x14ac:dyDescent="0.25">
      <c r="A739" s="3">
        <v>738</v>
      </c>
      <c r="B739" s="3" t="s">
        <v>51</v>
      </c>
      <c r="C739" s="33">
        <v>45483</v>
      </c>
      <c r="D739" s="3" t="s">
        <v>18</v>
      </c>
      <c r="E739" s="3" t="s">
        <v>16</v>
      </c>
      <c r="F739" s="3" t="s">
        <v>23</v>
      </c>
      <c r="G739" s="3">
        <v>28</v>
      </c>
      <c r="H739" s="3" t="s">
        <v>17</v>
      </c>
      <c r="I739" s="23">
        <v>5.2249999046325604</v>
      </c>
      <c r="J739" s="4">
        <v>2360.10009765625</v>
      </c>
      <c r="K739" s="4">
        <v>57742.5</v>
      </c>
      <c r="L739" s="4">
        <v>26175260526</v>
      </c>
      <c r="M739" s="3">
        <v>-0.46</v>
      </c>
    </row>
    <row r="740" spans="1:13" x14ac:dyDescent="0.25">
      <c r="A740" s="3">
        <v>739</v>
      </c>
      <c r="B740" s="3" t="s">
        <v>51</v>
      </c>
      <c r="C740" s="33">
        <v>45484</v>
      </c>
      <c r="D740" s="3" t="s">
        <v>19</v>
      </c>
      <c r="E740" s="3" t="s">
        <v>16</v>
      </c>
      <c r="F740" s="3" t="s">
        <v>23</v>
      </c>
      <c r="G740" s="3">
        <v>29</v>
      </c>
      <c r="H740" s="3" t="s">
        <v>17</v>
      </c>
      <c r="I740" s="23">
        <v>5.1979999542236301</v>
      </c>
      <c r="J740" s="4">
        <v>2372.19995117187</v>
      </c>
      <c r="K740" s="4">
        <v>57344.91</v>
      </c>
      <c r="L740" s="4">
        <v>28707803842</v>
      </c>
      <c r="M740" s="3">
        <v>-0.69</v>
      </c>
    </row>
    <row r="741" spans="1:13" x14ac:dyDescent="0.25">
      <c r="A741" s="3">
        <v>740</v>
      </c>
      <c r="B741" s="3" t="s">
        <v>51</v>
      </c>
      <c r="C741" s="33">
        <v>45485</v>
      </c>
      <c r="D741" s="3" t="s">
        <v>20</v>
      </c>
      <c r="E741" s="3" t="s">
        <v>16</v>
      </c>
      <c r="F741" s="3" t="s">
        <v>23</v>
      </c>
      <c r="G741" s="3">
        <v>25</v>
      </c>
      <c r="H741" s="3" t="s">
        <v>17</v>
      </c>
      <c r="I741" s="23">
        <v>5.1979999542236301</v>
      </c>
      <c r="J741" s="4">
        <v>2415</v>
      </c>
      <c r="K741" s="4">
        <v>57899.46</v>
      </c>
      <c r="L741" s="4">
        <v>25604805221</v>
      </c>
      <c r="M741" s="3">
        <v>0.97</v>
      </c>
    </row>
    <row r="742" spans="1:13" x14ac:dyDescent="0.25">
      <c r="A742" s="3">
        <v>741</v>
      </c>
      <c r="B742" s="3" t="s">
        <v>51</v>
      </c>
      <c r="C742" s="33">
        <v>45486</v>
      </c>
      <c r="D742" s="3" t="s">
        <v>21</v>
      </c>
      <c r="E742" s="3" t="s">
        <v>13</v>
      </c>
      <c r="F742" s="3" t="s">
        <v>23</v>
      </c>
      <c r="G742" s="3">
        <v>25</v>
      </c>
      <c r="H742" s="3" t="s">
        <v>17</v>
      </c>
      <c r="I742" s="23">
        <v>5.1979999542236301</v>
      </c>
      <c r="J742" s="4">
        <v>2414</v>
      </c>
      <c r="K742" s="4">
        <v>59231.95</v>
      </c>
      <c r="L742" s="4">
        <v>17080061806</v>
      </c>
      <c r="M742" s="3">
        <v>2.2999999999999998</v>
      </c>
    </row>
    <row r="743" spans="1:13" x14ac:dyDescent="0.25">
      <c r="A743" s="3">
        <v>742</v>
      </c>
      <c r="B743" s="3" t="s">
        <v>51</v>
      </c>
      <c r="C743" s="33">
        <v>45487</v>
      </c>
      <c r="D743" s="3" t="s">
        <v>22</v>
      </c>
      <c r="E743" s="3" t="s">
        <v>13</v>
      </c>
      <c r="F743" s="3" t="s">
        <v>23</v>
      </c>
      <c r="G743" s="3">
        <v>33</v>
      </c>
      <c r="H743" s="3" t="s">
        <v>17</v>
      </c>
      <c r="I743" s="23">
        <v>5.1979999542236301</v>
      </c>
      <c r="J743" s="4">
        <v>2415</v>
      </c>
      <c r="K743" s="4">
        <v>60787.79</v>
      </c>
      <c r="L743" s="4">
        <v>22223416061</v>
      </c>
      <c r="M743" s="3">
        <v>2.63</v>
      </c>
    </row>
    <row r="744" spans="1:13" x14ac:dyDescent="0.25">
      <c r="A744" s="3">
        <v>743</v>
      </c>
      <c r="B744" s="3" t="s">
        <v>51</v>
      </c>
      <c r="C744" s="33">
        <v>45488</v>
      </c>
      <c r="D744" s="3" t="s">
        <v>12</v>
      </c>
      <c r="E744" s="3" t="s">
        <v>16</v>
      </c>
      <c r="F744" s="3" t="s">
        <v>24</v>
      </c>
      <c r="G744" s="3">
        <v>52</v>
      </c>
      <c r="H744" s="3" t="s">
        <v>17</v>
      </c>
      <c r="I744" s="23">
        <v>5.1929998397827104</v>
      </c>
      <c r="J744" s="4">
        <v>2414</v>
      </c>
      <c r="K744" s="4">
        <v>64870.15</v>
      </c>
      <c r="L744" s="4">
        <v>38094526099</v>
      </c>
      <c r="M744" s="3">
        <v>6.72</v>
      </c>
    </row>
    <row r="745" spans="1:13" x14ac:dyDescent="0.25">
      <c r="A745" s="3">
        <v>744</v>
      </c>
      <c r="B745" s="3" t="s">
        <v>51</v>
      </c>
      <c r="C745" s="33">
        <v>45489</v>
      </c>
      <c r="D745" s="3" t="s">
        <v>15</v>
      </c>
      <c r="E745" s="3" t="s">
        <v>16</v>
      </c>
      <c r="F745" s="3" t="s">
        <v>24</v>
      </c>
      <c r="G745" s="3">
        <v>65</v>
      </c>
      <c r="H745" s="3" t="s">
        <v>17</v>
      </c>
      <c r="I745" s="23">
        <v>5.1929998397827104</v>
      </c>
      <c r="J745" s="4">
        <v>2422.89990234375</v>
      </c>
      <c r="K745" s="4">
        <v>65097.15</v>
      </c>
      <c r="L745" s="4">
        <v>41617346768</v>
      </c>
      <c r="M745" s="3">
        <v>0.35</v>
      </c>
    </row>
    <row r="746" spans="1:13" x14ac:dyDescent="0.25">
      <c r="A746" s="3">
        <v>745</v>
      </c>
      <c r="B746" s="3" t="s">
        <v>51</v>
      </c>
      <c r="C746" s="33">
        <v>45490</v>
      </c>
      <c r="D746" s="3" t="s">
        <v>18</v>
      </c>
      <c r="E746" s="3" t="s">
        <v>16</v>
      </c>
      <c r="F746" s="3" t="s">
        <v>24</v>
      </c>
      <c r="G746" s="3">
        <v>69</v>
      </c>
      <c r="H746" s="3" t="s">
        <v>17</v>
      </c>
      <c r="I746" s="23">
        <v>5.1950001716613698</v>
      </c>
      <c r="J746" s="4">
        <v>2462.39990234375</v>
      </c>
      <c r="K746" s="4">
        <v>64118.79</v>
      </c>
      <c r="L746" s="4">
        <v>32525071311</v>
      </c>
      <c r="M746" s="3">
        <v>-1.5</v>
      </c>
    </row>
    <row r="747" spans="1:13" x14ac:dyDescent="0.25">
      <c r="A747" s="3">
        <v>746</v>
      </c>
      <c r="B747" s="3" t="s">
        <v>51</v>
      </c>
      <c r="C747" s="33">
        <v>45491</v>
      </c>
      <c r="D747" s="3" t="s">
        <v>19</v>
      </c>
      <c r="E747" s="3" t="s">
        <v>16</v>
      </c>
      <c r="F747" s="3" t="s">
        <v>24</v>
      </c>
      <c r="G747" s="3">
        <v>61</v>
      </c>
      <c r="H747" s="3" t="s">
        <v>17</v>
      </c>
      <c r="I747" s="23">
        <v>5.1929998397827104</v>
      </c>
      <c r="J747" s="4">
        <v>2454.80004882812</v>
      </c>
      <c r="K747" s="4">
        <v>63974.07</v>
      </c>
      <c r="L747" s="4">
        <v>27239305337</v>
      </c>
      <c r="M747" s="3">
        <v>-0.23</v>
      </c>
    </row>
    <row r="748" spans="1:13" x14ac:dyDescent="0.25">
      <c r="A748" s="3">
        <v>747</v>
      </c>
      <c r="B748" s="3" t="s">
        <v>51</v>
      </c>
      <c r="C748" s="33">
        <v>45492</v>
      </c>
      <c r="D748" s="3" t="s">
        <v>20</v>
      </c>
      <c r="E748" s="3" t="s">
        <v>16</v>
      </c>
      <c r="F748" s="3" t="s">
        <v>24</v>
      </c>
      <c r="G748" s="3">
        <v>60</v>
      </c>
      <c r="H748" s="3" t="s">
        <v>17</v>
      </c>
      <c r="I748" s="23">
        <v>5.1929998397827104</v>
      </c>
      <c r="J748" s="4">
        <v>2451.80004882812</v>
      </c>
      <c r="K748" s="4">
        <v>66710.16</v>
      </c>
      <c r="L748" s="4">
        <v>37003855410</v>
      </c>
      <c r="M748" s="3">
        <v>4.28</v>
      </c>
    </row>
    <row r="749" spans="1:13" x14ac:dyDescent="0.25">
      <c r="A749" s="3">
        <v>748</v>
      </c>
      <c r="B749" s="3" t="s">
        <v>51</v>
      </c>
      <c r="C749" s="33">
        <v>45493</v>
      </c>
      <c r="D749" s="3" t="s">
        <v>21</v>
      </c>
      <c r="E749" s="3" t="s">
        <v>13</v>
      </c>
      <c r="F749" s="3" t="s">
        <v>24</v>
      </c>
      <c r="G749" s="3">
        <v>74</v>
      </c>
      <c r="H749" s="3" t="s">
        <v>17</v>
      </c>
      <c r="I749" s="23">
        <v>5.1929998397827104</v>
      </c>
      <c r="J749" s="4">
        <v>2395.5</v>
      </c>
      <c r="K749" s="4">
        <v>67163.649999999994</v>
      </c>
      <c r="L749" s="4">
        <v>19029581250</v>
      </c>
      <c r="M749" s="3">
        <v>0.68</v>
      </c>
    </row>
    <row r="750" spans="1:13" x14ac:dyDescent="0.25">
      <c r="A750" s="3">
        <v>749</v>
      </c>
      <c r="B750" s="3" t="s">
        <v>51</v>
      </c>
      <c r="C750" s="33">
        <v>45494</v>
      </c>
      <c r="D750" s="3" t="s">
        <v>22</v>
      </c>
      <c r="E750" s="3" t="s">
        <v>13</v>
      </c>
      <c r="F750" s="3" t="s">
        <v>24</v>
      </c>
      <c r="G750" s="3">
        <v>74</v>
      </c>
      <c r="H750" s="3" t="s">
        <v>17</v>
      </c>
      <c r="I750" s="23">
        <v>5.1929998397827104</v>
      </c>
      <c r="J750" s="4">
        <v>2451.80004882812</v>
      </c>
      <c r="K750" s="4">
        <v>68154.52</v>
      </c>
      <c r="L750" s="4">
        <v>26652190004</v>
      </c>
      <c r="M750" s="3">
        <v>1.48</v>
      </c>
    </row>
    <row r="751" spans="1:13" x14ac:dyDescent="0.25">
      <c r="A751" s="3">
        <v>750</v>
      </c>
      <c r="B751" s="3" t="s">
        <v>51</v>
      </c>
      <c r="C751" s="33">
        <v>45495</v>
      </c>
      <c r="D751" s="3" t="s">
        <v>12</v>
      </c>
      <c r="E751" s="3" t="s">
        <v>16</v>
      </c>
      <c r="F751" s="3" t="s">
        <v>24</v>
      </c>
      <c r="G751" s="3">
        <v>70</v>
      </c>
      <c r="H751" s="3" t="s">
        <v>17</v>
      </c>
      <c r="I751" s="23">
        <v>5.1900000572204501</v>
      </c>
      <c r="J751" s="4">
        <v>2395.5</v>
      </c>
      <c r="K751" s="4">
        <v>67585.25</v>
      </c>
      <c r="L751" s="4">
        <v>42649109453</v>
      </c>
      <c r="M751" s="3">
        <v>-0.84</v>
      </c>
    </row>
    <row r="752" spans="1:13" x14ac:dyDescent="0.25">
      <c r="A752" s="3">
        <v>751</v>
      </c>
      <c r="B752" s="3" t="s">
        <v>51</v>
      </c>
      <c r="C752" s="33">
        <v>45496</v>
      </c>
      <c r="D752" s="3" t="s">
        <v>15</v>
      </c>
      <c r="E752" s="3" t="s">
        <v>16</v>
      </c>
      <c r="F752" s="3" t="s">
        <v>24</v>
      </c>
      <c r="G752" s="3">
        <v>71</v>
      </c>
      <c r="H752" s="3" t="s">
        <v>17</v>
      </c>
      <c r="I752" s="23">
        <v>5.1729998588562003</v>
      </c>
      <c r="J752" s="4">
        <v>2392</v>
      </c>
      <c r="K752" s="4">
        <v>65927.67</v>
      </c>
      <c r="L752" s="4">
        <v>35605668666</v>
      </c>
      <c r="M752" s="3">
        <v>-2.4500000000000002</v>
      </c>
    </row>
    <row r="753" spans="1:13" x14ac:dyDescent="0.25">
      <c r="A753" s="3">
        <v>752</v>
      </c>
      <c r="B753" s="3" t="s">
        <v>51</v>
      </c>
      <c r="C753" s="33">
        <v>45497</v>
      </c>
      <c r="D753" s="3" t="s">
        <v>18</v>
      </c>
      <c r="E753" s="3" t="s">
        <v>16</v>
      </c>
      <c r="F753" s="3" t="s">
        <v>24</v>
      </c>
      <c r="G753" s="3">
        <v>69</v>
      </c>
      <c r="H753" s="3" t="s">
        <v>17</v>
      </c>
      <c r="I753" s="23">
        <v>5.17000007629394</v>
      </c>
      <c r="J753" s="4">
        <v>2404.60009765625</v>
      </c>
      <c r="K753" s="4">
        <v>65372.13</v>
      </c>
      <c r="L753" s="4">
        <v>27470942309</v>
      </c>
      <c r="M753" s="3">
        <v>-0.84</v>
      </c>
    </row>
    <row r="754" spans="1:13" x14ac:dyDescent="0.25">
      <c r="A754" s="3">
        <v>753</v>
      </c>
      <c r="B754" s="3" t="s">
        <v>51</v>
      </c>
      <c r="C754" s="33">
        <v>45498</v>
      </c>
      <c r="D754" s="3" t="s">
        <v>19</v>
      </c>
      <c r="E754" s="3" t="s">
        <v>16</v>
      </c>
      <c r="F754" s="3" t="s">
        <v>24</v>
      </c>
      <c r="G754" s="3">
        <v>68</v>
      </c>
      <c r="H754" s="3" t="s">
        <v>17</v>
      </c>
      <c r="I754" s="23">
        <v>5.1599998474120996</v>
      </c>
      <c r="J754" s="4">
        <v>2413.30004882812</v>
      </c>
      <c r="K754" s="4">
        <v>65777.23</v>
      </c>
      <c r="L754" s="4">
        <v>38315761670</v>
      </c>
      <c r="M754" s="3">
        <v>0.62</v>
      </c>
    </row>
    <row r="755" spans="1:13" x14ac:dyDescent="0.25">
      <c r="A755" s="3">
        <v>754</v>
      </c>
      <c r="B755" s="3" t="s">
        <v>51</v>
      </c>
      <c r="C755" s="33">
        <v>45499</v>
      </c>
      <c r="D755" s="3" t="s">
        <v>20</v>
      </c>
      <c r="E755" s="3" t="s">
        <v>16</v>
      </c>
      <c r="F755" s="3" t="s">
        <v>24</v>
      </c>
      <c r="G755" s="3">
        <v>68</v>
      </c>
      <c r="H755" s="3" t="s">
        <v>17</v>
      </c>
      <c r="I755" s="23">
        <v>5.1550002098083496</v>
      </c>
      <c r="J755" s="4">
        <v>2351.89990234375</v>
      </c>
      <c r="K755" s="4">
        <v>67912.06</v>
      </c>
      <c r="L755" s="4">
        <v>30488630457</v>
      </c>
      <c r="M755" s="3">
        <v>3.25</v>
      </c>
    </row>
    <row r="756" spans="1:13" x14ac:dyDescent="0.25">
      <c r="A756" s="3">
        <v>755</v>
      </c>
      <c r="B756" s="3" t="s">
        <v>51</v>
      </c>
      <c r="C756" s="33">
        <v>45500</v>
      </c>
      <c r="D756" s="3" t="s">
        <v>21</v>
      </c>
      <c r="E756" s="3" t="s">
        <v>13</v>
      </c>
      <c r="F756" s="3" t="s">
        <v>24</v>
      </c>
      <c r="G756" s="3">
        <v>72</v>
      </c>
      <c r="H756" s="3" t="s">
        <v>17</v>
      </c>
      <c r="I756" s="23">
        <v>5.1550002098083496</v>
      </c>
      <c r="J756" s="4">
        <v>2380</v>
      </c>
      <c r="K756" s="4">
        <v>67813.34</v>
      </c>
      <c r="L756" s="4">
        <v>34691905492</v>
      </c>
      <c r="M756" s="3">
        <v>-0.15</v>
      </c>
    </row>
    <row r="757" spans="1:13" x14ac:dyDescent="0.25">
      <c r="A757" s="3">
        <v>756</v>
      </c>
      <c r="B757" s="3" t="s">
        <v>51</v>
      </c>
      <c r="C757" s="33">
        <v>45501</v>
      </c>
      <c r="D757" s="3" t="s">
        <v>22</v>
      </c>
      <c r="E757" s="3" t="s">
        <v>13</v>
      </c>
      <c r="F757" s="3" t="s">
        <v>24</v>
      </c>
      <c r="G757" s="3">
        <v>71</v>
      </c>
      <c r="H757" s="3" t="s">
        <v>17</v>
      </c>
      <c r="I757" s="23">
        <v>5.1550002098083496</v>
      </c>
      <c r="J757" s="4">
        <v>2351.89990234375</v>
      </c>
      <c r="K757" s="4">
        <v>68255.87</v>
      </c>
      <c r="L757" s="4">
        <v>18043166945</v>
      </c>
      <c r="M757" s="3">
        <v>0.65</v>
      </c>
    </row>
    <row r="758" spans="1:13" x14ac:dyDescent="0.25">
      <c r="A758" s="3">
        <v>757</v>
      </c>
      <c r="B758" s="3" t="s">
        <v>51</v>
      </c>
      <c r="C758" s="33">
        <v>45502</v>
      </c>
      <c r="D758" s="3" t="s">
        <v>12</v>
      </c>
      <c r="E758" s="3" t="s">
        <v>16</v>
      </c>
      <c r="F758" s="3" t="s">
        <v>24</v>
      </c>
      <c r="G758" s="3">
        <v>74</v>
      </c>
      <c r="H758" s="3" t="s">
        <v>17</v>
      </c>
      <c r="I758" s="23">
        <v>5.1469998359680096</v>
      </c>
      <c r="J758" s="4">
        <v>2380</v>
      </c>
      <c r="K758" s="4">
        <v>66819.91</v>
      </c>
      <c r="L758" s="4">
        <v>40780682628</v>
      </c>
      <c r="M758" s="3">
        <v>-2.1</v>
      </c>
    </row>
    <row r="759" spans="1:13" x14ac:dyDescent="0.25">
      <c r="A759" s="3">
        <v>758</v>
      </c>
      <c r="B759" s="3" t="s">
        <v>51</v>
      </c>
      <c r="C759" s="33">
        <v>45503</v>
      </c>
      <c r="D759" s="3" t="s">
        <v>15</v>
      </c>
      <c r="E759" s="3" t="s">
        <v>16</v>
      </c>
      <c r="F759" s="3" t="s">
        <v>24</v>
      </c>
      <c r="G759" s="3">
        <v>67</v>
      </c>
      <c r="H759" s="3" t="s">
        <v>17</v>
      </c>
      <c r="I759" s="23">
        <v>5.1350002288818297</v>
      </c>
      <c r="J759" s="4">
        <v>2377.30004882812</v>
      </c>
      <c r="K759" s="4">
        <v>66201.02</v>
      </c>
      <c r="L759" s="4">
        <v>31380492109</v>
      </c>
      <c r="M759" s="3">
        <v>-0.93</v>
      </c>
    </row>
    <row r="760" spans="1:13" x14ac:dyDescent="0.25">
      <c r="A760" s="3">
        <v>759</v>
      </c>
      <c r="B760" s="3" t="s">
        <v>51</v>
      </c>
      <c r="C760" s="33">
        <v>45504</v>
      </c>
      <c r="D760" s="3" t="s">
        <v>18</v>
      </c>
      <c r="E760" s="3" t="s">
        <v>16</v>
      </c>
      <c r="F760" s="3" t="s">
        <v>24</v>
      </c>
      <c r="G760" s="3">
        <v>61</v>
      </c>
      <c r="H760" s="3" t="s">
        <v>17</v>
      </c>
      <c r="I760" s="23">
        <v>5.1350002288818297</v>
      </c>
      <c r="J760" s="4">
        <v>2405</v>
      </c>
      <c r="K760" s="4">
        <v>64619.25</v>
      </c>
      <c r="L760" s="4">
        <v>31292785994</v>
      </c>
      <c r="M760" s="3">
        <v>-2.39</v>
      </c>
    </row>
    <row r="761" spans="1:13" x14ac:dyDescent="0.25">
      <c r="A761" s="3">
        <v>760</v>
      </c>
      <c r="B761" s="3" t="s">
        <v>52</v>
      </c>
      <c r="C761" s="33">
        <v>45505</v>
      </c>
      <c r="D761" s="3" t="s">
        <v>19</v>
      </c>
      <c r="E761" s="3" t="s">
        <v>16</v>
      </c>
      <c r="F761" s="3" t="s">
        <v>24</v>
      </c>
      <c r="G761" s="3">
        <v>52</v>
      </c>
      <c r="H761" s="3" t="s">
        <v>17</v>
      </c>
      <c r="I761" s="23">
        <v>5.1149997711181596</v>
      </c>
      <c r="J761" s="4">
        <v>2426.5</v>
      </c>
      <c r="K761" s="4">
        <v>65357.5</v>
      </c>
      <c r="L761" s="4">
        <v>40975554494</v>
      </c>
      <c r="M761" s="3">
        <v>1.1399999999999999</v>
      </c>
    </row>
    <row r="762" spans="1:13" x14ac:dyDescent="0.25">
      <c r="A762" s="3">
        <v>761</v>
      </c>
      <c r="B762" s="3" t="s">
        <v>52</v>
      </c>
      <c r="C762" s="33">
        <v>45506</v>
      </c>
      <c r="D762" s="3" t="s">
        <v>20</v>
      </c>
      <c r="E762" s="3" t="s">
        <v>16</v>
      </c>
      <c r="F762" s="3" t="s">
        <v>24</v>
      </c>
      <c r="G762" s="3">
        <v>57</v>
      </c>
      <c r="H762" s="3" t="s">
        <v>17</v>
      </c>
      <c r="I762" s="23">
        <v>5.0300002098083496</v>
      </c>
      <c r="J762" s="4">
        <v>2435</v>
      </c>
      <c r="K762" s="4">
        <v>61415.07</v>
      </c>
      <c r="L762" s="4">
        <v>43060875727</v>
      </c>
      <c r="M762" s="3">
        <v>-6.03</v>
      </c>
    </row>
    <row r="763" spans="1:13" x14ac:dyDescent="0.25">
      <c r="A763" s="3">
        <v>762</v>
      </c>
      <c r="B763" s="3" t="s">
        <v>52</v>
      </c>
      <c r="C763" s="33">
        <v>45507</v>
      </c>
      <c r="D763" s="3" t="s">
        <v>21</v>
      </c>
      <c r="E763" s="3" t="s">
        <v>13</v>
      </c>
      <c r="F763" s="3" t="s">
        <v>23</v>
      </c>
      <c r="G763" s="3">
        <v>37</v>
      </c>
      <c r="H763" s="3" t="s">
        <v>17</v>
      </c>
      <c r="I763" s="23">
        <v>5.0300002098083496</v>
      </c>
      <c r="J763" s="4">
        <v>2425.69995117187</v>
      </c>
      <c r="K763" s="4">
        <v>60680.09</v>
      </c>
      <c r="L763" s="4">
        <v>31753030589</v>
      </c>
      <c r="M763" s="3">
        <v>-1.2</v>
      </c>
    </row>
    <row r="764" spans="1:13" x14ac:dyDescent="0.25">
      <c r="A764" s="3">
        <v>763</v>
      </c>
      <c r="B764" s="3" t="s">
        <v>52</v>
      </c>
      <c r="C764" s="33">
        <v>45508</v>
      </c>
      <c r="D764" s="3" t="s">
        <v>22</v>
      </c>
      <c r="E764" s="3" t="s">
        <v>13</v>
      </c>
      <c r="F764" s="3" t="s">
        <v>23</v>
      </c>
      <c r="G764" s="3">
        <v>34</v>
      </c>
      <c r="H764" s="3" t="s">
        <v>17</v>
      </c>
      <c r="I764" s="23">
        <v>5.0300002098083496</v>
      </c>
      <c r="J764" s="4">
        <v>2435</v>
      </c>
      <c r="K764" s="4">
        <v>58116.98</v>
      </c>
      <c r="L764" s="4">
        <v>31758917219</v>
      </c>
      <c r="M764" s="3">
        <v>-4.22</v>
      </c>
    </row>
    <row r="765" spans="1:13" x14ac:dyDescent="0.25">
      <c r="A765" s="3">
        <v>764</v>
      </c>
      <c r="B765" s="3" t="s">
        <v>52</v>
      </c>
      <c r="C765" s="33">
        <v>45509</v>
      </c>
      <c r="D765" s="3" t="s">
        <v>12</v>
      </c>
      <c r="E765" s="3" t="s">
        <v>16</v>
      </c>
      <c r="F765" s="3" t="s">
        <v>23</v>
      </c>
      <c r="G765" s="3">
        <v>26</v>
      </c>
      <c r="H765" s="3" t="s">
        <v>17</v>
      </c>
      <c r="I765" s="23">
        <v>5.0599999427795401</v>
      </c>
      <c r="J765" s="4">
        <v>2425.69995117187</v>
      </c>
      <c r="K765" s="4">
        <v>53991.46</v>
      </c>
      <c r="L765" s="4">
        <v>108991085584</v>
      </c>
      <c r="M765" s="3">
        <v>-7.1</v>
      </c>
    </row>
    <row r="766" spans="1:13" x14ac:dyDescent="0.25">
      <c r="A766" s="3">
        <v>765</v>
      </c>
      <c r="B766" s="3" t="s">
        <v>52</v>
      </c>
      <c r="C766" s="33">
        <v>45510</v>
      </c>
      <c r="D766" s="3" t="s">
        <v>15</v>
      </c>
      <c r="E766" s="3" t="s">
        <v>16</v>
      </c>
      <c r="F766" s="3" t="s">
        <v>14</v>
      </c>
      <c r="G766" s="3">
        <v>17</v>
      </c>
      <c r="H766" s="3" t="s">
        <v>17</v>
      </c>
      <c r="I766" s="23">
        <v>5.0799999237060502</v>
      </c>
      <c r="J766" s="4">
        <v>2401.69995117187</v>
      </c>
      <c r="K766" s="4">
        <v>56034.32</v>
      </c>
      <c r="L766" s="4">
        <v>49300484106</v>
      </c>
      <c r="M766" s="3">
        <v>3.78</v>
      </c>
    </row>
    <row r="767" spans="1:13" x14ac:dyDescent="0.25">
      <c r="A767" s="3">
        <v>766</v>
      </c>
      <c r="B767" s="3" t="s">
        <v>52</v>
      </c>
      <c r="C767" s="33">
        <v>45511</v>
      </c>
      <c r="D767" s="3" t="s">
        <v>18</v>
      </c>
      <c r="E767" s="3" t="s">
        <v>16</v>
      </c>
      <c r="F767" s="3" t="s">
        <v>23</v>
      </c>
      <c r="G767" s="3">
        <v>29</v>
      </c>
      <c r="H767" s="3" t="s">
        <v>17</v>
      </c>
      <c r="I767" s="23">
        <v>5.0799999237060502</v>
      </c>
      <c r="J767" s="4">
        <v>2389.10009765625</v>
      </c>
      <c r="K767" s="4">
        <v>55027.46</v>
      </c>
      <c r="L767" s="4">
        <v>41637562185</v>
      </c>
      <c r="M767" s="3">
        <v>-1.8</v>
      </c>
    </row>
    <row r="768" spans="1:13" x14ac:dyDescent="0.25">
      <c r="A768" s="3">
        <v>767</v>
      </c>
      <c r="B768" s="3" t="s">
        <v>52</v>
      </c>
      <c r="C768" s="33">
        <v>45512</v>
      </c>
      <c r="D768" s="3" t="s">
        <v>19</v>
      </c>
      <c r="E768" s="3" t="s">
        <v>16</v>
      </c>
      <c r="F768" s="3" t="s">
        <v>14</v>
      </c>
      <c r="G768" s="3">
        <v>20</v>
      </c>
      <c r="H768" s="3" t="s">
        <v>17</v>
      </c>
      <c r="I768" s="23">
        <v>5.0830001831054599</v>
      </c>
      <c r="J768" s="4">
        <v>2390.5</v>
      </c>
      <c r="K768" s="4">
        <v>61710.14</v>
      </c>
      <c r="L768" s="4">
        <v>45298472567</v>
      </c>
      <c r="M768" s="3">
        <v>12.14</v>
      </c>
    </row>
    <row r="769" spans="1:13" x14ac:dyDescent="0.25">
      <c r="A769" s="3">
        <v>768</v>
      </c>
      <c r="B769" s="3" t="s">
        <v>52</v>
      </c>
      <c r="C769" s="33">
        <v>45513</v>
      </c>
      <c r="D769" s="3" t="s">
        <v>20</v>
      </c>
      <c r="E769" s="3" t="s">
        <v>16</v>
      </c>
      <c r="F769" s="3" t="s">
        <v>23</v>
      </c>
      <c r="G769" s="3">
        <v>48</v>
      </c>
      <c r="H769" s="3" t="s">
        <v>17</v>
      </c>
      <c r="I769" s="23">
        <v>5.0749998092651296</v>
      </c>
      <c r="J769" s="4">
        <v>2422.19995117187</v>
      </c>
      <c r="K769" s="4">
        <v>60880.11</v>
      </c>
      <c r="L769" s="4">
        <v>33425553115</v>
      </c>
      <c r="M769" s="3">
        <v>-1.35</v>
      </c>
    </row>
    <row r="770" spans="1:13" x14ac:dyDescent="0.25">
      <c r="A770" s="3">
        <v>769</v>
      </c>
      <c r="B770" s="3" t="s">
        <v>52</v>
      </c>
      <c r="C770" s="33">
        <v>45514</v>
      </c>
      <c r="D770" s="3" t="s">
        <v>21</v>
      </c>
      <c r="E770" s="3" t="s">
        <v>13</v>
      </c>
      <c r="F770" s="3" t="s">
        <v>23</v>
      </c>
      <c r="G770" s="3">
        <v>40</v>
      </c>
      <c r="H770" s="3" t="s">
        <v>17</v>
      </c>
      <c r="I770" s="23">
        <v>5.0749998092651296</v>
      </c>
      <c r="J770" s="4">
        <v>2432.10009765625</v>
      </c>
      <c r="K770" s="4">
        <v>60945.81</v>
      </c>
      <c r="L770" s="4">
        <v>15745822278</v>
      </c>
      <c r="M770" s="3">
        <v>0.11</v>
      </c>
    </row>
    <row r="771" spans="1:13" x14ac:dyDescent="0.25">
      <c r="A771" s="3">
        <v>770</v>
      </c>
      <c r="B771" s="3" t="s">
        <v>52</v>
      </c>
      <c r="C771" s="33">
        <v>45515</v>
      </c>
      <c r="D771" s="3" t="s">
        <v>22</v>
      </c>
      <c r="E771" s="3" t="s">
        <v>13</v>
      </c>
      <c r="F771" s="3" t="s">
        <v>23</v>
      </c>
      <c r="G771" s="3">
        <v>39</v>
      </c>
      <c r="H771" s="3" t="s">
        <v>17</v>
      </c>
      <c r="I771" s="23">
        <v>5.0749998092651296</v>
      </c>
      <c r="J771" s="4">
        <v>2422.19995117187</v>
      </c>
      <c r="K771" s="4">
        <v>58719.48</v>
      </c>
      <c r="L771" s="4">
        <v>22759754812</v>
      </c>
      <c r="M771" s="3">
        <v>-3.65</v>
      </c>
    </row>
    <row r="772" spans="1:13" x14ac:dyDescent="0.25">
      <c r="A772" s="3">
        <v>771</v>
      </c>
      <c r="B772" s="3" t="s">
        <v>52</v>
      </c>
      <c r="C772" s="33">
        <v>45516</v>
      </c>
      <c r="D772" s="3" t="s">
        <v>12</v>
      </c>
      <c r="E772" s="3" t="s">
        <v>16</v>
      </c>
      <c r="F772" s="3" t="s">
        <v>23</v>
      </c>
      <c r="G772" s="3">
        <v>25</v>
      </c>
      <c r="H772" s="3" t="s">
        <v>17</v>
      </c>
      <c r="I772" s="23">
        <v>5.0729999542236301</v>
      </c>
      <c r="J772" s="4">
        <v>2432.10009765625</v>
      </c>
      <c r="K772" s="4">
        <v>59354.52</v>
      </c>
      <c r="L772" s="4">
        <v>37078637820</v>
      </c>
      <c r="M772" s="3">
        <v>1.08</v>
      </c>
    </row>
    <row r="773" spans="1:13" x14ac:dyDescent="0.25">
      <c r="A773" s="3">
        <v>772</v>
      </c>
      <c r="B773" s="3" t="s">
        <v>52</v>
      </c>
      <c r="C773" s="33">
        <v>45517</v>
      </c>
      <c r="D773" s="3" t="s">
        <v>15</v>
      </c>
      <c r="E773" s="3" t="s">
        <v>16</v>
      </c>
      <c r="F773" s="3" t="s">
        <v>23</v>
      </c>
      <c r="G773" s="3">
        <v>31</v>
      </c>
      <c r="H773" s="3" t="s">
        <v>17</v>
      </c>
      <c r="I773" s="23">
        <v>5.0529999732971103</v>
      </c>
      <c r="J773" s="4">
        <v>2462.39990234375</v>
      </c>
      <c r="K773" s="4">
        <v>60609.57</v>
      </c>
      <c r="L773" s="4">
        <v>30327698167</v>
      </c>
      <c r="M773" s="3">
        <v>2.11</v>
      </c>
    </row>
    <row r="774" spans="1:13" x14ac:dyDescent="0.25">
      <c r="A774" s="3">
        <v>773</v>
      </c>
      <c r="B774" s="3" t="s">
        <v>52</v>
      </c>
      <c r="C774" s="33">
        <v>45518</v>
      </c>
      <c r="D774" s="3" t="s">
        <v>18</v>
      </c>
      <c r="E774" s="3" t="s">
        <v>16</v>
      </c>
      <c r="F774" s="3" t="s">
        <v>23</v>
      </c>
      <c r="G774" s="3">
        <v>30</v>
      </c>
      <c r="H774" s="3" t="s">
        <v>17</v>
      </c>
      <c r="I774" s="23">
        <v>5.0630002021789497</v>
      </c>
      <c r="J774" s="4">
        <v>2466.69995117187</v>
      </c>
      <c r="K774" s="4">
        <v>58737.27</v>
      </c>
      <c r="L774" s="4">
        <v>29961696180</v>
      </c>
      <c r="M774" s="3">
        <v>-3.09</v>
      </c>
    </row>
    <row r="775" spans="1:13" x14ac:dyDescent="0.25">
      <c r="A775" s="3">
        <v>774</v>
      </c>
      <c r="B775" s="3" t="s">
        <v>52</v>
      </c>
      <c r="C775" s="33">
        <v>45519</v>
      </c>
      <c r="D775" s="3" t="s">
        <v>19</v>
      </c>
      <c r="E775" s="3" t="s">
        <v>16</v>
      </c>
      <c r="F775" s="3" t="s">
        <v>23</v>
      </c>
      <c r="G775" s="3">
        <v>29</v>
      </c>
      <c r="H775" s="3">
        <v>16</v>
      </c>
      <c r="I775" s="23">
        <v>5.0799999237060502</v>
      </c>
      <c r="J775" s="4">
        <v>2439.39990234375</v>
      </c>
      <c r="K775" s="4">
        <v>57560.1</v>
      </c>
      <c r="L775" s="4">
        <v>35682112440</v>
      </c>
      <c r="M775" s="3">
        <v>-2</v>
      </c>
    </row>
    <row r="776" spans="1:13" x14ac:dyDescent="0.25">
      <c r="A776" s="3">
        <v>775</v>
      </c>
      <c r="B776" s="3" t="s">
        <v>52</v>
      </c>
      <c r="C776" s="33">
        <v>45520</v>
      </c>
      <c r="D776" s="3" t="s">
        <v>20</v>
      </c>
      <c r="E776" s="3" t="s">
        <v>16</v>
      </c>
      <c r="F776" s="3" t="s">
        <v>23</v>
      </c>
      <c r="G776" s="3">
        <v>27</v>
      </c>
      <c r="H776" s="3" t="s">
        <v>17</v>
      </c>
      <c r="I776" s="23">
        <v>5.0749998092651296</v>
      </c>
      <c r="J776" s="4">
        <v>2453.10009765625</v>
      </c>
      <c r="K776" s="4">
        <v>58894.11</v>
      </c>
      <c r="L776" s="4">
        <v>29350938673</v>
      </c>
      <c r="M776" s="3">
        <v>2.3199999999999998</v>
      </c>
    </row>
    <row r="777" spans="1:13" x14ac:dyDescent="0.25">
      <c r="A777" s="3">
        <v>776</v>
      </c>
      <c r="B777" s="3" t="s">
        <v>52</v>
      </c>
      <c r="C777" s="33">
        <v>45521</v>
      </c>
      <c r="D777" s="3" t="s">
        <v>21</v>
      </c>
      <c r="E777" s="3" t="s">
        <v>13</v>
      </c>
      <c r="F777" s="3" t="s">
        <v>23</v>
      </c>
      <c r="G777" s="3">
        <v>25</v>
      </c>
      <c r="H777" s="3" t="s">
        <v>17</v>
      </c>
      <c r="I777" s="23">
        <v>5.0749998092651296</v>
      </c>
      <c r="J777" s="4">
        <v>2498.60009765625</v>
      </c>
      <c r="K777" s="4">
        <v>59478.97</v>
      </c>
      <c r="L777" s="4">
        <v>13589684021</v>
      </c>
      <c r="M777" s="3">
        <v>0.99</v>
      </c>
    </row>
    <row r="778" spans="1:13" x14ac:dyDescent="0.25">
      <c r="A778" s="3">
        <v>777</v>
      </c>
      <c r="B778" s="3" t="s">
        <v>52</v>
      </c>
      <c r="C778" s="33">
        <v>45522</v>
      </c>
      <c r="D778" s="3" t="s">
        <v>22</v>
      </c>
      <c r="E778" s="3" t="s">
        <v>13</v>
      </c>
      <c r="F778" s="3" t="s">
        <v>23</v>
      </c>
      <c r="G778" s="3">
        <v>31</v>
      </c>
      <c r="H778" s="3" t="s">
        <v>17</v>
      </c>
      <c r="I778" s="23">
        <v>5.0749998092651296</v>
      </c>
      <c r="J778" s="4">
        <v>2453.10009765625</v>
      </c>
      <c r="K778" s="4">
        <v>58483.96</v>
      </c>
      <c r="L778" s="4">
        <v>17740625837</v>
      </c>
      <c r="M778" s="3">
        <v>-1.67</v>
      </c>
    </row>
    <row r="779" spans="1:13" x14ac:dyDescent="0.25">
      <c r="A779" s="3">
        <v>778</v>
      </c>
      <c r="B779" s="3" t="s">
        <v>52</v>
      </c>
      <c r="C779" s="33">
        <v>45523</v>
      </c>
      <c r="D779" s="3" t="s">
        <v>12</v>
      </c>
      <c r="E779" s="3" t="s">
        <v>16</v>
      </c>
      <c r="F779" s="3" t="s">
        <v>23</v>
      </c>
      <c r="G779" s="3">
        <v>28</v>
      </c>
      <c r="H779" s="3" t="s">
        <v>17</v>
      </c>
      <c r="I779" s="23">
        <v>5.0630002021789497</v>
      </c>
      <c r="J779" s="4">
        <v>2498.60009765625</v>
      </c>
      <c r="K779" s="4">
        <v>59493.45</v>
      </c>
      <c r="L779" s="4">
        <v>25911207712</v>
      </c>
      <c r="M779" s="3">
        <v>1.73</v>
      </c>
    </row>
    <row r="780" spans="1:13" x14ac:dyDescent="0.25">
      <c r="A780" s="3">
        <v>779</v>
      </c>
      <c r="B780" s="3" t="s">
        <v>52</v>
      </c>
      <c r="C780" s="33">
        <v>45524</v>
      </c>
      <c r="D780" s="3" t="s">
        <v>15</v>
      </c>
      <c r="E780" s="3" t="s">
        <v>16</v>
      </c>
      <c r="F780" s="3" t="s">
        <v>23</v>
      </c>
      <c r="G780" s="3">
        <v>30</v>
      </c>
      <c r="H780" s="3" t="s">
        <v>17</v>
      </c>
      <c r="I780" s="23">
        <v>5.0329999923706001</v>
      </c>
      <c r="J780" s="4">
        <v>2501.80004882812</v>
      </c>
      <c r="K780" s="4">
        <v>59012.79</v>
      </c>
      <c r="L780" s="4">
        <v>31613400008</v>
      </c>
      <c r="M780" s="3">
        <v>-0.81</v>
      </c>
    </row>
    <row r="781" spans="1:13" x14ac:dyDescent="0.25">
      <c r="A781" s="3">
        <v>780</v>
      </c>
      <c r="B781" s="3" t="s">
        <v>52</v>
      </c>
      <c r="C781" s="33">
        <v>45525</v>
      </c>
      <c r="D781" s="3" t="s">
        <v>18</v>
      </c>
      <c r="E781" s="3" t="s">
        <v>16</v>
      </c>
      <c r="F781" s="3" t="s">
        <v>23</v>
      </c>
      <c r="G781" s="3">
        <v>26</v>
      </c>
      <c r="H781" s="3" t="s">
        <v>17</v>
      </c>
      <c r="I781" s="23">
        <v>5.00500011444091</v>
      </c>
      <c r="J781" s="4">
        <v>2511.30004882812</v>
      </c>
      <c r="K781" s="4">
        <v>61175.19</v>
      </c>
      <c r="L781" s="4">
        <v>32731154072</v>
      </c>
      <c r="M781" s="3">
        <v>3.66</v>
      </c>
    </row>
    <row r="782" spans="1:13" x14ac:dyDescent="0.25">
      <c r="A782" s="3">
        <v>781</v>
      </c>
      <c r="B782" s="3" t="s">
        <v>52</v>
      </c>
      <c r="C782" s="33">
        <v>45526</v>
      </c>
      <c r="D782" s="3" t="s">
        <v>19</v>
      </c>
      <c r="E782" s="3" t="s">
        <v>16</v>
      </c>
      <c r="F782" s="3" t="s">
        <v>23</v>
      </c>
      <c r="G782" s="3">
        <v>39</v>
      </c>
      <c r="H782" s="3" t="s">
        <v>17</v>
      </c>
      <c r="I782" s="23">
        <v>5.0250000953674299</v>
      </c>
      <c r="J782" s="4">
        <v>2508.39990234375</v>
      </c>
      <c r="K782" s="4">
        <v>60381.91</v>
      </c>
      <c r="L782" s="4">
        <v>27625734377</v>
      </c>
      <c r="M782" s="3">
        <v>-1.3</v>
      </c>
    </row>
    <row r="783" spans="1:13" x14ac:dyDescent="0.25">
      <c r="A783" s="3">
        <v>782</v>
      </c>
      <c r="B783" s="3" t="s">
        <v>52</v>
      </c>
      <c r="C783" s="33">
        <v>45527</v>
      </c>
      <c r="D783" s="3" t="s">
        <v>20</v>
      </c>
      <c r="E783" s="3" t="s">
        <v>16</v>
      </c>
      <c r="F783" s="3" t="s">
        <v>23</v>
      </c>
      <c r="G783" s="3">
        <v>34</v>
      </c>
      <c r="H783" s="3" t="s">
        <v>17</v>
      </c>
      <c r="I783" s="23">
        <v>5</v>
      </c>
      <c r="J783" s="4">
        <v>2478.89990234375</v>
      </c>
      <c r="K783" s="4">
        <v>64094.36</v>
      </c>
      <c r="L783" s="4">
        <v>42530509233</v>
      </c>
      <c r="M783" s="3">
        <v>6.15</v>
      </c>
    </row>
    <row r="784" spans="1:13" x14ac:dyDescent="0.25">
      <c r="A784" s="3">
        <v>783</v>
      </c>
      <c r="B784" s="3" t="s">
        <v>52</v>
      </c>
      <c r="C784" s="33">
        <v>45528</v>
      </c>
      <c r="D784" s="3" t="s">
        <v>21</v>
      </c>
      <c r="E784" s="3" t="s">
        <v>13</v>
      </c>
      <c r="F784" s="3" t="s">
        <v>24</v>
      </c>
      <c r="G784" s="3">
        <v>56</v>
      </c>
      <c r="H784" s="3" t="s">
        <v>17</v>
      </c>
      <c r="I784" s="23">
        <v>5</v>
      </c>
      <c r="J784" s="4">
        <v>2508.39990234375</v>
      </c>
      <c r="K784" s="4">
        <v>64178.99</v>
      </c>
      <c r="L784" s="4">
        <v>21430585163</v>
      </c>
      <c r="M784" s="3">
        <v>0.13</v>
      </c>
    </row>
    <row r="785" spans="1:13" x14ac:dyDescent="0.25">
      <c r="A785" s="3">
        <v>784</v>
      </c>
      <c r="B785" s="3" t="s">
        <v>52</v>
      </c>
      <c r="C785" s="33">
        <v>45529</v>
      </c>
      <c r="D785" s="3" t="s">
        <v>22</v>
      </c>
      <c r="E785" s="3" t="s">
        <v>13</v>
      </c>
      <c r="F785" s="3" t="s">
        <v>24</v>
      </c>
      <c r="G785" s="3">
        <v>54</v>
      </c>
      <c r="H785" s="3" t="s">
        <v>17</v>
      </c>
      <c r="I785" s="23">
        <v>5</v>
      </c>
      <c r="J785" s="4">
        <v>2478.89990234375</v>
      </c>
      <c r="K785" s="4">
        <v>64333.54</v>
      </c>
      <c r="L785" s="4">
        <v>18827683555</v>
      </c>
      <c r="M785" s="3">
        <v>0.24</v>
      </c>
    </row>
    <row r="786" spans="1:13" x14ac:dyDescent="0.25">
      <c r="A786" s="3">
        <v>785</v>
      </c>
      <c r="B786" s="3" t="s">
        <v>52</v>
      </c>
      <c r="C786" s="33">
        <v>45530</v>
      </c>
      <c r="D786" s="3" t="s">
        <v>12</v>
      </c>
      <c r="E786" s="3" t="s">
        <v>16</v>
      </c>
      <c r="F786" s="3" t="s">
        <v>24</v>
      </c>
      <c r="G786" s="3">
        <v>55</v>
      </c>
      <c r="H786" s="3" t="s">
        <v>17</v>
      </c>
      <c r="I786" s="23">
        <v>4.9980001449584899</v>
      </c>
      <c r="J786" s="4">
        <v>2508.39990234375</v>
      </c>
      <c r="K786" s="4">
        <v>62880.66</v>
      </c>
      <c r="L786" s="4">
        <v>27682040631</v>
      </c>
      <c r="M786" s="3">
        <v>-2.2599999999999998</v>
      </c>
    </row>
    <row r="787" spans="1:13" x14ac:dyDescent="0.25">
      <c r="A787" s="3">
        <v>786</v>
      </c>
      <c r="B787" s="3" t="s">
        <v>52</v>
      </c>
      <c r="C787" s="33">
        <v>45531</v>
      </c>
      <c r="D787" s="3" t="s">
        <v>15</v>
      </c>
      <c r="E787" s="3" t="s">
        <v>16</v>
      </c>
      <c r="F787" s="3" t="s">
        <v>23</v>
      </c>
      <c r="G787" s="3">
        <v>48</v>
      </c>
      <c r="H787" s="3" t="s">
        <v>17</v>
      </c>
      <c r="I787" s="23">
        <v>4.9679999351501403</v>
      </c>
      <c r="J787" s="4">
        <v>2517.69995117187</v>
      </c>
      <c r="K787" s="4">
        <v>59504.13</v>
      </c>
      <c r="L787" s="4">
        <v>39103882198</v>
      </c>
      <c r="M787" s="3">
        <v>-5.37</v>
      </c>
    </row>
    <row r="788" spans="1:13" x14ac:dyDescent="0.25">
      <c r="A788" s="3">
        <v>787</v>
      </c>
      <c r="B788" s="3" t="s">
        <v>52</v>
      </c>
      <c r="C788" s="33">
        <v>45532</v>
      </c>
      <c r="D788" s="3" t="s">
        <v>18</v>
      </c>
      <c r="E788" s="3" t="s">
        <v>16</v>
      </c>
      <c r="F788" s="3" t="s">
        <v>23</v>
      </c>
      <c r="G788" s="3">
        <v>30</v>
      </c>
      <c r="H788" s="3" t="s">
        <v>17</v>
      </c>
      <c r="I788" s="23">
        <v>4.9549999237060502</v>
      </c>
      <c r="J788" s="4">
        <v>2516</v>
      </c>
      <c r="K788" s="4">
        <v>59027.63</v>
      </c>
      <c r="L788" s="4">
        <v>40289564698</v>
      </c>
      <c r="M788" s="3">
        <v>-0.8</v>
      </c>
    </row>
    <row r="789" spans="1:13" x14ac:dyDescent="0.25">
      <c r="A789" s="3">
        <v>788</v>
      </c>
      <c r="B789" s="3" t="s">
        <v>52</v>
      </c>
      <c r="C789" s="33">
        <v>45533</v>
      </c>
      <c r="D789" s="3" t="s">
        <v>19</v>
      </c>
      <c r="E789" s="3" t="s">
        <v>16</v>
      </c>
      <c r="F789" s="3" t="s">
        <v>23</v>
      </c>
      <c r="G789" s="3">
        <v>29</v>
      </c>
      <c r="H789" s="3" t="s">
        <v>17</v>
      </c>
      <c r="I789" s="23">
        <v>4.9650001525878897</v>
      </c>
      <c r="J789" s="4">
        <v>2501</v>
      </c>
      <c r="K789" s="4">
        <v>59388.18</v>
      </c>
      <c r="L789" s="4">
        <v>32224990582</v>
      </c>
      <c r="M789" s="3">
        <v>0.61</v>
      </c>
    </row>
    <row r="790" spans="1:13" x14ac:dyDescent="0.25">
      <c r="A790" s="3">
        <v>789</v>
      </c>
      <c r="B790" s="3" t="s">
        <v>52</v>
      </c>
      <c r="C790" s="33">
        <v>45534</v>
      </c>
      <c r="D790" s="3" t="s">
        <v>20</v>
      </c>
      <c r="E790" s="3" t="s">
        <v>16</v>
      </c>
      <c r="F790" s="3" t="s">
        <v>23</v>
      </c>
      <c r="G790" s="3">
        <v>34</v>
      </c>
      <c r="H790" s="3" t="s">
        <v>17</v>
      </c>
      <c r="I790" s="23">
        <v>4.9679999351501403</v>
      </c>
      <c r="J790" s="4">
        <v>2525.69995117187</v>
      </c>
      <c r="K790" s="4">
        <v>59119.48</v>
      </c>
      <c r="L790" s="4">
        <v>32292756405</v>
      </c>
      <c r="M790" s="3">
        <v>-0.45</v>
      </c>
    </row>
    <row r="791" spans="1:13" x14ac:dyDescent="0.25">
      <c r="A791" s="3">
        <v>790</v>
      </c>
      <c r="B791" s="3" t="s">
        <v>52</v>
      </c>
      <c r="C791" s="33">
        <v>45535</v>
      </c>
      <c r="D791" s="3" t="s">
        <v>21</v>
      </c>
      <c r="E791" s="3" t="s">
        <v>13</v>
      </c>
      <c r="F791" s="3" t="s">
        <v>23</v>
      </c>
      <c r="G791" s="3">
        <v>29</v>
      </c>
      <c r="H791" s="3" t="s">
        <v>17</v>
      </c>
      <c r="I791" s="23">
        <v>4.9679999351501403</v>
      </c>
      <c r="J791" s="4">
        <v>2493.80004882812</v>
      </c>
      <c r="K791" s="4">
        <v>58969.9</v>
      </c>
      <c r="L791" s="4">
        <v>12403470760</v>
      </c>
      <c r="M791" s="3">
        <v>-0.25</v>
      </c>
    </row>
    <row r="792" spans="1:13" x14ac:dyDescent="0.25">
      <c r="A792" s="3">
        <v>791</v>
      </c>
      <c r="B792" s="3" t="s">
        <v>53</v>
      </c>
      <c r="C792" s="33">
        <v>45536</v>
      </c>
      <c r="D792" s="3" t="s">
        <v>22</v>
      </c>
      <c r="E792" s="3" t="s">
        <v>13</v>
      </c>
      <c r="F792" s="3" t="s">
        <v>23</v>
      </c>
      <c r="G792" s="3">
        <v>26</v>
      </c>
      <c r="H792" s="3" t="s">
        <v>17</v>
      </c>
      <c r="I792" s="23">
        <v>4.9679999351501403</v>
      </c>
      <c r="J792" s="4">
        <v>2525.69995117187</v>
      </c>
      <c r="K792" s="4">
        <v>57325.49</v>
      </c>
      <c r="L792" s="4">
        <v>24592449997</v>
      </c>
      <c r="M792" s="3">
        <v>-2.79</v>
      </c>
    </row>
    <row r="793" spans="1:13" x14ac:dyDescent="0.25">
      <c r="A793" s="3">
        <v>792</v>
      </c>
      <c r="B793" s="3" t="s">
        <v>53</v>
      </c>
      <c r="C793" s="33">
        <v>45537</v>
      </c>
      <c r="D793" s="3" t="s">
        <v>12</v>
      </c>
      <c r="E793" s="3" t="s">
        <v>16</v>
      </c>
      <c r="F793" s="3" t="s">
        <v>23</v>
      </c>
      <c r="G793" s="3">
        <v>26</v>
      </c>
      <c r="H793" s="3" t="s">
        <v>17</v>
      </c>
      <c r="I793" s="23">
        <v>4.9679999351501403</v>
      </c>
      <c r="J793" s="4">
        <v>2493.80004882812</v>
      </c>
      <c r="K793" s="4">
        <v>59112.480000000003</v>
      </c>
      <c r="L793" s="4">
        <v>27036454524</v>
      </c>
      <c r="M793" s="3">
        <v>3.12</v>
      </c>
    </row>
    <row r="794" spans="1:13" x14ac:dyDescent="0.25">
      <c r="A794" s="3">
        <v>793</v>
      </c>
      <c r="B794" s="3" t="s">
        <v>53</v>
      </c>
      <c r="C794" s="33">
        <v>45538</v>
      </c>
      <c r="D794" s="3" t="s">
        <v>15</v>
      </c>
      <c r="E794" s="3" t="s">
        <v>16</v>
      </c>
      <c r="F794" s="3" t="s">
        <v>23</v>
      </c>
      <c r="G794" s="3">
        <v>26</v>
      </c>
      <c r="H794" s="3" t="s">
        <v>17</v>
      </c>
      <c r="I794" s="23">
        <v>4.9699997901916504</v>
      </c>
      <c r="J794" s="4">
        <v>2525.69995117187</v>
      </c>
      <c r="K794" s="4">
        <v>57431.02</v>
      </c>
      <c r="L794" s="4">
        <v>26666961053</v>
      </c>
      <c r="M794" s="3">
        <v>-2.84</v>
      </c>
    </row>
    <row r="795" spans="1:13" x14ac:dyDescent="0.25">
      <c r="A795" s="3">
        <v>794</v>
      </c>
      <c r="B795" s="3" t="s">
        <v>53</v>
      </c>
      <c r="C795" s="33">
        <v>45539</v>
      </c>
      <c r="D795" s="3" t="s">
        <v>18</v>
      </c>
      <c r="E795" s="3" t="s">
        <v>16</v>
      </c>
      <c r="F795" s="3" t="s">
        <v>23</v>
      </c>
      <c r="G795" s="3">
        <v>27</v>
      </c>
      <c r="H795" s="3" t="s">
        <v>17</v>
      </c>
      <c r="I795" s="23">
        <v>4.9479999542236301</v>
      </c>
      <c r="J795" s="4">
        <v>2489.89990234375</v>
      </c>
      <c r="K795" s="4">
        <v>57971.54</v>
      </c>
      <c r="L795" s="4">
        <v>35627680312</v>
      </c>
      <c r="M795" s="3">
        <v>0.94</v>
      </c>
    </row>
    <row r="796" spans="1:13" x14ac:dyDescent="0.25">
      <c r="A796" s="3">
        <v>795</v>
      </c>
      <c r="B796" s="3" t="s">
        <v>53</v>
      </c>
      <c r="C796" s="33">
        <v>45540</v>
      </c>
      <c r="D796" s="3" t="s">
        <v>19</v>
      </c>
      <c r="E796" s="3" t="s">
        <v>16</v>
      </c>
      <c r="F796" s="3" t="s">
        <v>23</v>
      </c>
      <c r="G796" s="3">
        <v>29</v>
      </c>
      <c r="H796" s="3" t="s">
        <v>17</v>
      </c>
      <c r="I796" s="23">
        <v>4.9320001602172798</v>
      </c>
      <c r="J796" s="4">
        <v>2493.39990234375</v>
      </c>
      <c r="K796" s="4">
        <v>56160.49</v>
      </c>
      <c r="L796" s="4">
        <v>31030280656</v>
      </c>
      <c r="M796" s="3">
        <v>-3.12</v>
      </c>
    </row>
    <row r="797" spans="1:13" x14ac:dyDescent="0.25">
      <c r="A797" s="3">
        <v>796</v>
      </c>
      <c r="B797" s="3" t="s">
        <v>53</v>
      </c>
      <c r="C797" s="33">
        <v>45541</v>
      </c>
      <c r="D797" s="3" t="s">
        <v>20</v>
      </c>
      <c r="E797" s="3" t="s">
        <v>16</v>
      </c>
      <c r="F797" s="3" t="s">
        <v>14</v>
      </c>
      <c r="G797" s="3">
        <v>22</v>
      </c>
      <c r="H797" s="3" t="s">
        <v>17</v>
      </c>
      <c r="I797" s="23">
        <v>4.9079999923706001</v>
      </c>
      <c r="J797" s="4">
        <v>2511.39990234375</v>
      </c>
      <c r="K797" s="4">
        <v>53948.75</v>
      </c>
      <c r="L797" s="4">
        <v>49361693566</v>
      </c>
      <c r="M797" s="3">
        <v>-3.94</v>
      </c>
    </row>
    <row r="798" spans="1:13" x14ac:dyDescent="0.25">
      <c r="A798" s="3">
        <v>797</v>
      </c>
      <c r="B798" s="3" t="s">
        <v>53</v>
      </c>
      <c r="C798" s="33">
        <v>45542</v>
      </c>
      <c r="D798" s="3" t="s">
        <v>21</v>
      </c>
      <c r="E798" s="3" t="s">
        <v>13</v>
      </c>
      <c r="F798" s="3" t="s">
        <v>14</v>
      </c>
      <c r="G798" s="3">
        <v>23</v>
      </c>
      <c r="H798" s="3" t="s">
        <v>17</v>
      </c>
      <c r="I798" s="23">
        <v>4.9079999923706001</v>
      </c>
      <c r="J798" s="4">
        <v>2493.5</v>
      </c>
      <c r="K798" s="4">
        <v>54139.69</v>
      </c>
      <c r="L798" s="4">
        <v>19061486526</v>
      </c>
      <c r="M798" s="3">
        <v>0.35</v>
      </c>
    </row>
    <row r="799" spans="1:13" x14ac:dyDescent="0.25">
      <c r="A799" s="3">
        <v>798</v>
      </c>
      <c r="B799" s="3" t="s">
        <v>53</v>
      </c>
      <c r="C799" s="33">
        <v>45543</v>
      </c>
      <c r="D799" s="3" t="s">
        <v>22</v>
      </c>
      <c r="E799" s="3" t="s">
        <v>13</v>
      </c>
      <c r="F799" s="3" t="s">
        <v>23</v>
      </c>
      <c r="G799" s="3">
        <v>29</v>
      </c>
      <c r="H799" s="3" t="s">
        <v>17</v>
      </c>
      <c r="I799" s="23">
        <v>4.9079999923706001</v>
      </c>
      <c r="J799" s="4">
        <v>2511.39990234375</v>
      </c>
      <c r="K799" s="4">
        <v>54841.57</v>
      </c>
      <c r="L799" s="4">
        <v>18268287531</v>
      </c>
      <c r="M799" s="3">
        <v>1.3</v>
      </c>
    </row>
    <row r="800" spans="1:13" x14ac:dyDescent="0.25">
      <c r="A800" s="3">
        <v>799</v>
      </c>
      <c r="B800" s="3" t="s">
        <v>53</v>
      </c>
      <c r="C800" s="33">
        <v>45544</v>
      </c>
      <c r="D800" s="3" t="s">
        <v>12</v>
      </c>
      <c r="E800" s="3" t="s">
        <v>16</v>
      </c>
      <c r="F800" s="3" t="s">
        <v>23</v>
      </c>
      <c r="G800" s="3">
        <v>26</v>
      </c>
      <c r="H800" s="3" t="s">
        <v>17</v>
      </c>
      <c r="I800" s="23">
        <v>4.8949999809265101</v>
      </c>
      <c r="J800" s="4">
        <v>2493.5</v>
      </c>
      <c r="K800" s="4">
        <v>57019.54</v>
      </c>
      <c r="L800" s="4">
        <v>34618096173</v>
      </c>
      <c r="M800" s="3">
        <v>3.97</v>
      </c>
    </row>
    <row r="801" spans="1:13" x14ac:dyDescent="0.25">
      <c r="A801" s="3">
        <v>800</v>
      </c>
      <c r="B801" s="3" t="s">
        <v>53</v>
      </c>
      <c r="C801" s="33">
        <v>45545</v>
      </c>
      <c r="D801" s="3" t="s">
        <v>15</v>
      </c>
      <c r="E801" s="3" t="s">
        <v>16</v>
      </c>
      <c r="F801" s="3" t="s">
        <v>23</v>
      </c>
      <c r="G801" s="3">
        <v>33</v>
      </c>
      <c r="H801" s="3" t="s">
        <v>17</v>
      </c>
      <c r="I801" s="23">
        <v>4.83500003814697</v>
      </c>
      <c r="J801" s="4">
        <v>2501.80004882812</v>
      </c>
      <c r="K801" s="4">
        <v>57648.71</v>
      </c>
      <c r="L801" s="4">
        <v>28857630507</v>
      </c>
      <c r="M801" s="3">
        <v>1.1000000000000001</v>
      </c>
    </row>
    <row r="802" spans="1:13" x14ac:dyDescent="0.25">
      <c r="A802" s="3">
        <v>801</v>
      </c>
      <c r="B802" s="3" t="s">
        <v>53</v>
      </c>
      <c r="C802" s="33">
        <v>45546</v>
      </c>
      <c r="D802" s="3" t="s">
        <v>18</v>
      </c>
      <c r="E802" s="3" t="s">
        <v>16</v>
      </c>
      <c r="F802" s="3" t="s">
        <v>23</v>
      </c>
      <c r="G802" s="3">
        <v>37</v>
      </c>
      <c r="H802" s="3" t="s">
        <v>17</v>
      </c>
      <c r="I802" s="23">
        <v>4.875</v>
      </c>
      <c r="J802" s="4">
        <v>2512.30004882812</v>
      </c>
      <c r="K802" s="4">
        <v>57343.17</v>
      </c>
      <c r="L802" s="4">
        <v>37049062672</v>
      </c>
      <c r="M802" s="3">
        <v>-0.53</v>
      </c>
    </row>
    <row r="803" spans="1:13" x14ac:dyDescent="0.25">
      <c r="A803" s="3">
        <v>802</v>
      </c>
      <c r="B803" s="3" t="s">
        <v>53</v>
      </c>
      <c r="C803" s="33">
        <v>45547</v>
      </c>
      <c r="D803" s="3" t="s">
        <v>19</v>
      </c>
      <c r="E803" s="3" t="s">
        <v>16</v>
      </c>
      <c r="F803" s="3" t="s">
        <v>23</v>
      </c>
      <c r="G803" s="3">
        <v>31</v>
      </c>
      <c r="H803" s="3" t="s">
        <v>17</v>
      </c>
      <c r="I803" s="23">
        <v>4.8400001525878897</v>
      </c>
      <c r="J803" s="4">
        <v>2512.10009765625</v>
      </c>
      <c r="K803" s="4">
        <v>58127.01</v>
      </c>
      <c r="L803" s="4">
        <v>33835707949</v>
      </c>
      <c r="M803" s="3">
        <v>1.37</v>
      </c>
    </row>
    <row r="804" spans="1:13" x14ac:dyDescent="0.25">
      <c r="A804" s="3">
        <v>803</v>
      </c>
      <c r="B804" s="3" t="s">
        <v>53</v>
      </c>
      <c r="C804" s="33">
        <v>45548</v>
      </c>
      <c r="D804" s="3" t="s">
        <v>20</v>
      </c>
      <c r="E804" s="3" t="s">
        <v>16</v>
      </c>
      <c r="F804" s="3" t="s">
        <v>23</v>
      </c>
      <c r="G804" s="3">
        <v>32</v>
      </c>
      <c r="H804" s="3" t="s">
        <v>17</v>
      </c>
      <c r="I804" s="23">
        <v>4.76300001144409</v>
      </c>
      <c r="J804" s="4">
        <v>2551.19995117187</v>
      </c>
      <c r="K804" s="4">
        <v>60571.3</v>
      </c>
      <c r="L804" s="4">
        <v>32490528356</v>
      </c>
      <c r="M804" s="3">
        <v>4.21</v>
      </c>
    </row>
    <row r="805" spans="1:13" x14ac:dyDescent="0.25">
      <c r="A805" s="3">
        <v>804</v>
      </c>
      <c r="B805" s="3" t="s">
        <v>53</v>
      </c>
      <c r="C805" s="33">
        <v>45549</v>
      </c>
      <c r="D805" s="3" t="s">
        <v>21</v>
      </c>
      <c r="E805" s="3" t="s">
        <v>13</v>
      </c>
      <c r="F805" s="3" t="s">
        <v>24</v>
      </c>
      <c r="G805" s="3">
        <v>50</v>
      </c>
      <c r="H805" s="3" t="s">
        <v>17</v>
      </c>
      <c r="I805" s="23">
        <v>4.76300001144409</v>
      </c>
      <c r="J805" s="4">
        <v>2581.30004882812</v>
      </c>
      <c r="K805" s="4">
        <v>60005.120000000003</v>
      </c>
      <c r="L805" s="4">
        <v>16428405496</v>
      </c>
      <c r="M805" s="3">
        <v>-0.93</v>
      </c>
    </row>
    <row r="806" spans="1:13" x14ac:dyDescent="0.25">
      <c r="A806" s="3">
        <v>805</v>
      </c>
      <c r="B806" s="3" t="s">
        <v>53</v>
      </c>
      <c r="C806" s="33">
        <v>45550</v>
      </c>
      <c r="D806" s="3" t="s">
        <v>22</v>
      </c>
      <c r="E806" s="3" t="s">
        <v>13</v>
      </c>
      <c r="F806" s="3" t="s">
        <v>24</v>
      </c>
      <c r="G806" s="3">
        <v>51</v>
      </c>
      <c r="H806" s="3" t="s">
        <v>17</v>
      </c>
      <c r="I806" s="23">
        <v>4.76300001144409</v>
      </c>
      <c r="J806" s="4">
        <v>2551.19995117187</v>
      </c>
      <c r="K806" s="4">
        <v>59182.84</v>
      </c>
      <c r="L806" s="4">
        <v>18120960867</v>
      </c>
      <c r="M806" s="3">
        <v>-1.37</v>
      </c>
    </row>
    <row r="807" spans="1:13" x14ac:dyDescent="0.25">
      <c r="A807" s="3">
        <v>806</v>
      </c>
      <c r="B807" s="3" t="s">
        <v>53</v>
      </c>
      <c r="C807" s="33">
        <v>45551</v>
      </c>
      <c r="D807" s="3" t="s">
        <v>12</v>
      </c>
      <c r="E807" s="3" t="s">
        <v>16</v>
      </c>
      <c r="F807" s="3" t="s">
        <v>23</v>
      </c>
      <c r="G807" s="3">
        <v>39</v>
      </c>
      <c r="H807" s="3" t="s">
        <v>17</v>
      </c>
      <c r="I807" s="23">
        <v>4.7449998855590803</v>
      </c>
      <c r="J807" s="4">
        <v>2581.30004882812</v>
      </c>
      <c r="K807" s="4">
        <v>58192.51</v>
      </c>
      <c r="L807" s="4">
        <v>32032822113</v>
      </c>
      <c r="M807" s="3">
        <v>-1.67</v>
      </c>
    </row>
    <row r="808" spans="1:13" x14ac:dyDescent="0.25">
      <c r="A808" s="3">
        <v>807</v>
      </c>
      <c r="B808" s="3" t="s">
        <v>53</v>
      </c>
      <c r="C808" s="33">
        <v>45552</v>
      </c>
      <c r="D808" s="3" t="s">
        <v>15</v>
      </c>
      <c r="E808" s="3" t="s">
        <v>16</v>
      </c>
      <c r="F808" s="3" t="s">
        <v>23</v>
      </c>
      <c r="G808" s="3">
        <v>33</v>
      </c>
      <c r="H808" s="3" t="s">
        <v>17</v>
      </c>
      <c r="I808" s="23">
        <v>4.7350001335143999</v>
      </c>
      <c r="J808" s="4">
        <v>2580.39990234375</v>
      </c>
      <c r="K808" s="4">
        <v>60308.54</v>
      </c>
      <c r="L808" s="4">
        <v>38075570118</v>
      </c>
      <c r="M808" s="3">
        <v>3.64</v>
      </c>
    </row>
    <row r="809" spans="1:13" x14ac:dyDescent="0.25">
      <c r="A809" s="3">
        <v>808</v>
      </c>
      <c r="B809" s="3" t="s">
        <v>53</v>
      </c>
      <c r="C809" s="33">
        <v>45553</v>
      </c>
      <c r="D809" s="3" t="s">
        <v>18</v>
      </c>
      <c r="E809" s="3" t="s">
        <v>16</v>
      </c>
      <c r="F809" s="3" t="s">
        <v>23</v>
      </c>
      <c r="G809" s="3">
        <v>45</v>
      </c>
      <c r="H809" s="3" t="s">
        <v>17</v>
      </c>
      <c r="I809" s="23">
        <v>4.6149997711181596</v>
      </c>
      <c r="J809" s="4">
        <v>2564.30004882812</v>
      </c>
      <c r="K809" s="4">
        <v>61649.68</v>
      </c>
      <c r="L809" s="4">
        <v>40990702891</v>
      </c>
      <c r="M809" s="3">
        <v>2.2200000000000002</v>
      </c>
    </row>
    <row r="810" spans="1:13" x14ac:dyDescent="0.25">
      <c r="A810" s="3">
        <v>809</v>
      </c>
      <c r="B810" s="3" t="s">
        <v>53</v>
      </c>
      <c r="C810" s="33">
        <v>45554</v>
      </c>
      <c r="D810" s="3" t="s">
        <v>19</v>
      </c>
      <c r="E810" s="3" t="s">
        <v>16</v>
      </c>
      <c r="F810" s="3" t="s">
        <v>23</v>
      </c>
      <c r="G810" s="3">
        <v>49</v>
      </c>
      <c r="H810" s="3" t="s">
        <v>17</v>
      </c>
      <c r="I810" s="23">
        <v>4.5929999351501403</v>
      </c>
      <c r="J810" s="4">
        <v>2570.69995117187</v>
      </c>
      <c r="K810" s="4">
        <v>62940.46</v>
      </c>
      <c r="L810" s="4">
        <v>42710252573</v>
      </c>
      <c r="M810" s="3">
        <v>2.09</v>
      </c>
    </row>
    <row r="811" spans="1:13" x14ac:dyDescent="0.25">
      <c r="A811" s="3">
        <v>810</v>
      </c>
      <c r="B811" s="3" t="s">
        <v>53</v>
      </c>
      <c r="C811" s="33">
        <v>45555</v>
      </c>
      <c r="D811" s="3" t="s">
        <v>20</v>
      </c>
      <c r="E811" s="3" t="s">
        <v>16</v>
      </c>
      <c r="F811" s="3" t="s">
        <v>24</v>
      </c>
      <c r="G811" s="3">
        <v>54</v>
      </c>
      <c r="H811" s="3" t="s">
        <v>17</v>
      </c>
      <c r="I811" s="23">
        <v>4.54500007629394</v>
      </c>
      <c r="J811" s="4">
        <v>2588</v>
      </c>
      <c r="K811" s="4">
        <v>63192.98</v>
      </c>
      <c r="L811" s="4">
        <v>35177164222</v>
      </c>
      <c r="M811" s="3">
        <v>0.4</v>
      </c>
    </row>
    <row r="812" spans="1:13" x14ac:dyDescent="0.25">
      <c r="A812" s="3">
        <v>811</v>
      </c>
      <c r="B812" s="3" t="s">
        <v>53</v>
      </c>
      <c r="C812" s="33">
        <v>45556</v>
      </c>
      <c r="D812" s="3" t="s">
        <v>21</v>
      </c>
      <c r="E812" s="3" t="s">
        <v>13</v>
      </c>
      <c r="F812" s="3" t="s">
        <v>24</v>
      </c>
      <c r="G812" s="3">
        <v>54</v>
      </c>
      <c r="H812" s="3" t="s">
        <v>17</v>
      </c>
      <c r="I812" s="23">
        <v>4.54500007629394</v>
      </c>
      <c r="J812" s="4">
        <v>2619.89990234375</v>
      </c>
      <c r="K812" s="4">
        <v>63394.84</v>
      </c>
      <c r="L812" s="4">
        <v>14408616220</v>
      </c>
      <c r="M812" s="3">
        <v>0.32</v>
      </c>
    </row>
    <row r="813" spans="1:13" x14ac:dyDescent="0.25">
      <c r="A813" s="3">
        <v>812</v>
      </c>
      <c r="B813" s="3" t="s">
        <v>53</v>
      </c>
      <c r="C813" s="33">
        <v>45557</v>
      </c>
      <c r="D813" s="3" t="s">
        <v>22</v>
      </c>
      <c r="E813" s="3" t="s">
        <v>13</v>
      </c>
      <c r="F813" s="3" t="s">
        <v>24</v>
      </c>
      <c r="G813" s="3">
        <v>52</v>
      </c>
      <c r="H813" s="3" t="s">
        <v>17</v>
      </c>
      <c r="I813" s="23">
        <v>4.54500007629394</v>
      </c>
      <c r="J813" s="4">
        <v>2588</v>
      </c>
      <c r="K813" s="4">
        <v>63648.71</v>
      </c>
      <c r="L813" s="4">
        <v>20183348802</v>
      </c>
      <c r="M813" s="3">
        <v>0.4</v>
      </c>
    </row>
    <row r="814" spans="1:13" x14ac:dyDescent="0.25">
      <c r="A814" s="3">
        <v>813</v>
      </c>
      <c r="B814" s="3" t="s">
        <v>53</v>
      </c>
      <c r="C814" s="33">
        <v>45558</v>
      </c>
      <c r="D814" s="3" t="s">
        <v>12</v>
      </c>
      <c r="E814" s="3" t="s">
        <v>16</v>
      </c>
      <c r="F814" s="3" t="s">
        <v>24</v>
      </c>
      <c r="G814" s="3">
        <v>50</v>
      </c>
      <c r="H814" s="3" t="s">
        <v>17</v>
      </c>
      <c r="I814" s="23">
        <v>4.5029997825622496</v>
      </c>
      <c r="J814" s="4">
        <v>2619.89990234375</v>
      </c>
      <c r="K814" s="4">
        <v>63329.8</v>
      </c>
      <c r="L814" s="4">
        <v>31400285425</v>
      </c>
      <c r="M814" s="3">
        <v>-0.5</v>
      </c>
    </row>
    <row r="815" spans="1:13" x14ac:dyDescent="0.25">
      <c r="A815" s="3">
        <v>814</v>
      </c>
      <c r="B815" s="3" t="s">
        <v>53</v>
      </c>
      <c r="C815" s="33">
        <v>45559</v>
      </c>
      <c r="D815" s="3" t="s">
        <v>15</v>
      </c>
      <c r="E815" s="3" t="s">
        <v>16</v>
      </c>
      <c r="F815" s="3" t="s">
        <v>24</v>
      </c>
      <c r="G815" s="3">
        <v>54</v>
      </c>
      <c r="H815" s="3" t="s">
        <v>17</v>
      </c>
      <c r="I815" s="23">
        <v>4.4949998855590803</v>
      </c>
      <c r="J815" s="4">
        <v>2626.5</v>
      </c>
      <c r="K815" s="4">
        <v>64301.97</v>
      </c>
      <c r="L815" s="4">
        <v>29938335243</v>
      </c>
      <c r="M815" s="3">
        <v>1.54</v>
      </c>
    </row>
    <row r="816" spans="1:13" x14ac:dyDescent="0.25">
      <c r="A816" s="3">
        <v>815</v>
      </c>
      <c r="B816" s="3" t="s">
        <v>53</v>
      </c>
      <c r="C816" s="33">
        <v>45560</v>
      </c>
      <c r="D816" s="3" t="s">
        <v>18</v>
      </c>
      <c r="E816" s="3" t="s">
        <v>16</v>
      </c>
      <c r="F816" s="3" t="s">
        <v>24</v>
      </c>
      <c r="G816" s="3">
        <v>59</v>
      </c>
      <c r="H816" s="3" t="s">
        <v>17</v>
      </c>
      <c r="I816" s="23">
        <v>4.4869999885559002</v>
      </c>
      <c r="J816" s="4">
        <v>2651.19995117187</v>
      </c>
      <c r="K816" s="4">
        <v>63143.14</v>
      </c>
      <c r="L816" s="4">
        <v>25078377700</v>
      </c>
      <c r="M816" s="3">
        <v>-1.8</v>
      </c>
    </row>
    <row r="817" spans="1:13" x14ac:dyDescent="0.25">
      <c r="A817" s="3">
        <v>816</v>
      </c>
      <c r="B817" s="3" t="s">
        <v>53</v>
      </c>
      <c r="C817" s="33">
        <v>45561</v>
      </c>
      <c r="D817" s="3" t="s">
        <v>19</v>
      </c>
      <c r="E817" s="3" t="s">
        <v>16</v>
      </c>
      <c r="F817" s="3" t="s">
        <v>24</v>
      </c>
      <c r="G817" s="3">
        <v>50</v>
      </c>
      <c r="H817" s="3" t="s">
        <v>17</v>
      </c>
      <c r="I817" s="23">
        <v>4.4679999351501403</v>
      </c>
      <c r="J817" s="4">
        <v>2659.19995117187</v>
      </c>
      <c r="K817" s="4">
        <v>65181.02</v>
      </c>
      <c r="L817" s="4">
        <v>36873129847</v>
      </c>
      <c r="M817" s="3">
        <v>3.23</v>
      </c>
    </row>
    <row r="818" spans="1:13" x14ac:dyDescent="0.25">
      <c r="A818" s="3">
        <v>817</v>
      </c>
      <c r="B818" s="3" t="s">
        <v>53</v>
      </c>
      <c r="C818" s="33">
        <v>45562</v>
      </c>
      <c r="D818" s="3" t="s">
        <v>20</v>
      </c>
      <c r="E818" s="3" t="s">
        <v>16</v>
      </c>
      <c r="F818" s="3" t="s">
        <v>24</v>
      </c>
      <c r="G818" s="3">
        <v>61</v>
      </c>
      <c r="H818" s="3" t="s">
        <v>17</v>
      </c>
      <c r="I818" s="23">
        <v>4.4819998741149902</v>
      </c>
      <c r="J818" s="4">
        <v>2669.89990234375</v>
      </c>
      <c r="K818" s="4">
        <v>65790.66</v>
      </c>
      <c r="L818" s="4">
        <v>32058813449</v>
      </c>
      <c r="M818" s="3">
        <v>0.94</v>
      </c>
    </row>
    <row r="819" spans="1:13" x14ac:dyDescent="0.25">
      <c r="A819" s="3">
        <v>818</v>
      </c>
      <c r="B819" s="3" t="s">
        <v>53</v>
      </c>
      <c r="C819" s="33">
        <v>45563</v>
      </c>
      <c r="D819" s="3" t="s">
        <v>21</v>
      </c>
      <c r="E819" s="3" t="s">
        <v>13</v>
      </c>
      <c r="F819" s="3" t="s">
        <v>24</v>
      </c>
      <c r="G819" s="3">
        <v>64</v>
      </c>
      <c r="H819" s="3" t="s">
        <v>17</v>
      </c>
      <c r="I819" s="23">
        <v>4.4819998741149902</v>
      </c>
      <c r="J819" s="4">
        <v>2644.30004882812</v>
      </c>
      <c r="K819" s="4">
        <v>65887.649999999994</v>
      </c>
      <c r="L819" s="4">
        <v>15243637984</v>
      </c>
      <c r="M819" s="3">
        <v>0.15</v>
      </c>
    </row>
    <row r="820" spans="1:13" x14ac:dyDescent="0.25">
      <c r="A820" s="3">
        <v>819</v>
      </c>
      <c r="B820" s="3" t="s">
        <v>53</v>
      </c>
      <c r="C820" s="33">
        <v>45564</v>
      </c>
      <c r="D820" s="3" t="s">
        <v>22</v>
      </c>
      <c r="E820" s="3" t="s">
        <v>13</v>
      </c>
      <c r="F820" s="3" t="s">
        <v>24</v>
      </c>
      <c r="G820" s="3">
        <v>63</v>
      </c>
      <c r="H820" s="3" t="s">
        <v>17</v>
      </c>
      <c r="I820" s="23">
        <v>4.4819998741149902</v>
      </c>
      <c r="J820" s="4">
        <v>2669.89990234375</v>
      </c>
      <c r="K820" s="4">
        <v>65635.3</v>
      </c>
      <c r="L820" s="4">
        <v>14788214575</v>
      </c>
      <c r="M820" s="3">
        <v>-0.38</v>
      </c>
    </row>
    <row r="821" spans="1:13" x14ac:dyDescent="0.25">
      <c r="A821" s="3">
        <v>820</v>
      </c>
      <c r="B821" s="3" t="s">
        <v>53</v>
      </c>
      <c r="C821" s="33">
        <v>45565</v>
      </c>
      <c r="D821" s="3" t="s">
        <v>12</v>
      </c>
      <c r="E821" s="3" t="s">
        <v>16</v>
      </c>
      <c r="F821" s="3" t="s">
        <v>24</v>
      </c>
      <c r="G821" s="3">
        <v>61</v>
      </c>
      <c r="H821" s="3" t="s">
        <v>17</v>
      </c>
      <c r="I821" s="23">
        <v>4.4980001449584899</v>
      </c>
      <c r="J821" s="4">
        <v>2644.30004882812</v>
      </c>
      <c r="K821" s="4">
        <v>63329.5</v>
      </c>
      <c r="L821" s="4">
        <v>37112957475</v>
      </c>
      <c r="M821" s="3">
        <v>-3.51</v>
      </c>
    </row>
    <row r="822" spans="1:13" x14ac:dyDescent="0.25">
      <c r="A822" s="3">
        <v>821</v>
      </c>
      <c r="B822" s="3" t="s">
        <v>54</v>
      </c>
      <c r="C822" s="33">
        <v>45566</v>
      </c>
      <c r="D822" s="3" t="s">
        <v>15</v>
      </c>
      <c r="E822" s="3" t="s">
        <v>16</v>
      </c>
      <c r="F822" s="3" t="s">
        <v>24</v>
      </c>
      <c r="G822" s="3">
        <v>50</v>
      </c>
      <c r="H822" s="3" t="s">
        <v>17</v>
      </c>
      <c r="I822" s="23">
        <v>4.4819998741149902</v>
      </c>
      <c r="J822" s="4">
        <v>2636.10009765625</v>
      </c>
      <c r="K822" s="4">
        <v>60837.01</v>
      </c>
      <c r="L822" s="4">
        <v>50220923500</v>
      </c>
      <c r="M822" s="3">
        <v>-3.94</v>
      </c>
    </row>
    <row r="823" spans="1:13" x14ac:dyDescent="0.25">
      <c r="A823" s="3">
        <v>822</v>
      </c>
      <c r="B823" s="3" t="s">
        <v>54</v>
      </c>
      <c r="C823" s="33">
        <v>45567</v>
      </c>
      <c r="D823" s="3" t="s">
        <v>18</v>
      </c>
      <c r="E823" s="3" t="s">
        <v>16</v>
      </c>
      <c r="F823" s="3" t="s">
        <v>23</v>
      </c>
      <c r="G823" s="3">
        <v>42</v>
      </c>
      <c r="H823" s="3" t="s">
        <v>17</v>
      </c>
      <c r="I823" s="23">
        <v>4.47300004959106</v>
      </c>
      <c r="J823" s="4">
        <v>2667.30004882812</v>
      </c>
      <c r="K823" s="4">
        <v>60632.79</v>
      </c>
      <c r="L823" s="4">
        <v>40762722398</v>
      </c>
      <c r="M823" s="3">
        <v>-0.34</v>
      </c>
    </row>
    <row r="824" spans="1:13" x14ac:dyDescent="0.25">
      <c r="A824" s="3">
        <v>823</v>
      </c>
      <c r="B824" s="3" t="s">
        <v>54</v>
      </c>
      <c r="C824" s="33">
        <v>45568</v>
      </c>
      <c r="D824" s="3" t="s">
        <v>19</v>
      </c>
      <c r="E824" s="3" t="s">
        <v>16</v>
      </c>
      <c r="F824" s="3" t="s">
        <v>23</v>
      </c>
      <c r="G824" s="3">
        <v>37</v>
      </c>
      <c r="H824" s="3" t="s">
        <v>17</v>
      </c>
      <c r="I824" s="23">
        <v>4.4650001525878897</v>
      </c>
      <c r="J824" s="4">
        <v>2647.10009765625</v>
      </c>
      <c r="K824" s="4">
        <v>60759.4</v>
      </c>
      <c r="L824" s="4">
        <v>36106447279</v>
      </c>
      <c r="M824" s="3">
        <v>0.21</v>
      </c>
    </row>
    <row r="825" spans="1:13" x14ac:dyDescent="0.25">
      <c r="A825" s="3">
        <v>824</v>
      </c>
      <c r="B825" s="3" t="s">
        <v>54</v>
      </c>
      <c r="C825" s="33">
        <v>45569</v>
      </c>
      <c r="D825" s="3" t="s">
        <v>20</v>
      </c>
      <c r="E825" s="3" t="s">
        <v>16</v>
      </c>
      <c r="F825" s="3" t="s">
        <v>23</v>
      </c>
      <c r="G825" s="3">
        <v>41</v>
      </c>
      <c r="H825" s="3" t="s">
        <v>17</v>
      </c>
      <c r="I825" s="23">
        <v>4.50500011444091</v>
      </c>
      <c r="J825" s="4">
        <v>2657.10009765625</v>
      </c>
      <c r="K825" s="4">
        <v>62067.48</v>
      </c>
      <c r="L825" s="4">
        <v>29585472513</v>
      </c>
      <c r="M825" s="3">
        <v>2.15</v>
      </c>
    </row>
    <row r="826" spans="1:13" x14ac:dyDescent="0.25">
      <c r="A826" s="3">
        <v>825</v>
      </c>
      <c r="B826" s="3" t="s">
        <v>54</v>
      </c>
      <c r="C826" s="33">
        <v>45570</v>
      </c>
      <c r="D826" s="3" t="s">
        <v>21</v>
      </c>
      <c r="E826" s="3" t="s">
        <v>13</v>
      </c>
      <c r="F826" s="3" t="s">
        <v>23</v>
      </c>
      <c r="G826" s="3">
        <v>49</v>
      </c>
      <c r="H826" s="3" t="s">
        <v>17</v>
      </c>
      <c r="I826" s="23">
        <v>4.50500011444091</v>
      </c>
      <c r="J826" s="4">
        <v>2645.80004882812</v>
      </c>
      <c r="K826" s="4">
        <v>62089.95</v>
      </c>
      <c r="L826" s="4">
        <v>13305410749</v>
      </c>
      <c r="M826" s="3">
        <v>0.04</v>
      </c>
    </row>
    <row r="827" spans="1:13" x14ac:dyDescent="0.25">
      <c r="A827" s="3">
        <v>826</v>
      </c>
      <c r="B827" s="3" t="s">
        <v>54</v>
      </c>
      <c r="C827" s="33">
        <v>45571</v>
      </c>
      <c r="D827" s="3" t="s">
        <v>22</v>
      </c>
      <c r="E827" s="3" t="s">
        <v>13</v>
      </c>
      <c r="F827" s="3" t="s">
        <v>24</v>
      </c>
      <c r="G827" s="3">
        <v>50</v>
      </c>
      <c r="H827" s="3" t="s">
        <v>17</v>
      </c>
      <c r="I827" s="23">
        <v>4.50500011444091</v>
      </c>
      <c r="J827" s="4">
        <v>2657.10009765625</v>
      </c>
      <c r="K827" s="4">
        <v>62818.95</v>
      </c>
      <c r="L827" s="4">
        <v>14776233667</v>
      </c>
      <c r="M827" s="3">
        <v>1.17</v>
      </c>
    </row>
    <row r="828" spans="1:13" x14ac:dyDescent="0.25">
      <c r="A828" s="3">
        <v>827</v>
      </c>
      <c r="B828" s="3" t="s">
        <v>54</v>
      </c>
      <c r="C828" s="33">
        <v>45572</v>
      </c>
      <c r="D828" s="3" t="s">
        <v>12</v>
      </c>
      <c r="E828" s="3" t="s">
        <v>16</v>
      </c>
      <c r="F828" s="3" t="s">
        <v>24</v>
      </c>
      <c r="G828" s="3">
        <v>50</v>
      </c>
      <c r="H828" s="3" t="s">
        <v>17</v>
      </c>
      <c r="I828" s="23">
        <v>4.5250000953674299</v>
      </c>
      <c r="J828" s="4">
        <v>2645.80004882812</v>
      </c>
      <c r="K828" s="4">
        <v>62236.66</v>
      </c>
      <c r="L828" s="4">
        <v>34253562610</v>
      </c>
      <c r="M828" s="3">
        <v>-0.93</v>
      </c>
    </row>
    <row r="829" spans="1:13" x14ac:dyDescent="0.25">
      <c r="A829" s="3">
        <v>828</v>
      </c>
      <c r="B829" s="3" t="s">
        <v>54</v>
      </c>
      <c r="C829" s="33">
        <v>45573</v>
      </c>
      <c r="D829" s="3" t="s">
        <v>15</v>
      </c>
      <c r="E829" s="3" t="s">
        <v>16</v>
      </c>
      <c r="F829" s="3" t="s">
        <v>23</v>
      </c>
      <c r="G829" s="3">
        <v>49</v>
      </c>
      <c r="H829" s="3" t="s">
        <v>17</v>
      </c>
      <c r="I829" s="23">
        <v>4.5279998779296804</v>
      </c>
      <c r="J829" s="4">
        <v>2644.80004882812</v>
      </c>
      <c r="K829" s="4">
        <v>62131.97</v>
      </c>
      <c r="L829" s="4">
        <v>28134475157</v>
      </c>
      <c r="M829" s="3">
        <v>-0.17</v>
      </c>
    </row>
    <row r="830" spans="1:13" x14ac:dyDescent="0.25">
      <c r="A830" s="3">
        <v>829</v>
      </c>
      <c r="B830" s="3" t="s">
        <v>54</v>
      </c>
      <c r="C830" s="33">
        <v>45574</v>
      </c>
      <c r="D830" s="3" t="s">
        <v>18</v>
      </c>
      <c r="E830" s="3" t="s">
        <v>16</v>
      </c>
      <c r="F830" s="3" t="s">
        <v>23</v>
      </c>
      <c r="G830" s="3">
        <v>49</v>
      </c>
      <c r="H830" s="3" t="s">
        <v>17</v>
      </c>
      <c r="I830" s="23">
        <v>4.5349998474120996</v>
      </c>
      <c r="J830" s="4">
        <v>2615</v>
      </c>
      <c r="K830" s="4">
        <v>60582.1</v>
      </c>
      <c r="L830" s="4">
        <v>27670982363</v>
      </c>
      <c r="M830" s="3">
        <v>-2.4900000000000002</v>
      </c>
    </row>
    <row r="831" spans="1:13" x14ac:dyDescent="0.25">
      <c r="A831" s="3">
        <v>830</v>
      </c>
      <c r="B831" s="3" t="s">
        <v>54</v>
      </c>
      <c r="C831" s="33">
        <v>45575</v>
      </c>
      <c r="D831" s="3" t="s">
        <v>19</v>
      </c>
      <c r="E831" s="3" t="s">
        <v>16</v>
      </c>
      <c r="F831" s="3" t="s">
        <v>23</v>
      </c>
      <c r="G831" s="3">
        <v>39</v>
      </c>
      <c r="H831" s="3" t="s">
        <v>17</v>
      </c>
      <c r="I831" s="23">
        <v>4.5300002098083496</v>
      </c>
      <c r="J831" s="4">
        <v>2606</v>
      </c>
      <c r="K831" s="4">
        <v>60274.5</v>
      </c>
      <c r="L831" s="4">
        <v>30452813570</v>
      </c>
      <c r="M831" s="3">
        <v>-0.51</v>
      </c>
    </row>
    <row r="832" spans="1:13" x14ac:dyDescent="0.25">
      <c r="A832" s="3">
        <v>831</v>
      </c>
      <c r="B832" s="3" t="s">
        <v>54</v>
      </c>
      <c r="C832" s="33">
        <v>45576</v>
      </c>
      <c r="D832" s="3" t="s">
        <v>20</v>
      </c>
      <c r="E832" s="3" t="s">
        <v>16</v>
      </c>
      <c r="F832" s="3" t="s">
        <v>23</v>
      </c>
      <c r="G832" s="3">
        <v>32</v>
      </c>
      <c r="H832" s="3" t="s">
        <v>17</v>
      </c>
      <c r="I832" s="23">
        <v>4.5149998664855904</v>
      </c>
      <c r="J832" s="4">
        <v>2620.60009765625</v>
      </c>
      <c r="K832" s="4">
        <v>62445.09</v>
      </c>
      <c r="L832" s="4">
        <v>30327141594</v>
      </c>
      <c r="M832" s="3">
        <v>3.6</v>
      </c>
    </row>
    <row r="833" spans="1:13" x14ac:dyDescent="0.25">
      <c r="A833" s="3">
        <v>832</v>
      </c>
      <c r="B833" s="3" t="s">
        <v>54</v>
      </c>
      <c r="C833" s="33">
        <v>45577</v>
      </c>
      <c r="D833" s="3" t="s">
        <v>21</v>
      </c>
      <c r="E833" s="3" t="s">
        <v>13</v>
      </c>
      <c r="F833" s="3" t="s">
        <v>23</v>
      </c>
      <c r="G833" s="3">
        <v>49</v>
      </c>
      <c r="H833" s="3" t="s">
        <v>17</v>
      </c>
      <c r="I833" s="23">
        <v>4.5149998664855904</v>
      </c>
      <c r="J833" s="4">
        <v>2657.60009765625</v>
      </c>
      <c r="K833" s="4">
        <v>63193.02</v>
      </c>
      <c r="L833" s="4">
        <v>16744110886</v>
      </c>
      <c r="M833" s="3">
        <v>1.2</v>
      </c>
    </row>
    <row r="834" spans="1:13" x14ac:dyDescent="0.25">
      <c r="A834" s="3">
        <v>833</v>
      </c>
      <c r="B834" s="3" t="s">
        <v>54</v>
      </c>
      <c r="C834" s="33">
        <v>45578</v>
      </c>
      <c r="D834" s="3" t="s">
        <v>22</v>
      </c>
      <c r="E834" s="3" t="s">
        <v>13</v>
      </c>
      <c r="F834" s="3" t="s">
        <v>24</v>
      </c>
      <c r="G834" s="3">
        <v>50</v>
      </c>
      <c r="H834" s="3" t="s">
        <v>17</v>
      </c>
      <c r="I834" s="23">
        <v>4.5149998664855904</v>
      </c>
      <c r="J834" s="4">
        <v>2620.60009765625</v>
      </c>
      <c r="K834" s="4">
        <v>62851.38</v>
      </c>
      <c r="L834" s="4">
        <v>18177529690</v>
      </c>
      <c r="M834" s="3">
        <v>-0.54</v>
      </c>
    </row>
    <row r="835" spans="1:13" x14ac:dyDescent="0.25">
      <c r="A835" s="3">
        <v>834</v>
      </c>
      <c r="B835" s="3" t="s">
        <v>54</v>
      </c>
      <c r="C835" s="33">
        <v>45579</v>
      </c>
      <c r="D835" s="3" t="s">
        <v>12</v>
      </c>
      <c r="E835" s="3" t="s">
        <v>16</v>
      </c>
      <c r="F835" s="3" t="s">
        <v>23</v>
      </c>
      <c r="G835" s="3">
        <v>48</v>
      </c>
      <c r="H835" s="3" t="s">
        <v>17</v>
      </c>
      <c r="I835" s="23">
        <v>4.5180001258850098</v>
      </c>
      <c r="J835" s="4">
        <v>2657.60009765625</v>
      </c>
      <c r="K835" s="4">
        <v>66046.13</v>
      </c>
      <c r="L835" s="4">
        <v>43706958056</v>
      </c>
      <c r="M835" s="3">
        <v>5.08</v>
      </c>
    </row>
    <row r="836" spans="1:13" x14ac:dyDescent="0.25">
      <c r="A836" s="3">
        <v>835</v>
      </c>
      <c r="B836" s="3" t="s">
        <v>54</v>
      </c>
      <c r="C836" s="33">
        <v>45580</v>
      </c>
      <c r="D836" s="3" t="s">
        <v>15</v>
      </c>
      <c r="E836" s="3" t="s">
        <v>16</v>
      </c>
      <c r="F836" s="3" t="s">
        <v>24</v>
      </c>
      <c r="G836" s="3">
        <v>65</v>
      </c>
      <c r="H836" s="3" t="s">
        <v>17</v>
      </c>
      <c r="I836" s="23">
        <v>4.5149998664855904</v>
      </c>
      <c r="J836" s="4">
        <v>2647.80004882812</v>
      </c>
      <c r="K836" s="4">
        <v>67041.11</v>
      </c>
      <c r="L836" s="4">
        <v>48863870879</v>
      </c>
      <c r="M836" s="3">
        <v>1.51</v>
      </c>
    </row>
    <row r="837" spans="1:13" x14ac:dyDescent="0.25">
      <c r="A837" s="3">
        <v>836</v>
      </c>
      <c r="B837" s="3" t="s">
        <v>54</v>
      </c>
      <c r="C837" s="33">
        <v>45581</v>
      </c>
      <c r="D837" s="3" t="s">
        <v>18</v>
      </c>
      <c r="E837" s="3" t="s">
        <v>16</v>
      </c>
      <c r="F837" s="3" t="s">
        <v>24</v>
      </c>
      <c r="G837" s="3">
        <v>73</v>
      </c>
      <c r="H837" s="3" t="s">
        <v>17</v>
      </c>
      <c r="I837" s="23">
        <v>4.5029997825622496</v>
      </c>
      <c r="J837" s="4">
        <v>2661.39990234375</v>
      </c>
      <c r="K837" s="4">
        <v>67612.72</v>
      </c>
      <c r="L837" s="4">
        <v>38195189534</v>
      </c>
      <c r="M837" s="3">
        <v>0.85</v>
      </c>
    </row>
    <row r="838" spans="1:13" x14ac:dyDescent="0.25">
      <c r="A838" s="3">
        <v>837</v>
      </c>
      <c r="B838" s="3" t="s">
        <v>54</v>
      </c>
      <c r="C838" s="33">
        <v>45582</v>
      </c>
      <c r="D838" s="3" t="s">
        <v>19</v>
      </c>
      <c r="E838" s="3" t="s">
        <v>16</v>
      </c>
      <c r="F838" s="3" t="s">
        <v>24</v>
      </c>
      <c r="G838" s="3">
        <v>71</v>
      </c>
      <c r="H838" s="3" t="s">
        <v>17</v>
      </c>
      <c r="I838" s="23">
        <v>4.5149998664855904</v>
      </c>
      <c r="J838" s="4">
        <v>2674</v>
      </c>
      <c r="K838" s="4">
        <v>67399.839999999997</v>
      </c>
      <c r="L838" s="4">
        <v>32790898511</v>
      </c>
      <c r="M838" s="3">
        <v>-0.31</v>
      </c>
    </row>
    <row r="839" spans="1:13" x14ac:dyDescent="0.25">
      <c r="A839" s="3">
        <v>838</v>
      </c>
      <c r="B839" s="3" t="s">
        <v>54</v>
      </c>
      <c r="C839" s="33">
        <v>45583</v>
      </c>
      <c r="D839" s="3" t="s">
        <v>20</v>
      </c>
      <c r="E839" s="3" t="s">
        <v>16</v>
      </c>
      <c r="F839" s="3" t="s">
        <v>24</v>
      </c>
      <c r="G839" s="3">
        <v>73</v>
      </c>
      <c r="H839" s="3" t="s">
        <v>17</v>
      </c>
      <c r="I839" s="23">
        <v>4.51300001144409</v>
      </c>
      <c r="J839" s="4">
        <v>2691</v>
      </c>
      <c r="K839" s="4">
        <v>68418.789999999994</v>
      </c>
      <c r="L839" s="4">
        <v>36857165014</v>
      </c>
      <c r="M839" s="3">
        <v>1.51</v>
      </c>
    </row>
    <row r="840" spans="1:13" x14ac:dyDescent="0.25">
      <c r="A840" s="3">
        <v>839</v>
      </c>
      <c r="B840" s="3" t="s">
        <v>54</v>
      </c>
      <c r="C840" s="33">
        <v>45584</v>
      </c>
      <c r="D840" s="3" t="s">
        <v>21</v>
      </c>
      <c r="E840" s="3" t="s">
        <v>13</v>
      </c>
      <c r="F840" s="3" t="s">
        <v>24</v>
      </c>
      <c r="G840" s="3">
        <v>72</v>
      </c>
      <c r="H840" s="3" t="s">
        <v>17</v>
      </c>
      <c r="I840" s="23">
        <v>4.51300001144409</v>
      </c>
      <c r="J840" s="4">
        <v>2713.69995117187</v>
      </c>
      <c r="K840" s="4">
        <v>68362.73</v>
      </c>
      <c r="L840" s="4">
        <v>14443497908</v>
      </c>
      <c r="M840" s="3">
        <v>-0.08</v>
      </c>
    </row>
    <row r="841" spans="1:13" x14ac:dyDescent="0.25">
      <c r="A841" s="3">
        <v>840</v>
      </c>
      <c r="B841" s="3" t="s">
        <v>54</v>
      </c>
      <c r="C841" s="33">
        <v>45585</v>
      </c>
      <c r="D841" s="3" t="s">
        <v>22</v>
      </c>
      <c r="E841" s="3" t="s">
        <v>13</v>
      </c>
      <c r="F841" s="3" t="s">
        <v>24</v>
      </c>
      <c r="G841" s="3">
        <v>73</v>
      </c>
      <c r="H841" s="3" t="s">
        <v>17</v>
      </c>
      <c r="I841" s="23">
        <v>4.51300001144409</v>
      </c>
      <c r="J841" s="4">
        <v>2691</v>
      </c>
      <c r="K841" s="4">
        <v>69001.7</v>
      </c>
      <c r="L841" s="4">
        <v>18975847518</v>
      </c>
      <c r="M841" s="3">
        <v>0.93</v>
      </c>
    </row>
    <row r="842" spans="1:13" x14ac:dyDescent="0.25">
      <c r="A842" s="3">
        <v>841</v>
      </c>
      <c r="B842" s="3" t="s">
        <v>54</v>
      </c>
      <c r="C842" s="33">
        <v>45586</v>
      </c>
      <c r="D842" s="3" t="s">
        <v>12</v>
      </c>
      <c r="E842" s="3" t="s">
        <v>16</v>
      </c>
      <c r="F842" s="3" t="s">
        <v>24</v>
      </c>
      <c r="G842" s="3">
        <v>72</v>
      </c>
      <c r="H842" s="3" t="s">
        <v>17</v>
      </c>
      <c r="I842" s="23">
        <v>4.5180001258850098</v>
      </c>
      <c r="J842" s="4">
        <v>2713.69995117187</v>
      </c>
      <c r="K842" s="4">
        <v>67367.850000000006</v>
      </c>
      <c r="L842" s="4">
        <v>37498611780</v>
      </c>
      <c r="M842" s="3">
        <v>-2.37</v>
      </c>
    </row>
    <row r="843" spans="1:13" x14ac:dyDescent="0.25">
      <c r="A843" s="3">
        <v>842</v>
      </c>
      <c r="B843" s="3" t="s">
        <v>54</v>
      </c>
      <c r="C843" s="33">
        <v>45587</v>
      </c>
      <c r="D843" s="3" t="s">
        <v>15</v>
      </c>
      <c r="E843" s="3" t="s">
        <v>16</v>
      </c>
      <c r="F843" s="3" t="s">
        <v>24</v>
      </c>
      <c r="G843" s="3">
        <v>70</v>
      </c>
      <c r="H843" s="3" t="s">
        <v>17</v>
      </c>
      <c r="I843" s="23">
        <v>4.5</v>
      </c>
      <c r="J843" s="4">
        <v>2723.10009765625</v>
      </c>
      <c r="K843" s="4">
        <v>67361.41</v>
      </c>
      <c r="L843" s="4">
        <v>31808472566</v>
      </c>
      <c r="M843" s="3">
        <v>-0.01</v>
      </c>
    </row>
    <row r="844" spans="1:13" x14ac:dyDescent="0.25">
      <c r="A844" s="3">
        <v>843</v>
      </c>
      <c r="B844" s="3" t="s">
        <v>54</v>
      </c>
      <c r="C844" s="33">
        <v>45588</v>
      </c>
      <c r="D844" s="3" t="s">
        <v>18</v>
      </c>
      <c r="E844" s="3" t="s">
        <v>16</v>
      </c>
      <c r="F844" s="3" t="s">
        <v>24</v>
      </c>
      <c r="G844" s="3">
        <v>71</v>
      </c>
      <c r="H844" s="3" t="s">
        <v>17</v>
      </c>
      <c r="I844" s="23">
        <v>4.50500011444091</v>
      </c>
      <c r="J844" s="4">
        <v>2744.19995117187</v>
      </c>
      <c r="K844" s="4">
        <v>66432.2</v>
      </c>
      <c r="L844" s="4">
        <v>32263980353</v>
      </c>
      <c r="M844" s="3">
        <v>-1.38</v>
      </c>
    </row>
    <row r="845" spans="1:13" x14ac:dyDescent="0.25">
      <c r="A845" s="3">
        <v>844</v>
      </c>
      <c r="B845" s="3" t="s">
        <v>54</v>
      </c>
      <c r="C845" s="33">
        <v>45589</v>
      </c>
      <c r="D845" s="3" t="s">
        <v>19</v>
      </c>
      <c r="E845" s="3" t="s">
        <v>16</v>
      </c>
      <c r="F845" s="3" t="s">
        <v>24</v>
      </c>
      <c r="G845" s="3">
        <v>69</v>
      </c>
      <c r="H845" s="3" t="s">
        <v>17</v>
      </c>
      <c r="I845" s="23">
        <v>4.4869999885559002</v>
      </c>
      <c r="J845" s="4">
        <v>2714.39990234375</v>
      </c>
      <c r="K845" s="4">
        <v>68161.05</v>
      </c>
      <c r="L845" s="4">
        <v>31414428647</v>
      </c>
      <c r="M845" s="3">
        <v>2.6</v>
      </c>
    </row>
    <row r="846" spans="1:13" x14ac:dyDescent="0.25">
      <c r="A846" s="3">
        <v>845</v>
      </c>
      <c r="B846" s="3" t="s">
        <v>54</v>
      </c>
      <c r="C846" s="33">
        <v>45590</v>
      </c>
      <c r="D846" s="3" t="s">
        <v>20</v>
      </c>
      <c r="E846" s="3" t="s">
        <v>16</v>
      </c>
      <c r="F846" s="3" t="s">
        <v>24</v>
      </c>
      <c r="G846" s="3">
        <v>72</v>
      </c>
      <c r="H846" s="3">
        <v>17</v>
      </c>
      <c r="I846" s="23">
        <v>4.5100002288818297</v>
      </c>
      <c r="J846" s="4">
        <v>2734.89990234375</v>
      </c>
      <c r="K846" s="4">
        <v>66642.41</v>
      </c>
      <c r="L846" s="4">
        <v>41469984306</v>
      </c>
      <c r="M846" s="3">
        <v>-2.23</v>
      </c>
    </row>
    <row r="847" spans="1:13" x14ac:dyDescent="0.25">
      <c r="A847" s="3">
        <v>846</v>
      </c>
      <c r="B847" s="3" t="s">
        <v>54</v>
      </c>
      <c r="C847" s="33">
        <v>45591</v>
      </c>
      <c r="D847" s="3" t="s">
        <v>21</v>
      </c>
      <c r="E847" s="3" t="s">
        <v>13</v>
      </c>
      <c r="F847" s="3" t="s">
        <v>24</v>
      </c>
      <c r="G847" s="3">
        <v>73</v>
      </c>
      <c r="H847" s="3" t="s">
        <v>17</v>
      </c>
      <c r="I847" s="23">
        <v>4.5100002288818297</v>
      </c>
      <c r="J847" s="4">
        <v>2740.89990234375</v>
      </c>
      <c r="K847" s="4">
        <v>67014.7</v>
      </c>
      <c r="L847" s="4">
        <v>19588098156</v>
      </c>
      <c r="M847" s="3">
        <v>0.56000000000000005</v>
      </c>
    </row>
    <row r="848" spans="1:13" x14ac:dyDescent="0.25">
      <c r="A848" s="3">
        <v>847</v>
      </c>
      <c r="B848" s="3" t="s">
        <v>54</v>
      </c>
      <c r="C848" s="33">
        <v>45592</v>
      </c>
      <c r="D848" s="3" t="s">
        <v>22</v>
      </c>
      <c r="E848" s="3" t="s">
        <v>13</v>
      </c>
      <c r="F848" s="3" t="s">
        <v>24</v>
      </c>
      <c r="G848" s="3">
        <v>74</v>
      </c>
      <c r="H848" s="3" t="s">
        <v>17</v>
      </c>
      <c r="I848" s="23">
        <v>4.5100002288818297</v>
      </c>
      <c r="J848" s="4">
        <v>2734.89990234375</v>
      </c>
      <c r="K848" s="4">
        <v>67929.3</v>
      </c>
      <c r="L848" s="4">
        <v>16721307878</v>
      </c>
      <c r="M848" s="3">
        <v>1.36</v>
      </c>
    </row>
    <row r="849" spans="1:13" x14ac:dyDescent="0.25">
      <c r="A849" s="3">
        <v>848</v>
      </c>
      <c r="B849" s="3" t="s">
        <v>54</v>
      </c>
      <c r="C849" s="33">
        <v>45593</v>
      </c>
      <c r="D849" s="3" t="s">
        <v>12</v>
      </c>
      <c r="E849" s="3" t="s">
        <v>16</v>
      </c>
      <c r="F849" s="3" t="s">
        <v>24</v>
      </c>
      <c r="G849" s="3">
        <v>72</v>
      </c>
      <c r="H849" s="3" t="s">
        <v>17</v>
      </c>
      <c r="I849" s="23">
        <v>4.4819998741149902</v>
      </c>
      <c r="J849" s="4">
        <v>2740.89990234375</v>
      </c>
      <c r="K849" s="4">
        <v>69907.759999999995</v>
      </c>
      <c r="L849" s="4">
        <v>38799856657</v>
      </c>
      <c r="M849" s="3">
        <v>2.91</v>
      </c>
    </row>
    <row r="850" spans="1:13" x14ac:dyDescent="0.25">
      <c r="A850" s="3">
        <v>849</v>
      </c>
      <c r="B850" s="3" t="s">
        <v>54</v>
      </c>
      <c r="C850" s="33">
        <v>45594</v>
      </c>
      <c r="D850" s="3" t="s">
        <v>15</v>
      </c>
      <c r="E850" s="3" t="s">
        <v>16</v>
      </c>
      <c r="F850" s="3" t="s">
        <v>24</v>
      </c>
      <c r="G850" s="3">
        <v>72</v>
      </c>
      <c r="H850" s="3" t="s">
        <v>17</v>
      </c>
      <c r="I850" s="23">
        <v>4.4800000190734801</v>
      </c>
      <c r="J850" s="4">
        <v>2742.89990234375</v>
      </c>
      <c r="K850" s="4">
        <v>72720.490000000005</v>
      </c>
      <c r="L850" s="4">
        <v>58541874402</v>
      </c>
      <c r="M850" s="3">
        <v>4.0199999999999996</v>
      </c>
    </row>
    <row r="851" spans="1:13" x14ac:dyDescent="0.25">
      <c r="A851" s="3">
        <v>850</v>
      </c>
      <c r="B851" s="3" t="s">
        <v>54</v>
      </c>
      <c r="C851" s="33">
        <v>45595</v>
      </c>
      <c r="D851" s="3" t="s">
        <v>18</v>
      </c>
      <c r="E851" s="3" t="s">
        <v>16</v>
      </c>
      <c r="F851" s="3" t="s">
        <v>25</v>
      </c>
      <c r="G851" s="3">
        <v>77</v>
      </c>
      <c r="H851" s="3" t="s">
        <v>17</v>
      </c>
      <c r="I851" s="23">
        <v>4.4629998207092196</v>
      </c>
      <c r="J851" s="4">
        <v>2768.39990234375</v>
      </c>
      <c r="K851" s="4">
        <v>72339.539999999994</v>
      </c>
      <c r="L851" s="4">
        <v>40646637831</v>
      </c>
      <c r="M851" s="3">
        <v>-0.52</v>
      </c>
    </row>
    <row r="852" spans="1:13" x14ac:dyDescent="0.25">
      <c r="A852" s="3">
        <v>851</v>
      </c>
      <c r="B852" s="3" t="s">
        <v>54</v>
      </c>
      <c r="C852" s="33">
        <v>45596</v>
      </c>
      <c r="D852" s="3" t="s">
        <v>19</v>
      </c>
      <c r="E852" s="3" t="s">
        <v>16</v>
      </c>
      <c r="F852" s="3" t="s">
        <v>25</v>
      </c>
      <c r="G852" s="3">
        <v>77</v>
      </c>
      <c r="H852" s="3" t="s">
        <v>17</v>
      </c>
      <c r="I852" s="23">
        <v>4.4320001602172798</v>
      </c>
      <c r="J852" s="4">
        <v>2788.5</v>
      </c>
      <c r="K852" s="4">
        <v>70215.19</v>
      </c>
      <c r="L852" s="4">
        <v>40627912076</v>
      </c>
      <c r="M852" s="3">
        <v>-2.94</v>
      </c>
    </row>
    <row r="853" spans="1:13" x14ac:dyDescent="0.25">
      <c r="A853" s="3">
        <v>852</v>
      </c>
      <c r="B853" s="3" t="s">
        <v>55</v>
      </c>
      <c r="C853" s="33">
        <v>45597</v>
      </c>
      <c r="D853" s="3" t="s">
        <v>20</v>
      </c>
      <c r="E853" s="3" t="s">
        <v>16</v>
      </c>
      <c r="F853" s="3" t="s">
        <v>25</v>
      </c>
      <c r="G853" s="3">
        <v>75</v>
      </c>
      <c r="H853" s="3" t="s">
        <v>17</v>
      </c>
      <c r="I853" s="23">
        <v>4.4000000953674299</v>
      </c>
      <c r="J853" s="4">
        <v>2738.30004882812</v>
      </c>
      <c r="K853" s="4">
        <v>69482.47</v>
      </c>
      <c r="L853" s="4">
        <v>49989795365</v>
      </c>
      <c r="M853" s="3">
        <v>-1.04</v>
      </c>
    </row>
    <row r="854" spans="1:13" x14ac:dyDescent="0.25">
      <c r="A854" s="3">
        <v>853</v>
      </c>
      <c r="B854" s="3" t="s">
        <v>55</v>
      </c>
      <c r="C854" s="33">
        <v>45598</v>
      </c>
      <c r="D854" s="3" t="s">
        <v>21</v>
      </c>
      <c r="E854" s="3" t="s">
        <v>13</v>
      </c>
      <c r="F854" s="3" t="s">
        <v>24</v>
      </c>
      <c r="G854" s="3">
        <v>72</v>
      </c>
      <c r="H854" s="3" t="s">
        <v>17</v>
      </c>
      <c r="I854" s="23">
        <v>4.4000000953674299</v>
      </c>
      <c r="J854" s="4">
        <v>2738.60009765625</v>
      </c>
      <c r="K854" s="4">
        <v>69289.27</v>
      </c>
      <c r="L854" s="4">
        <v>18184612091</v>
      </c>
      <c r="M854" s="3">
        <v>-0.28000000000000003</v>
      </c>
    </row>
    <row r="855" spans="1:13" x14ac:dyDescent="0.25">
      <c r="A855" s="3">
        <v>854</v>
      </c>
      <c r="B855" s="3" t="s">
        <v>55</v>
      </c>
      <c r="C855" s="33">
        <v>45599</v>
      </c>
      <c r="D855" s="3" t="s">
        <v>22</v>
      </c>
      <c r="E855" s="3" t="s">
        <v>13</v>
      </c>
      <c r="F855" s="3" t="s">
        <v>24</v>
      </c>
      <c r="G855" s="3">
        <v>74</v>
      </c>
      <c r="H855" s="3" t="s">
        <v>17</v>
      </c>
      <c r="I855" s="23">
        <v>4.4000000953674299</v>
      </c>
      <c r="J855" s="4">
        <v>2738.30004882812</v>
      </c>
      <c r="K855" s="4">
        <v>68741.119999999995</v>
      </c>
      <c r="L855" s="4">
        <v>34868307655</v>
      </c>
      <c r="M855" s="3">
        <v>-0.79</v>
      </c>
    </row>
    <row r="856" spans="1:13" x14ac:dyDescent="0.25">
      <c r="A856" s="3">
        <v>855</v>
      </c>
      <c r="B856" s="3" t="s">
        <v>55</v>
      </c>
      <c r="C856" s="33">
        <v>45600</v>
      </c>
      <c r="D856" s="3" t="s">
        <v>12</v>
      </c>
      <c r="E856" s="3" t="s">
        <v>16</v>
      </c>
      <c r="F856" s="3" t="s">
        <v>24</v>
      </c>
      <c r="G856" s="3">
        <v>70</v>
      </c>
      <c r="H856" s="3" t="s">
        <v>17</v>
      </c>
      <c r="I856" s="23">
        <v>4.4180002212524396</v>
      </c>
      <c r="J856" s="4">
        <v>2738.60009765625</v>
      </c>
      <c r="K856" s="4">
        <v>67811.509999999995</v>
      </c>
      <c r="L856" s="4">
        <v>41184819348</v>
      </c>
      <c r="M856" s="3">
        <v>-1.35</v>
      </c>
    </row>
    <row r="857" spans="1:13" x14ac:dyDescent="0.25">
      <c r="A857" s="3">
        <v>856</v>
      </c>
      <c r="B857" s="3" t="s">
        <v>55</v>
      </c>
      <c r="C857" s="33">
        <v>45601</v>
      </c>
      <c r="D857" s="3" t="s">
        <v>15</v>
      </c>
      <c r="E857" s="3" t="s">
        <v>16</v>
      </c>
      <c r="F857" s="3" t="s">
        <v>24</v>
      </c>
      <c r="G857" s="3">
        <v>70</v>
      </c>
      <c r="H857" s="3" t="s">
        <v>17</v>
      </c>
      <c r="I857" s="23">
        <v>4.4229998588562003</v>
      </c>
      <c r="J857" s="4">
        <v>2736.10009765625</v>
      </c>
      <c r="K857" s="4">
        <v>69359.56</v>
      </c>
      <c r="L857" s="4">
        <v>46046889204</v>
      </c>
      <c r="M857" s="3">
        <v>2.2799999999999998</v>
      </c>
    </row>
    <row r="858" spans="1:13" x14ac:dyDescent="0.25">
      <c r="A858" s="3">
        <v>857</v>
      </c>
      <c r="B858" s="3" t="s">
        <v>55</v>
      </c>
      <c r="C858" s="33">
        <v>45602</v>
      </c>
      <c r="D858" s="3" t="s">
        <v>18</v>
      </c>
      <c r="E858" s="3" t="s">
        <v>16</v>
      </c>
      <c r="F858" s="3" t="s">
        <v>24</v>
      </c>
      <c r="G858" s="3">
        <v>70</v>
      </c>
      <c r="H858" s="3" t="s">
        <v>17</v>
      </c>
      <c r="I858" s="23">
        <v>4.4299998283386204</v>
      </c>
      <c r="J858" s="4">
        <v>2740.30004882812</v>
      </c>
      <c r="K858" s="4">
        <v>75639.08</v>
      </c>
      <c r="L858" s="4">
        <v>118592653963</v>
      </c>
      <c r="M858" s="3">
        <v>9.0500000000000007</v>
      </c>
    </row>
    <row r="859" spans="1:13" x14ac:dyDescent="0.25">
      <c r="A859" s="3">
        <v>858</v>
      </c>
      <c r="B859" s="3" t="s">
        <v>55</v>
      </c>
      <c r="C859" s="33">
        <v>45603</v>
      </c>
      <c r="D859" s="3" t="s">
        <v>19</v>
      </c>
      <c r="E859" s="3" t="s">
        <v>16</v>
      </c>
      <c r="F859" s="3" t="s">
        <v>25</v>
      </c>
      <c r="G859" s="3">
        <v>77</v>
      </c>
      <c r="H859" s="3" t="s">
        <v>17</v>
      </c>
      <c r="I859" s="23">
        <v>4.42000007629394</v>
      </c>
      <c r="J859" s="4">
        <v>2667.60009765625</v>
      </c>
      <c r="K859" s="4">
        <v>75904.86</v>
      </c>
      <c r="L859" s="4">
        <v>63467654989</v>
      </c>
      <c r="M859" s="3">
        <v>0.35</v>
      </c>
    </row>
    <row r="860" spans="1:13" x14ac:dyDescent="0.25">
      <c r="A860" s="3">
        <v>859</v>
      </c>
      <c r="B860" s="3" t="s">
        <v>55</v>
      </c>
      <c r="C860" s="33">
        <v>45604</v>
      </c>
      <c r="D860" s="3" t="s">
        <v>20</v>
      </c>
      <c r="E860" s="3" t="s">
        <v>16</v>
      </c>
      <c r="F860" s="3" t="s">
        <v>25</v>
      </c>
      <c r="G860" s="3">
        <v>75</v>
      </c>
      <c r="H860" s="3" t="s">
        <v>17</v>
      </c>
      <c r="I860" s="23">
        <v>4.4229998588562003</v>
      </c>
      <c r="J860" s="4">
        <v>2698.39990234375</v>
      </c>
      <c r="K860" s="4">
        <v>76545.48</v>
      </c>
      <c r="L860" s="4">
        <v>55176858003</v>
      </c>
      <c r="M860" s="3">
        <v>0.84</v>
      </c>
    </row>
    <row r="861" spans="1:13" x14ac:dyDescent="0.25">
      <c r="A861" s="3">
        <v>860</v>
      </c>
      <c r="B861" s="3" t="s">
        <v>55</v>
      </c>
      <c r="C861" s="33">
        <v>45605</v>
      </c>
      <c r="D861" s="3" t="s">
        <v>21</v>
      </c>
      <c r="E861" s="3" t="s">
        <v>13</v>
      </c>
      <c r="F861" s="3" t="s">
        <v>25</v>
      </c>
      <c r="G861" s="3">
        <v>75</v>
      </c>
      <c r="H861" s="3" t="s">
        <v>17</v>
      </c>
      <c r="I861" s="23">
        <v>4.4229998588562003</v>
      </c>
      <c r="J861" s="4">
        <v>2687.5</v>
      </c>
      <c r="K861" s="4">
        <v>76778.87</v>
      </c>
      <c r="L861" s="4">
        <v>29009480361</v>
      </c>
      <c r="M861" s="3">
        <v>0.3</v>
      </c>
    </row>
    <row r="862" spans="1:13" x14ac:dyDescent="0.25">
      <c r="A862" s="3">
        <v>861</v>
      </c>
      <c r="B862" s="3" t="s">
        <v>55</v>
      </c>
      <c r="C862" s="33">
        <v>45606</v>
      </c>
      <c r="D862" s="3" t="s">
        <v>22</v>
      </c>
      <c r="E862" s="3" t="s">
        <v>13</v>
      </c>
      <c r="F862" s="3" t="s">
        <v>25</v>
      </c>
      <c r="G862" s="3">
        <v>78</v>
      </c>
      <c r="H862" s="3" t="s">
        <v>17</v>
      </c>
      <c r="I862" s="23">
        <v>4.4229998588562003</v>
      </c>
      <c r="J862" s="4">
        <v>2698.39990234375</v>
      </c>
      <c r="K862" s="4">
        <v>80474.19</v>
      </c>
      <c r="L862" s="4">
        <v>82570594495</v>
      </c>
      <c r="M862" s="3">
        <v>4.8099999999999996</v>
      </c>
    </row>
    <row r="863" spans="1:13" x14ac:dyDescent="0.25">
      <c r="A863" s="3">
        <v>862</v>
      </c>
      <c r="B863" s="3" t="s">
        <v>55</v>
      </c>
      <c r="C863" s="33">
        <v>45607</v>
      </c>
      <c r="D863" s="3" t="s">
        <v>12</v>
      </c>
      <c r="E863" s="3" t="s">
        <v>16</v>
      </c>
      <c r="F863" s="3" t="s">
        <v>25</v>
      </c>
      <c r="G863" s="3">
        <v>76</v>
      </c>
      <c r="H863" s="3" t="s">
        <v>17</v>
      </c>
      <c r="I863" s="23">
        <v>4.4149999618530202</v>
      </c>
      <c r="J863" s="4">
        <v>2687.5</v>
      </c>
      <c r="K863" s="4">
        <v>88701.48</v>
      </c>
      <c r="L863" s="4">
        <v>117966845037</v>
      </c>
      <c r="M863" s="3">
        <v>10.220000000000001</v>
      </c>
    </row>
    <row r="864" spans="1:13" x14ac:dyDescent="0.25">
      <c r="A864" s="3">
        <v>863</v>
      </c>
      <c r="B864" s="3" t="s">
        <v>55</v>
      </c>
      <c r="C864" s="33">
        <v>45608</v>
      </c>
      <c r="D864" s="3" t="s">
        <v>15</v>
      </c>
      <c r="E864" s="3" t="s">
        <v>16</v>
      </c>
      <c r="F864" s="3" t="s">
        <v>25</v>
      </c>
      <c r="G864" s="3">
        <v>80</v>
      </c>
      <c r="H864" s="3" t="s">
        <v>17</v>
      </c>
      <c r="I864" s="23">
        <v>4.4229998588562003</v>
      </c>
      <c r="J864" s="4">
        <v>2611.19995117187</v>
      </c>
      <c r="K864" s="4">
        <v>87955.81</v>
      </c>
      <c r="L864" s="4">
        <v>133673285375</v>
      </c>
      <c r="M864" s="3">
        <v>-0.84</v>
      </c>
    </row>
    <row r="865" spans="1:13" x14ac:dyDescent="0.25">
      <c r="A865" s="3">
        <v>864</v>
      </c>
      <c r="B865" s="3" t="s">
        <v>55</v>
      </c>
      <c r="C865" s="33">
        <v>45609</v>
      </c>
      <c r="D865" s="3" t="s">
        <v>18</v>
      </c>
      <c r="E865" s="3" t="s">
        <v>16</v>
      </c>
      <c r="F865" s="3" t="s">
        <v>25</v>
      </c>
      <c r="G865" s="3">
        <v>84</v>
      </c>
      <c r="H865" s="3" t="s">
        <v>17</v>
      </c>
      <c r="I865" s="23">
        <v>4.3899998664855904</v>
      </c>
      <c r="J865" s="4">
        <v>2600</v>
      </c>
      <c r="K865" s="4">
        <v>90584.16</v>
      </c>
      <c r="L865" s="4">
        <v>123559027869</v>
      </c>
      <c r="M865" s="3">
        <v>2.99</v>
      </c>
    </row>
    <row r="866" spans="1:13" x14ac:dyDescent="0.25">
      <c r="A866" s="3">
        <v>865</v>
      </c>
      <c r="B866" s="3" t="s">
        <v>55</v>
      </c>
      <c r="C866" s="33">
        <v>45610</v>
      </c>
      <c r="D866" s="3" t="s">
        <v>19</v>
      </c>
      <c r="E866" s="3" t="s">
        <v>16</v>
      </c>
      <c r="F866" s="3" t="s">
        <v>25</v>
      </c>
      <c r="G866" s="3">
        <v>88</v>
      </c>
      <c r="H866" s="3" t="s">
        <v>17</v>
      </c>
      <c r="I866" s="23">
        <v>4.3829998970031703</v>
      </c>
      <c r="J866" s="4">
        <v>2580.80004882812</v>
      </c>
      <c r="K866" s="4">
        <v>87250.43</v>
      </c>
      <c r="L866" s="4">
        <v>87616705248</v>
      </c>
      <c r="M866" s="3">
        <v>-3.68</v>
      </c>
    </row>
    <row r="867" spans="1:13" x14ac:dyDescent="0.25">
      <c r="A867" s="3">
        <v>866</v>
      </c>
      <c r="B867" s="3" t="s">
        <v>55</v>
      </c>
      <c r="C867" s="33">
        <v>45611</v>
      </c>
      <c r="D867" s="3" t="s">
        <v>20</v>
      </c>
      <c r="E867" s="3" t="s">
        <v>16</v>
      </c>
      <c r="F867" s="3" t="s">
        <v>25</v>
      </c>
      <c r="G867" s="3">
        <v>80</v>
      </c>
      <c r="H867" s="3" t="s">
        <v>17</v>
      </c>
      <c r="I867" s="23">
        <v>4.3930001258850098</v>
      </c>
      <c r="J867" s="4">
        <v>2568.19995117187</v>
      </c>
      <c r="K867" s="4">
        <v>91066.01</v>
      </c>
      <c r="L867" s="4">
        <v>78243109518</v>
      </c>
      <c r="M867" s="3">
        <v>4.37</v>
      </c>
    </row>
    <row r="868" spans="1:13" x14ac:dyDescent="0.25">
      <c r="A868" s="3">
        <v>867</v>
      </c>
      <c r="B868" s="3" t="s">
        <v>55</v>
      </c>
      <c r="C868" s="33">
        <v>45612</v>
      </c>
      <c r="D868" s="3" t="s">
        <v>21</v>
      </c>
      <c r="E868" s="3" t="s">
        <v>13</v>
      </c>
      <c r="F868" s="3" t="s">
        <v>25</v>
      </c>
      <c r="G868" s="3">
        <v>86</v>
      </c>
      <c r="H868" s="3" t="s">
        <v>17</v>
      </c>
      <c r="I868" s="23">
        <v>4.3930001258850098</v>
      </c>
      <c r="J868" s="4">
        <v>2565.69995117187</v>
      </c>
      <c r="K868" s="4">
        <v>90558.48</v>
      </c>
      <c r="L868" s="4">
        <v>44333192814</v>
      </c>
      <c r="M868" s="3">
        <v>-0.56000000000000005</v>
      </c>
    </row>
    <row r="869" spans="1:13" x14ac:dyDescent="0.25">
      <c r="A869" s="3">
        <v>868</v>
      </c>
      <c r="B869" s="3" t="s">
        <v>55</v>
      </c>
      <c r="C869" s="33">
        <v>45613</v>
      </c>
      <c r="D869" s="3" t="s">
        <v>22</v>
      </c>
      <c r="E869" s="3" t="s">
        <v>13</v>
      </c>
      <c r="F869" s="3" t="s">
        <v>25</v>
      </c>
      <c r="G869" s="3">
        <v>90</v>
      </c>
      <c r="H869" s="3" t="s">
        <v>17</v>
      </c>
      <c r="I869" s="23">
        <v>4.3930001258850098</v>
      </c>
      <c r="J869" s="4">
        <v>2568.19995117187</v>
      </c>
      <c r="K869" s="4">
        <v>89845.85</v>
      </c>
      <c r="L869" s="4">
        <v>46350159305</v>
      </c>
      <c r="M869" s="3">
        <v>-0.79</v>
      </c>
    </row>
    <row r="870" spans="1:13" x14ac:dyDescent="0.25">
      <c r="A870" s="3">
        <v>869</v>
      </c>
      <c r="B870" s="3" t="s">
        <v>55</v>
      </c>
      <c r="C870" s="33">
        <v>45614</v>
      </c>
      <c r="D870" s="3" t="s">
        <v>12</v>
      </c>
      <c r="E870" s="3" t="s">
        <v>16</v>
      </c>
      <c r="F870" s="3" t="s">
        <v>25</v>
      </c>
      <c r="G870" s="3">
        <v>83</v>
      </c>
      <c r="H870" s="3" t="s">
        <v>17</v>
      </c>
      <c r="I870" s="23">
        <v>4.4029998779296804</v>
      </c>
      <c r="J870" s="4">
        <v>2565.69995117187</v>
      </c>
      <c r="K870" s="4">
        <v>90542.64</v>
      </c>
      <c r="L870" s="4">
        <v>75535775084</v>
      </c>
      <c r="M870" s="3">
        <v>0.78</v>
      </c>
    </row>
    <row r="871" spans="1:13" x14ac:dyDescent="0.25">
      <c r="A871" s="3">
        <v>870</v>
      </c>
      <c r="B871" s="3" t="s">
        <v>55</v>
      </c>
      <c r="C871" s="33">
        <v>45615</v>
      </c>
      <c r="D871" s="3" t="s">
        <v>15</v>
      </c>
      <c r="E871" s="3" t="s">
        <v>16</v>
      </c>
      <c r="F871" s="3" t="s">
        <v>25</v>
      </c>
      <c r="G871" s="3">
        <v>90</v>
      </c>
      <c r="H871" s="3" t="s">
        <v>17</v>
      </c>
      <c r="I871" s="23">
        <v>4.4079999923706001</v>
      </c>
      <c r="J871" s="4">
        <v>2610.60009765625</v>
      </c>
      <c r="K871" s="4">
        <v>92343.79</v>
      </c>
      <c r="L871" s="4">
        <v>74521048295</v>
      </c>
      <c r="M871" s="3">
        <v>1.99</v>
      </c>
    </row>
    <row r="872" spans="1:13" x14ac:dyDescent="0.25">
      <c r="A872" s="3">
        <v>871</v>
      </c>
      <c r="B872" s="3" t="s">
        <v>55</v>
      </c>
      <c r="C872" s="33">
        <v>45616</v>
      </c>
      <c r="D872" s="3" t="s">
        <v>18</v>
      </c>
      <c r="E872" s="3" t="s">
        <v>16</v>
      </c>
      <c r="F872" s="3" t="s">
        <v>25</v>
      </c>
      <c r="G872" s="3">
        <v>83</v>
      </c>
      <c r="H872" s="3" t="s">
        <v>17</v>
      </c>
      <c r="I872" s="23">
        <v>4.4099998474120996</v>
      </c>
      <c r="J872" s="4">
        <v>2627.10009765625</v>
      </c>
      <c r="K872" s="4">
        <v>94339.49</v>
      </c>
      <c r="L872" s="4">
        <v>71730956426</v>
      </c>
      <c r="M872" s="3">
        <v>2.16</v>
      </c>
    </row>
    <row r="873" spans="1:13" x14ac:dyDescent="0.25">
      <c r="A873" s="3">
        <v>872</v>
      </c>
      <c r="B873" s="3" t="s">
        <v>55</v>
      </c>
      <c r="C873" s="33">
        <v>45617</v>
      </c>
      <c r="D873" s="3" t="s">
        <v>19</v>
      </c>
      <c r="E873" s="3" t="s">
        <v>16</v>
      </c>
      <c r="F873" s="3" t="s">
        <v>25</v>
      </c>
      <c r="G873" s="3">
        <v>82</v>
      </c>
      <c r="H873" s="3" t="s">
        <v>17</v>
      </c>
      <c r="I873" s="23">
        <v>4.4130001068115199</v>
      </c>
      <c r="J873" s="4">
        <v>2648.19995117187</v>
      </c>
      <c r="K873" s="4">
        <v>98504.73</v>
      </c>
      <c r="L873" s="4">
        <v>106024505582</v>
      </c>
      <c r="M873" s="3">
        <v>4.42</v>
      </c>
    </row>
    <row r="874" spans="1:13" x14ac:dyDescent="0.25">
      <c r="A874" s="3">
        <v>873</v>
      </c>
      <c r="B874" s="3" t="s">
        <v>55</v>
      </c>
      <c r="C874" s="33">
        <v>45618</v>
      </c>
      <c r="D874" s="3" t="s">
        <v>20</v>
      </c>
      <c r="E874" s="3" t="s">
        <v>16</v>
      </c>
      <c r="F874" s="3" t="s">
        <v>25</v>
      </c>
      <c r="G874" s="3">
        <v>94</v>
      </c>
      <c r="H874" s="3" t="s">
        <v>17</v>
      </c>
      <c r="I874" s="23">
        <v>4.4149999618530202</v>
      </c>
      <c r="J874" s="4">
        <v>2672.10009765625</v>
      </c>
      <c r="K874" s="4">
        <v>98997.66</v>
      </c>
      <c r="L874" s="4">
        <v>78473580551</v>
      </c>
      <c r="M874" s="3">
        <v>0.5</v>
      </c>
    </row>
    <row r="875" spans="1:13" x14ac:dyDescent="0.25">
      <c r="A875" s="3">
        <v>874</v>
      </c>
      <c r="B875" s="3" t="s">
        <v>55</v>
      </c>
      <c r="C875" s="33">
        <v>45619</v>
      </c>
      <c r="D875" s="3" t="s">
        <v>21</v>
      </c>
      <c r="E875" s="3" t="s">
        <v>13</v>
      </c>
      <c r="F875" s="3" t="s">
        <v>25</v>
      </c>
      <c r="G875" s="3">
        <v>93</v>
      </c>
      <c r="H875" s="3" t="s">
        <v>17</v>
      </c>
      <c r="I875" s="23">
        <v>4.4149999618530202</v>
      </c>
      <c r="J875" s="4">
        <v>2709.89990234375</v>
      </c>
      <c r="K875" s="4">
        <v>97777.279999999999</v>
      </c>
      <c r="L875" s="4">
        <v>44414644677</v>
      </c>
      <c r="M875" s="3">
        <v>-1.23</v>
      </c>
    </row>
    <row r="876" spans="1:13" x14ac:dyDescent="0.25">
      <c r="A876" s="3">
        <v>875</v>
      </c>
      <c r="B876" s="3" t="s">
        <v>55</v>
      </c>
      <c r="C876" s="33">
        <v>45620</v>
      </c>
      <c r="D876" s="3" t="s">
        <v>22</v>
      </c>
      <c r="E876" s="3" t="s">
        <v>13</v>
      </c>
      <c r="F876" s="3" t="s">
        <v>25</v>
      </c>
      <c r="G876" s="3">
        <v>80</v>
      </c>
      <c r="H876" s="3" t="s">
        <v>17</v>
      </c>
      <c r="I876" s="23">
        <v>4.4149999618530202</v>
      </c>
      <c r="J876" s="4">
        <v>2672.10009765625</v>
      </c>
      <c r="K876" s="4">
        <v>98013.82</v>
      </c>
      <c r="L876" s="4">
        <v>51712020623</v>
      </c>
      <c r="M876" s="3">
        <v>0.24</v>
      </c>
    </row>
    <row r="877" spans="1:13" x14ac:dyDescent="0.25">
      <c r="A877" s="3">
        <v>876</v>
      </c>
      <c r="B877" s="3" t="s">
        <v>55</v>
      </c>
      <c r="C877" s="33">
        <v>45621</v>
      </c>
      <c r="D877" s="3" t="s">
        <v>12</v>
      </c>
      <c r="E877" s="3" t="s">
        <v>16</v>
      </c>
      <c r="F877" s="3" t="s">
        <v>25</v>
      </c>
      <c r="G877" s="3">
        <v>82</v>
      </c>
      <c r="H877" s="3" t="s">
        <v>17</v>
      </c>
      <c r="I877" s="23">
        <v>4.4050002098083496</v>
      </c>
      <c r="J877" s="4">
        <v>2709.89990234375</v>
      </c>
      <c r="K877" s="4">
        <v>93102.3</v>
      </c>
      <c r="L877" s="4">
        <v>80909462490</v>
      </c>
      <c r="M877" s="3">
        <v>-5.01</v>
      </c>
    </row>
    <row r="878" spans="1:13" x14ac:dyDescent="0.25">
      <c r="A878" s="3">
        <v>877</v>
      </c>
      <c r="B878" s="3" t="s">
        <v>55</v>
      </c>
      <c r="C878" s="33">
        <v>45622</v>
      </c>
      <c r="D878" s="3" t="s">
        <v>15</v>
      </c>
      <c r="E878" s="3" t="s">
        <v>16</v>
      </c>
      <c r="F878" s="3" t="s">
        <v>25</v>
      </c>
      <c r="G878" s="3">
        <v>79</v>
      </c>
      <c r="H878" s="3" t="s">
        <v>17</v>
      </c>
      <c r="I878" s="23">
        <v>4.3949999809265101</v>
      </c>
      <c r="J878" s="4">
        <v>2616.80004882812</v>
      </c>
      <c r="K878" s="4">
        <v>91985.32</v>
      </c>
      <c r="L878" s="4">
        <v>91656519855</v>
      </c>
      <c r="M878" s="3">
        <v>-1.2</v>
      </c>
    </row>
    <row r="879" spans="1:13" x14ac:dyDescent="0.25">
      <c r="A879" s="3">
        <v>878</v>
      </c>
      <c r="B879" s="3" t="s">
        <v>55</v>
      </c>
      <c r="C879" s="33">
        <v>45623</v>
      </c>
      <c r="D879" s="3" t="s">
        <v>18</v>
      </c>
      <c r="E879" s="3" t="s">
        <v>16</v>
      </c>
      <c r="F879" s="3" t="s">
        <v>25</v>
      </c>
      <c r="G879" s="3">
        <v>75</v>
      </c>
      <c r="H879" s="3" t="s">
        <v>17</v>
      </c>
      <c r="I879" s="23">
        <v>4.3850002288818297</v>
      </c>
      <c r="J879" s="4">
        <v>2620.30004882812</v>
      </c>
      <c r="K879" s="4">
        <v>95962.53</v>
      </c>
      <c r="L879" s="4">
        <v>71133452438</v>
      </c>
      <c r="M879" s="3">
        <v>4.32</v>
      </c>
    </row>
    <row r="880" spans="1:13" x14ac:dyDescent="0.25">
      <c r="A880" s="3">
        <v>879</v>
      </c>
      <c r="B880" s="3" t="s">
        <v>55</v>
      </c>
      <c r="C880" s="33">
        <v>45624</v>
      </c>
      <c r="D880" s="3" t="s">
        <v>19</v>
      </c>
      <c r="E880" s="3" t="s">
        <v>16</v>
      </c>
      <c r="F880" s="3" t="s">
        <v>25</v>
      </c>
      <c r="G880" s="3">
        <v>77</v>
      </c>
      <c r="H880" s="3" t="s">
        <v>17</v>
      </c>
      <c r="I880" s="23">
        <v>4.3850002288818297</v>
      </c>
      <c r="J880" s="4">
        <v>2639.89990234375</v>
      </c>
      <c r="K880" s="4">
        <v>95652.47</v>
      </c>
      <c r="L880" s="4">
        <v>52260008261</v>
      </c>
      <c r="M880" s="3">
        <v>-0.32</v>
      </c>
    </row>
    <row r="881" spans="1:13" x14ac:dyDescent="0.25">
      <c r="A881" s="3">
        <v>880</v>
      </c>
      <c r="B881" s="3" t="s">
        <v>55</v>
      </c>
      <c r="C881" s="33">
        <v>45625</v>
      </c>
      <c r="D881" s="3" t="s">
        <v>20</v>
      </c>
      <c r="E881" s="3" t="s">
        <v>16</v>
      </c>
      <c r="F881" s="3" t="s">
        <v>25</v>
      </c>
      <c r="G881" s="3">
        <v>78</v>
      </c>
      <c r="H881" s="3" t="s">
        <v>17</v>
      </c>
      <c r="I881" s="23">
        <v>4.3730001449584899</v>
      </c>
      <c r="J881" s="4">
        <v>2620.30004882812</v>
      </c>
      <c r="K881" s="4">
        <v>97461.52</v>
      </c>
      <c r="L881" s="4">
        <v>54968682476</v>
      </c>
      <c r="M881" s="3">
        <v>1.89</v>
      </c>
    </row>
    <row r="882" spans="1:13" x14ac:dyDescent="0.25">
      <c r="A882" s="3">
        <v>881</v>
      </c>
      <c r="B882" s="3" t="s">
        <v>55</v>
      </c>
      <c r="C882" s="33">
        <v>45626</v>
      </c>
      <c r="D882" s="3" t="s">
        <v>21</v>
      </c>
      <c r="E882" s="3" t="s">
        <v>13</v>
      </c>
      <c r="F882" s="3" t="s">
        <v>25</v>
      </c>
      <c r="G882" s="3">
        <v>84</v>
      </c>
      <c r="H882" s="3" t="s">
        <v>17</v>
      </c>
      <c r="I882" s="23">
        <v>4.3730001449584899</v>
      </c>
      <c r="J882" s="4">
        <v>2657</v>
      </c>
      <c r="K882" s="4">
        <v>96449.05</v>
      </c>
      <c r="L882" s="4">
        <v>31634227866</v>
      </c>
      <c r="M882" s="3">
        <v>-1.04</v>
      </c>
    </row>
    <row r="883" spans="1:13" x14ac:dyDescent="0.25">
      <c r="A883" s="3">
        <v>882</v>
      </c>
      <c r="B883" s="3" t="s">
        <v>56</v>
      </c>
      <c r="C883" s="33">
        <v>45627</v>
      </c>
      <c r="D883" s="3" t="s">
        <v>22</v>
      </c>
      <c r="E883" s="3" t="s">
        <v>13</v>
      </c>
      <c r="F883" s="3" t="s">
        <v>25</v>
      </c>
      <c r="G883" s="3">
        <v>81</v>
      </c>
      <c r="H883" s="3" t="s">
        <v>17</v>
      </c>
      <c r="I883" s="23">
        <v>4.3730001449584899</v>
      </c>
      <c r="J883" s="4">
        <v>2620.30004882812</v>
      </c>
      <c r="K883" s="4">
        <v>97279.79</v>
      </c>
      <c r="L883" s="4">
        <v>36590695296</v>
      </c>
      <c r="M883" s="3">
        <v>0.86</v>
      </c>
    </row>
    <row r="884" spans="1:13" x14ac:dyDescent="0.25">
      <c r="A884" s="3">
        <v>883</v>
      </c>
      <c r="B884" s="3" t="s">
        <v>56</v>
      </c>
      <c r="C884" s="33">
        <v>45628</v>
      </c>
      <c r="D884" s="3" t="s">
        <v>12</v>
      </c>
      <c r="E884" s="3" t="s">
        <v>16</v>
      </c>
      <c r="F884" s="3" t="s">
        <v>25</v>
      </c>
      <c r="G884" s="3">
        <v>80</v>
      </c>
      <c r="H884" s="3" t="s">
        <v>17</v>
      </c>
      <c r="I884" s="23">
        <v>4.38000011444091</v>
      </c>
      <c r="J884" s="4">
        <v>2657</v>
      </c>
      <c r="K884" s="4">
        <v>95865.3</v>
      </c>
      <c r="L884" s="4">
        <v>72680784305</v>
      </c>
      <c r="M884" s="3">
        <v>-1.45</v>
      </c>
    </row>
    <row r="885" spans="1:13" x14ac:dyDescent="0.25">
      <c r="A885" s="3">
        <v>884</v>
      </c>
      <c r="B885" s="3" t="s">
        <v>56</v>
      </c>
      <c r="C885" s="33">
        <v>45629</v>
      </c>
      <c r="D885" s="3" t="s">
        <v>15</v>
      </c>
      <c r="E885" s="3" t="s">
        <v>16</v>
      </c>
      <c r="F885" s="3" t="s">
        <v>25</v>
      </c>
      <c r="G885" s="3">
        <v>76</v>
      </c>
      <c r="H885" s="3" t="s">
        <v>17</v>
      </c>
      <c r="I885" s="23">
        <v>4.3569998741149902</v>
      </c>
      <c r="J885" s="4">
        <v>2634.89990234375</v>
      </c>
      <c r="K885" s="4">
        <v>96002.16</v>
      </c>
      <c r="L885" s="4">
        <v>67067810961</v>
      </c>
      <c r="M885" s="3">
        <v>0.14000000000000001</v>
      </c>
    </row>
    <row r="886" spans="1:13" x14ac:dyDescent="0.25">
      <c r="A886" s="3">
        <v>885</v>
      </c>
      <c r="B886" s="3" t="s">
        <v>56</v>
      </c>
      <c r="C886" s="33">
        <v>45630</v>
      </c>
      <c r="D886" s="3" t="s">
        <v>18</v>
      </c>
      <c r="E886" s="3" t="s">
        <v>16</v>
      </c>
      <c r="F886" s="3" t="s">
        <v>25</v>
      </c>
      <c r="G886" s="3">
        <v>78</v>
      </c>
      <c r="H886" s="3" t="s">
        <v>17</v>
      </c>
      <c r="I886" s="23">
        <v>4.3449997901916504</v>
      </c>
      <c r="J886" s="4">
        <v>2644.69995117187</v>
      </c>
      <c r="K886" s="4">
        <v>98768.53</v>
      </c>
      <c r="L886" s="4">
        <v>77199817112</v>
      </c>
      <c r="M886" s="3">
        <v>2.88</v>
      </c>
    </row>
    <row r="887" spans="1:13" x14ac:dyDescent="0.25">
      <c r="A887" s="3">
        <v>886</v>
      </c>
      <c r="B887" s="3" t="s">
        <v>56</v>
      </c>
      <c r="C887" s="33">
        <v>45631</v>
      </c>
      <c r="D887" s="3" t="s">
        <v>19</v>
      </c>
      <c r="E887" s="3" t="s">
        <v>16</v>
      </c>
      <c r="F887" s="3" t="s">
        <v>25</v>
      </c>
      <c r="G887" s="3">
        <v>84</v>
      </c>
      <c r="H887" s="3" t="s">
        <v>17</v>
      </c>
      <c r="I887" s="23">
        <v>4.3299999237060502</v>
      </c>
      <c r="J887" s="4">
        <v>2653.80004882812</v>
      </c>
      <c r="K887" s="4">
        <v>96593.57</v>
      </c>
      <c r="L887" s="4">
        <v>149218945580</v>
      </c>
      <c r="M887" s="3">
        <v>-2.2000000000000002</v>
      </c>
    </row>
    <row r="888" spans="1:13" x14ac:dyDescent="0.25">
      <c r="A888" s="3">
        <v>887</v>
      </c>
      <c r="B888" s="3" t="s">
        <v>56</v>
      </c>
      <c r="C888" s="33">
        <v>45632</v>
      </c>
      <c r="D888" s="3" t="s">
        <v>20</v>
      </c>
      <c r="E888" s="3" t="s">
        <v>16</v>
      </c>
      <c r="F888" s="3" t="s">
        <v>24</v>
      </c>
      <c r="G888" s="3">
        <v>72</v>
      </c>
      <c r="H888" s="3" t="s">
        <v>17</v>
      </c>
      <c r="I888" s="23">
        <v>4.29500007629394</v>
      </c>
      <c r="J888" s="4">
        <v>2626.60009765625</v>
      </c>
      <c r="K888" s="4">
        <v>99920.71</v>
      </c>
      <c r="L888" s="4">
        <v>94534772658</v>
      </c>
      <c r="M888" s="3">
        <v>3.44</v>
      </c>
    </row>
    <row r="889" spans="1:13" x14ac:dyDescent="0.25">
      <c r="A889" s="3">
        <v>888</v>
      </c>
      <c r="B889" s="3" t="s">
        <v>56</v>
      </c>
      <c r="C889" s="33">
        <v>45633</v>
      </c>
      <c r="D889" s="3" t="s">
        <v>21</v>
      </c>
      <c r="E889" s="3" t="s">
        <v>13</v>
      </c>
      <c r="F889" s="3" t="s">
        <v>25</v>
      </c>
      <c r="G889" s="3">
        <v>75</v>
      </c>
      <c r="H889" s="3" t="s">
        <v>17</v>
      </c>
      <c r="I889" s="23">
        <v>4.29500007629394</v>
      </c>
      <c r="J889" s="4">
        <v>2638.60009765625</v>
      </c>
      <c r="K889" s="4">
        <v>99923.34</v>
      </c>
      <c r="L889" s="4">
        <v>44177510897</v>
      </c>
      <c r="M889" s="3">
        <v>0</v>
      </c>
    </row>
    <row r="890" spans="1:13" x14ac:dyDescent="0.25">
      <c r="A890" s="3">
        <v>889</v>
      </c>
      <c r="B890" s="3" t="s">
        <v>56</v>
      </c>
      <c r="C890" s="33">
        <v>45634</v>
      </c>
      <c r="D890" s="3" t="s">
        <v>22</v>
      </c>
      <c r="E890" s="3" t="s">
        <v>13</v>
      </c>
      <c r="F890" s="3" t="s">
        <v>25</v>
      </c>
      <c r="G890" s="3">
        <v>79</v>
      </c>
      <c r="H890" s="3" t="s">
        <v>17</v>
      </c>
      <c r="I890" s="23">
        <v>4.29500007629394</v>
      </c>
      <c r="J890" s="4">
        <v>2626.60009765625</v>
      </c>
      <c r="K890" s="4">
        <v>101236.02</v>
      </c>
      <c r="L890" s="4">
        <v>44125751925</v>
      </c>
      <c r="M890" s="3">
        <v>1.31</v>
      </c>
    </row>
    <row r="891" spans="1:13" x14ac:dyDescent="0.25">
      <c r="A891" s="3">
        <v>890</v>
      </c>
      <c r="B891" s="3" t="s">
        <v>56</v>
      </c>
      <c r="C891" s="33">
        <v>45635</v>
      </c>
      <c r="D891" s="3" t="s">
        <v>12</v>
      </c>
      <c r="E891" s="3" t="s">
        <v>16</v>
      </c>
      <c r="F891" s="3" t="s">
        <v>25</v>
      </c>
      <c r="G891" s="3">
        <v>78</v>
      </c>
      <c r="H891" s="3" t="s">
        <v>17</v>
      </c>
      <c r="I891" s="23">
        <v>4.2930002212524396</v>
      </c>
      <c r="J891" s="4">
        <v>2638.60009765625</v>
      </c>
      <c r="K891" s="4">
        <v>97432.72</v>
      </c>
      <c r="L891" s="4">
        <v>110676473908</v>
      </c>
      <c r="M891" s="3">
        <v>-3.76</v>
      </c>
    </row>
    <row r="892" spans="1:13" x14ac:dyDescent="0.25">
      <c r="A892" s="3">
        <v>891</v>
      </c>
      <c r="B892" s="3" t="s">
        <v>56</v>
      </c>
      <c r="C892" s="33">
        <v>45636</v>
      </c>
      <c r="D892" s="3" t="s">
        <v>15</v>
      </c>
      <c r="E892" s="3" t="s">
        <v>16</v>
      </c>
      <c r="F892" s="3" t="s">
        <v>25</v>
      </c>
      <c r="G892" s="3">
        <v>78</v>
      </c>
      <c r="H892" s="3" t="s">
        <v>17</v>
      </c>
      <c r="I892" s="23">
        <v>4.2849998474120996</v>
      </c>
      <c r="J892" s="4">
        <v>2664.89990234375</v>
      </c>
      <c r="K892" s="4">
        <v>96675.43</v>
      </c>
      <c r="L892" s="4">
        <v>104823780634</v>
      </c>
      <c r="M892" s="3">
        <v>-0.78</v>
      </c>
    </row>
    <row r="893" spans="1:13" x14ac:dyDescent="0.25">
      <c r="A893" s="3">
        <v>892</v>
      </c>
      <c r="B893" s="3" t="s">
        <v>56</v>
      </c>
      <c r="C893" s="33">
        <v>45637</v>
      </c>
      <c r="D893" s="3" t="s">
        <v>18</v>
      </c>
      <c r="E893" s="3" t="s">
        <v>16</v>
      </c>
      <c r="F893" s="3" t="s">
        <v>24</v>
      </c>
      <c r="G893" s="3">
        <v>74</v>
      </c>
      <c r="H893" s="3" t="s">
        <v>17</v>
      </c>
      <c r="I893" s="23">
        <v>4.25500011444091</v>
      </c>
      <c r="J893" s="4">
        <v>2697.60009765625</v>
      </c>
      <c r="K893" s="4">
        <v>101173.03</v>
      </c>
      <c r="L893" s="4">
        <v>85391409936</v>
      </c>
      <c r="M893" s="3">
        <v>4.6500000000000004</v>
      </c>
    </row>
    <row r="894" spans="1:13" x14ac:dyDescent="0.25">
      <c r="A894" s="3">
        <v>893</v>
      </c>
      <c r="B894" s="3" t="s">
        <v>56</v>
      </c>
      <c r="C894" s="33">
        <v>45638</v>
      </c>
      <c r="D894" s="3" t="s">
        <v>19</v>
      </c>
      <c r="E894" s="3" t="s">
        <v>16</v>
      </c>
      <c r="F894" s="3" t="s">
        <v>25</v>
      </c>
      <c r="G894" s="3">
        <v>83</v>
      </c>
      <c r="H894" s="3" t="s">
        <v>17</v>
      </c>
      <c r="I894" s="23">
        <v>4.22300004959106</v>
      </c>
      <c r="J894" s="4">
        <v>2733.80004882812</v>
      </c>
      <c r="K894" s="4">
        <v>100043</v>
      </c>
      <c r="L894" s="4">
        <v>72073983533</v>
      </c>
      <c r="M894" s="3">
        <v>-1.1200000000000001</v>
      </c>
    </row>
    <row r="895" spans="1:13" x14ac:dyDescent="0.25">
      <c r="A895" s="3">
        <v>894</v>
      </c>
      <c r="B895" s="3" t="s">
        <v>56</v>
      </c>
      <c r="C895" s="33">
        <v>45639</v>
      </c>
      <c r="D895" s="3" t="s">
        <v>20</v>
      </c>
      <c r="E895" s="3" t="s">
        <v>16</v>
      </c>
      <c r="F895" s="3" t="s">
        <v>25</v>
      </c>
      <c r="G895" s="3">
        <v>76</v>
      </c>
      <c r="H895" s="3" t="s">
        <v>17</v>
      </c>
      <c r="I895" s="23">
        <v>4.2179999351501403</v>
      </c>
      <c r="J895" s="4">
        <v>2687.5</v>
      </c>
      <c r="K895" s="4">
        <v>101459.26</v>
      </c>
      <c r="L895" s="4">
        <v>56894751583</v>
      </c>
      <c r="M895" s="3">
        <v>1.42</v>
      </c>
    </row>
    <row r="896" spans="1:13" x14ac:dyDescent="0.25">
      <c r="A896" s="3">
        <v>895</v>
      </c>
      <c r="B896" s="3" t="s">
        <v>56</v>
      </c>
      <c r="C896" s="33">
        <v>45640</v>
      </c>
      <c r="D896" s="3" t="s">
        <v>21</v>
      </c>
      <c r="E896" s="3" t="s">
        <v>13</v>
      </c>
      <c r="F896" s="3" t="s">
        <v>25</v>
      </c>
      <c r="G896" s="3">
        <v>83</v>
      </c>
      <c r="H896" s="3" t="s">
        <v>17</v>
      </c>
      <c r="I896" s="23">
        <v>4.2179999351501403</v>
      </c>
      <c r="J896" s="4">
        <v>2656</v>
      </c>
      <c r="K896" s="4">
        <v>101372.97</v>
      </c>
      <c r="L896" s="4">
        <v>40422968793</v>
      </c>
      <c r="M896" s="3">
        <v>-0.09</v>
      </c>
    </row>
    <row r="897" spans="1:13" x14ac:dyDescent="0.25">
      <c r="A897" s="3">
        <v>896</v>
      </c>
      <c r="B897" s="3" t="s">
        <v>56</v>
      </c>
      <c r="C897" s="33">
        <v>45641</v>
      </c>
      <c r="D897" s="3" t="s">
        <v>22</v>
      </c>
      <c r="E897" s="3" t="s">
        <v>13</v>
      </c>
      <c r="F897" s="3" t="s">
        <v>25</v>
      </c>
      <c r="G897" s="3">
        <v>80</v>
      </c>
      <c r="H897" s="3" t="s">
        <v>17</v>
      </c>
      <c r="I897" s="23">
        <v>4.2179999351501403</v>
      </c>
      <c r="J897" s="4">
        <v>2687.5</v>
      </c>
      <c r="K897" s="4">
        <v>104298.7</v>
      </c>
      <c r="L897" s="4">
        <v>51145914137</v>
      </c>
      <c r="M897" s="3">
        <v>2.89</v>
      </c>
    </row>
    <row r="898" spans="1:13" x14ac:dyDescent="0.25">
      <c r="A898" s="3">
        <v>897</v>
      </c>
      <c r="B898" s="3" t="s">
        <v>56</v>
      </c>
      <c r="C898" s="33">
        <v>45642</v>
      </c>
      <c r="D898" s="3" t="s">
        <v>12</v>
      </c>
      <c r="E898" s="3" t="s">
        <v>16</v>
      </c>
      <c r="F898" s="3" t="s">
        <v>25</v>
      </c>
      <c r="G898" s="3">
        <v>83</v>
      </c>
      <c r="H898" s="3" t="s">
        <v>17</v>
      </c>
      <c r="I898" s="23">
        <v>4.2280001640319798</v>
      </c>
      <c r="J898" s="4">
        <v>2656</v>
      </c>
      <c r="K898" s="4">
        <v>106029.72</v>
      </c>
      <c r="L898" s="4">
        <v>91020417816</v>
      </c>
      <c r="M898" s="3">
        <v>1.66</v>
      </c>
    </row>
    <row r="899" spans="1:13" x14ac:dyDescent="0.25">
      <c r="A899" s="3">
        <v>898</v>
      </c>
      <c r="B899" s="3" t="s">
        <v>56</v>
      </c>
      <c r="C899" s="33">
        <v>45643</v>
      </c>
      <c r="D899" s="3" t="s">
        <v>15</v>
      </c>
      <c r="E899" s="3" t="s">
        <v>16</v>
      </c>
      <c r="F899" s="3" t="s">
        <v>25</v>
      </c>
      <c r="G899" s="3">
        <v>87</v>
      </c>
      <c r="H899" s="3" t="s">
        <v>17</v>
      </c>
      <c r="I899" s="23">
        <v>4.2399997711181596</v>
      </c>
      <c r="J899" s="4">
        <v>2651.39990234375</v>
      </c>
      <c r="K899" s="4">
        <v>106140.6</v>
      </c>
      <c r="L899" s="4">
        <v>68589364868</v>
      </c>
      <c r="M899" s="3">
        <v>0.1</v>
      </c>
    </row>
    <row r="900" spans="1:13" x14ac:dyDescent="0.25">
      <c r="A900" s="3">
        <v>899</v>
      </c>
      <c r="B900" s="3" t="s">
        <v>56</v>
      </c>
      <c r="C900" s="33">
        <v>45644</v>
      </c>
      <c r="D900" s="3" t="s">
        <v>18</v>
      </c>
      <c r="E900" s="3" t="s">
        <v>16</v>
      </c>
      <c r="F900" s="3" t="s">
        <v>25</v>
      </c>
      <c r="G900" s="3">
        <v>81</v>
      </c>
      <c r="H900" s="3" t="s">
        <v>17</v>
      </c>
      <c r="I900" s="23">
        <v>4.2319998741149902</v>
      </c>
      <c r="J900" s="4">
        <v>2644.39990234375</v>
      </c>
      <c r="K900" s="4">
        <v>100041.54</v>
      </c>
      <c r="L900" s="4">
        <v>93865656139</v>
      </c>
      <c r="M900" s="3">
        <v>-5.75</v>
      </c>
    </row>
    <row r="901" spans="1:13" x14ac:dyDescent="0.25">
      <c r="A901" s="3">
        <v>900</v>
      </c>
      <c r="B901" s="3" t="s">
        <v>56</v>
      </c>
      <c r="C901" s="33">
        <v>45645</v>
      </c>
      <c r="D901" s="3" t="s">
        <v>19</v>
      </c>
      <c r="E901" s="3" t="s">
        <v>16</v>
      </c>
      <c r="F901" s="3" t="s">
        <v>25</v>
      </c>
      <c r="G901" s="3">
        <v>75</v>
      </c>
      <c r="H901" s="3" t="s">
        <v>17</v>
      </c>
      <c r="I901" s="23">
        <v>4.2199997901916504</v>
      </c>
      <c r="J901" s="4">
        <v>2636.5</v>
      </c>
      <c r="K901" s="4">
        <v>97490.95</v>
      </c>
      <c r="L901" s="4">
        <v>97221662392</v>
      </c>
      <c r="M901" s="3">
        <v>-2.5499999999999998</v>
      </c>
    </row>
    <row r="902" spans="1:13" x14ac:dyDescent="0.25">
      <c r="A902" s="3">
        <v>901</v>
      </c>
      <c r="B902" s="3" t="s">
        <v>56</v>
      </c>
      <c r="C902" s="33">
        <v>45646</v>
      </c>
      <c r="D902" s="3" t="s">
        <v>20</v>
      </c>
      <c r="E902" s="3" t="s">
        <v>16</v>
      </c>
      <c r="F902" s="3" t="s">
        <v>24</v>
      </c>
      <c r="G902" s="3">
        <v>74</v>
      </c>
      <c r="H902" s="3" t="s">
        <v>17</v>
      </c>
      <c r="I902" s="23">
        <v>4.2150001525878897</v>
      </c>
      <c r="J902" s="4">
        <v>2592.19995117187</v>
      </c>
      <c r="K902" s="4">
        <v>97755.93</v>
      </c>
      <c r="L902" s="4">
        <v>105634083408</v>
      </c>
      <c r="M902" s="3">
        <v>0.27</v>
      </c>
    </row>
    <row r="903" spans="1:13" x14ac:dyDescent="0.25">
      <c r="A903" s="3">
        <v>902</v>
      </c>
      <c r="B903" s="3" t="s">
        <v>56</v>
      </c>
      <c r="C903" s="33">
        <v>45647</v>
      </c>
      <c r="D903" s="3" t="s">
        <v>21</v>
      </c>
      <c r="E903" s="3" t="s">
        <v>13</v>
      </c>
      <c r="F903" s="3" t="s">
        <v>24</v>
      </c>
      <c r="G903" s="3">
        <v>73</v>
      </c>
      <c r="H903" s="3" t="s">
        <v>17</v>
      </c>
      <c r="I903" s="23">
        <v>4.2150001525878897</v>
      </c>
      <c r="J903" s="4">
        <v>2628.69995117187</v>
      </c>
      <c r="K903" s="4">
        <v>97224.73</v>
      </c>
      <c r="L903" s="4">
        <v>51765334294</v>
      </c>
      <c r="M903" s="3">
        <v>-0.54</v>
      </c>
    </row>
    <row r="904" spans="1:13" x14ac:dyDescent="0.25">
      <c r="A904" s="3">
        <v>903</v>
      </c>
      <c r="B904" s="3" t="s">
        <v>56</v>
      </c>
      <c r="C904" s="33">
        <v>45648</v>
      </c>
      <c r="D904" s="3" t="s">
        <v>22</v>
      </c>
      <c r="E904" s="3" t="s">
        <v>13</v>
      </c>
      <c r="F904" s="3" t="s">
        <v>24</v>
      </c>
      <c r="G904" s="3">
        <v>73</v>
      </c>
      <c r="H904" s="3" t="s">
        <v>17</v>
      </c>
      <c r="I904" s="23">
        <v>4.2150001525878897</v>
      </c>
      <c r="J904" s="4">
        <v>2592.19995117187</v>
      </c>
      <c r="K904" s="4">
        <v>95104.94</v>
      </c>
      <c r="L904" s="4">
        <v>43147981314</v>
      </c>
      <c r="M904" s="3">
        <v>-2.1800000000000002</v>
      </c>
    </row>
    <row r="905" spans="1:13" x14ac:dyDescent="0.25">
      <c r="A905" s="3">
        <v>904</v>
      </c>
      <c r="B905" s="3" t="s">
        <v>56</v>
      </c>
      <c r="C905" s="33">
        <v>45649</v>
      </c>
      <c r="D905" s="3" t="s">
        <v>12</v>
      </c>
      <c r="E905" s="3" t="s">
        <v>16</v>
      </c>
      <c r="F905" s="3" t="s">
        <v>24</v>
      </c>
      <c r="G905" s="3">
        <v>70</v>
      </c>
      <c r="H905" s="3" t="s">
        <v>17</v>
      </c>
      <c r="I905" s="23">
        <v>4.2150001525878897</v>
      </c>
      <c r="J905" s="4">
        <v>2628.69995117187</v>
      </c>
      <c r="K905" s="4">
        <v>94686.24</v>
      </c>
      <c r="L905" s="4">
        <v>65239002919</v>
      </c>
      <c r="M905" s="3">
        <v>-0.44</v>
      </c>
    </row>
    <row r="906" spans="1:13" x14ac:dyDescent="0.25">
      <c r="A906" s="3">
        <v>905</v>
      </c>
      <c r="B906" s="3" t="s">
        <v>56</v>
      </c>
      <c r="C906" s="33">
        <v>45650</v>
      </c>
      <c r="D906" s="3" t="s">
        <v>15</v>
      </c>
      <c r="E906" s="3" t="s">
        <v>16</v>
      </c>
      <c r="F906" s="3" t="s">
        <v>24</v>
      </c>
      <c r="G906" s="3">
        <v>73</v>
      </c>
      <c r="H906" s="3" t="s">
        <v>17</v>
      </c>
      <c r="I906" s="23">
        <v>4.1999998092651296</v>
      </c>
      <c r="J906" s="4">
        <v>2612.30004882812</v>
      </c>
      <c r="K906" s="4">
        <v>98676.09</v>
      </c>
      <c r="L906" s="4">
        <v>47114953674</v>
      </c>
      <c r="M906" s="3">
        <v>4.21</v>
      </c>
    </row>
    <row r="907" spans="1:13" x14ac:dyDescent="0.25">
      <c r="A907" s="3">
        <v>906</v>
      </c>
      <c r="B907" s="3" t="s">
        <v>56</v>
      </c>
      <c r="C907" s="33">
        <v>45651</v>
      </c>
      <c r="D907" s="3" t="s">
        <v>18</v>
      </c>
      <c r="E907" s="3" t="s">
        <v>16</v>
      </c>
      <c r="F907" s="3" t="s">
        <v>24</v>
      </c>
      <c r="G907" s="3">
        <v>73</v>
      </c>
      <c r="H907" s="3" t="s">
        <v>17</v>
      </c>
      <c r="I907" s="23">
        <v>4.1999998092651296</v>
      </c>
      <c r="J907" s="4">
        <v>2620</v>
      </c>
      <c r="K907" s="4">
        <v>99299.199999999997</v>
      </c>
      <c r="L907" s="4">
        <v>33700394629</v>
      </c>
      <c r="M907" s="3">
        <v>0.63</v>
      </c>
    </row>
    <row r="908" spans="1:13" x14ac:dyDescent="0.25">
      <c r="A908" s="3">
        <v>907</v>
      </c>
      <c r="B908" s="3" t="s">
        <v>56</v>
      </c>
      <c r="C908" s="33">
        <v>45652</v>
      </c>
      <c r="D908" s="3" t="s">
        <v>19</v>
      </c>
      <c r="E908" s="3" t="s">
        <v>16</v>
      </c>
      <c r="F908" s="3" t="s">
        <v>25</v>
      </c>
      <c r="G908" s="3">
        <v>79</v>
      </c>
      <c r="H908" s="3" t="s">
        <v>17</v>
      </c>
      <c r="I908" s="23">
        <v>4.2150001525878897</v>
      </c>
      <c r="J908" s="4">
        <v>2612.30004882812</v>
      </c>
      <c r="K908" s="4">
        <v>95795.520000000004</v>
      </c>
      <c r="L908" s="4">
        <v>47054980873</v>
      </c>
      <c r="M908" s="3">
        <v>-3.53</v>
      </c>
    </row>
    <row r="909" spans="1:13" x14ac:dyDescent="0.25">
      <c r="A909" s="3">
        <v>908</v>
      </c>
      <c r="B909" s="3" t="s">
        <v>56</v>
      </c>
      <c r="C909" s="33">
        <v>45653</v>
      </c>
      <c r="D909" s="3" t="s">
        <v>20</v>
      </c>
      <c r="E909" s="3" t="s">
        <v>16</v>
      </c>
      <c r="F909" s="3" t="s">
        <v>24</v>
      </c>
      <c r="G909" s="3">
        <v>74</v>
      </c>
      <c r="H909" s="3" t="s">
        <v>17</v>
      </c>
      <c r="I909" s="23">
        <v>4.1779999732971103</v>
      </c>
      <c r="J909" s="4">
        <v>2638.80004882812</v>
      </c>
      <c r="K909" s="4">
        <v>94164.86</v>
      </c>
      <c r="L909" s="4">
        <v>52419934565</v>
      </c>
      <c r="M909" s="3">
        <v>-1.7</v>
      </c>
    </row>
    <row r="910" spans="1:13" x14ac:dyDescent="0.25">
      <c r="A910" s="3">
        <v>909</v>
      </c>
      <c r="B910" s="3" t="s">
        <v>56</v>
      </c>
      <c r="C910" s="33">
        <v>45654</v>
      </c>
      <c r="D910" s="3" t="s">
        <v>21</v>
      </c>
      <c r="E910" s="3" t="s">
        <v>13</v>
      </c>
      <c r="F910" s="3" t="s">
        <v>24</v>
      </c>
      <c r="G910" s="3">
        <v>72</v>
      </c>
      <c r="H910" s="3" t="s">
        <v>17</v>
      </c>
      <c r="I910" s="23">
        <v>4.1779999732971103</v>
      </c>
      <c r="J910" s="4">
        <v>2617.19995117187</v>
      </c>
      <c r="K910" s="4">
        <v>95163.93</v>
      </c>
      <c r="L910" s="4">
        <v>24107436185</v>
      </c>
      <c r="M910" s="3">
        <v>1.06</v>
      </c>
    </row>
    <row r="911" spans="1:13" x14ac:dyDescent="0.25">
      <c r="A911" s="3">
        <v>910</v>
      </c>
      <c r="B911" s="3" t="s">
        <v>56</v>
      </c>
      <c r="C911" s="33">
        <v>45655</v>
      </c>
      <c r="D911" s="3" t="s">
        <v>22</v>
      </c>
      <c r="E911" s="3" t="s">
        <v>13</v>
      </c>
      <c r="F911" s="3" t="s">
        <v>24</v>
      </c>
      <c r="G911" s="3">
        <v>73</v>
      </c>
      <c r="H911" s="3" t="s">
        <v>17</v>
      </c>
      <c r="I911" s="23">
        <v>4.1779999732971103</v>
      </c>
      <c r="J911" s="4">
        <v>2638.80004882812</v>
      </c>
      <c r="K911" s="4">
        <v>93530.23</v>
      </c>
      <c r="L911" s="4">
        <v>29635885267</v>
      </c>
      <c r="M911" s="3">
        <v>-1.72</v>
      </c>
    </row>
    <row r="912" spans="1:13" x14ac:dyDescent="0.25">
      <c r="A912" s="3">
        <v>911</v>
      </c>
      <c r="B912" s="3" t="s">
        <v>56</v>
      </c>
      <c r="C912" s="33">
        <v>45656</v>
      </c>
      <c r="D912" s="3" t="s">
        <v>12</v>
      </c>
      <c r="E912" s="3" t="s">
        <v>16</v>
      </c>
      <c r="F912" s="3" t="s">
        <v>24</v>
      </c>
      <c r="G912" s="3">
        <v>65</v>
      </c>
      <c r="H912" s="3" t="s">
        <v>17</v>
      </c>
      <c r="I912" s="23">
        <v>4.1820001602172798</v>
      </c>
      <c r="J912" s="4">
        <v>2617.19995117187</v>
      </c>
      <c r="K912" s="4">
        <v>92643.21</v>
      </c>
      <c r="L912" s="4">
        <v>56188003691</v>
      </c>
      <c r="M912" s="3">
        <v>-0.95</v>
      </c>
    </row>
    <row r="913" spans="1:13" x14ac:dyDescent="0.25">
      <c r="A913" s="3">
        <v>912</v>
      </c>
      <c r="B913" s="3" t="s">
        <v>56</v>
      </c>
      <c r="C913" s="33">
        <v>45657</v>
      </c>
      <c r="D913" s="3" t="s">
        <v>15</v>
      </c>
      <c r="E913" s="3" t="s">
        <v>16</v>
      </c>
      <c r="F913" s="3" t="s">
        <v>24</v>
      </c>
      <c r="G913" s="3">
        <v>64</v>
      </c>
      <c r="H913" s="3" t="s">
        <v>17</v>
      </c>
      <c r="I913" s="23">
        <v>4.2080001831054599</v>
      </c>
      <c r="J913" s="4">
        <v>2606.10009765625</v>
      </c>
      <c r="K913" s="4">
        <v>93429.2</v>
      </c>
      <c r="L913" s="4">
        <v>43625106843</v>
      </c>
      <c r="M913" s="3">
        <v>0.85</v>
      </c>
    </row>
    <row r="914" spans="1:13" x14ac:dyDescent="0.25">
      <c r="A914" s="3">
        <v>913</v>
      </c>
      <c r="B914" s="3" t="s">
        <v>57</v>
      </c>
      <c r="C914" s="33">
        <v>45658</v>
      </c>
      <c r="D914" s="3" t="s">
        <v>18</v>
      </c>
      <c r="E914" s="3" t="s">
        <v>16</v>
      </c>
      <c r="F914" s="3" t="s">
        <v>24</v>
      </c>
      <c r="G914" s="3">
        <v>66</v>
      </c>
      <c r="H914" s="3" t="s">
        <v>17</v>
      </c>
      <c r="I914" s="23">
        <v>4.2080001831054599</v>
      </c>
      <c r="J914" s="4">
        <v>2629.19995117187</v>
      </c>
      <c r="K914" s="4">
        <v>94419.76</v>
      </c>
      <c r="L914" s="4">
        <v>24519888919</v>
      </c>
      <c r="M914" s="3">
        <v>1.06</v>
      </c>
    </row>
    <row r="915" spans="1:13" x14ac:dyDescent="0.25">
      <c r="A915" s="3">
        <v>914</v>
      </c>
      <c r="B915" s="3" t="s">
        <v>57</v>
      </c>
      <c r="C915" s="33">
        <v>45659</v>
      </c>
      <c r="D915" s="3" t="s">
        <v>19</v>
      </c>
      <c r="E915" s="3" t="s">
        <v>16</v>
      </c>
      <c r="F915" s="3" t="s">
        <v>24</v>
      </c>
      <c r="G915" s="3">
        <v>70</v>
      </c>
      <c r="H915" s="3" t="s">
        <v>17</v>
      </c>
      <c r="I915" s="23">
        <v>4.2080001831054599</v>
      </c>
      <c r="J915" s="4">
        <v>2606.10009765625</v>
      </c>
      <c r="K915" s="4">
        <v>96886.88</v>
      </c>
      <c r="L915" s="4">
        <v>46009564411</v>
      </c>
      <c r="M915" s="3">
        <v>2.61</v>
      </c>
    </row>
    <row r="916" spans="1:13" x14ac:dyDescent="0.25">
      <c r="A916" s="3">
        <v>915</v>
      </c>
      <c r="B916" s="3" t="s">
        <v>57</v>
      </c>
      <c r="C916" s="33">
        <v>45660</v>
      </c>
      <c r="D916" s="3" t="s">
        <v>20</v>
      </c>
      <c r="E916" s="3" t="s">
        <v>16</v>
      </c>
      <c r="F916" s="3" t="s">
        <v>24</v>
      </c>
      <c r="G916" s="3">
        <v>74</v>
      </c>
      <c r="H916" s="3" t="s">
        <v>17</v>
      </c>
      <c r="I916" s="23">
        <v>4.1929998397827104</v>
      </c>
      <c r="J916" s="4">
        <v>2658.89990234375</v>
      </c>
      <c r="K916" s="4">
        <v>98107.43</v>
      </c>
      <c r="L916" s="4">
        <v>35611391163</v>
      </c>
      <c r="M916" s="3">
        <v>1.26</v>
      </c>
    </row>
    <row r="917" spans="1:13" x14ac:dyDescent="0.25">
      <c r="A917" s="3">
        <v>916</v>
      </c>
      <c r="B917" s="3" t="s">
        <v>57</v>
      </c>
      <c r="C917" s="33">
        <v>45661</v>
      </c>
      <c r="D917" s="3" t="s">
        <v>21</v>
      </c>
      <c r="E917" s="3" t="s">
        <v>13</v>
      </c>
      <c r="F917" s="3" t="s">
        <v>24</v>
      </c>
      <c r="G917" s="3">
        <v>73</v>
      </c>
      <c r="H917" s="3" t="s">
        <v>17</v>
      </c>
      <c r="I917" s="23">
        <v>4.1929998397827104</v>
      </c>
      <c r="J917" s="4">
        <v>2645</v>
      </c>
      <c r="K917" s="4">
        <v>98236.23</v>
      </c>
      <c r="L917" s="4">
        <v>22342608078</v>
      </c>
      <c r="M917" s="3">
        <v>0.13</v>
      </c>
    </row>
    <row r="918" spans="1:13" x14ac:dyDescent="0.25">
      <c r="A918" s="3">
        <v>917</v>
      </c>
      <c r="B918" s="3" t="s">
        <v>57</v>
      </c>
      <c r="C918" s="33">
        <v>45662</v>
      </c>
      <c r="D918" s="3" t="s">
        <v>22</v>
      </c>
      <c r="E918" s="3" t="s">
        <v>13</v>
      </c>
      <c r="F918" s="3" t="s">
        <v>24</v>
      </c>
      <c r="G918" s="3">
        <v>72</v>
      </c>
      <c r="H918" s="3">
        <v>18</v>
      </c>
      <c r="I918" s="23">
        <v>4.1929998397827104</v>
      </c>
      <c r="J918" s="4">
        <v>2658.89990234375</v>
      </c>
      <c r="K918" s="4">
        <v>98314.96</v>
      </c>
      <c r="L918" s="4">
        <v>20525254825</v>
      </c>
      <c r="M918" s="3">
        <v>0.08</v>
      </c>
    </row>
    <row r="919" spans="1:13" x14ac:dyDescent="0.25">
      <c r="A919" s="3">
        <v>918</v>
      </c>
      <c r="B919" s="3" t="s">
        <v>57</v>
      </c>
      <c r="C919" s="33">
        <v>45663</v>
      </c>
      <c r="D919" s="3" t="s">
        <v>12</v>
      </c>
      <c r="E919" s="3" t="s">
        <v>16</v>
      </c>
      <c r="F919" s="3" t="s">
        <v>25</v>
      </c>
      <c r="G919" s="3">
        <v>76</v>
      </c>
      <c r="H919" s="3" t="s">
        <v>17</v>
      </c>
      <c r="I919" s="23">
        <v>4.1900000572204501</v>
      </c>
      <c r="J919" s="4">
        <v>2645</v>
      </c>
      <c r="K919" s="4">
        <v>102078.09</v>
      </c>
      <c r="L919" s="4">
        <v>51823432705</v>
      </c>
      <c r="M919" s="3">
        <v>3.83</v>
      </c>
    </row>
    <row r="920" spans="1:13" x14ac:dyDescent="0.25">
      <c r="A920" s="3">
        <v>919</v>
      </c>
      <c r="B920" s="3" t="s">
        <v>57</v>
      </c>
      <c r="C920" s="33">
        <v>45664</v>
      </c>
      <c r="D920" s="3" t="s">
        <v>15</v>
      </c>
      <c r="E920" s="3" t="s">
        <v>16</v>
      </c>
      <c r="F920" s="3" t="s">
        <v>25</v>
      </c>
      <c r="G920" s="3">
        <v>78</v>
      </c>
      <c r="H920" s="3" t="s">
        <v>17</v>
      </c>
      <c r="I920" s="23">
        <v>4.2030000686645499</v>
      </c>
      <c r="J920" s="4">
        <v>2638.39990234375</v>
      </c>
      <c r="K920" s="4">
        <v>96922.7</v>
      </c>
      <c r="L920" s="4">
        <v>58685738547</v>
      </c>
      <c r="M920" s="3">
        <v>-5.05</v>
      </c>
    </row>
    <row r="921" spans="1:13" x14ac:dyDescent="0.25">
      <c r="A921" s="3">
        <v>920</v>
      </c>
      <c r="B921" s="3" t="s">
        <v>57</v>
      </c>
      <c r="C921" s="33">
        <v>45665</v>
      </c>
      <c r="D921" s="3" t="s">
        <v>18</v>
      </c>
      <c r="E921" s="3" t="s">
        <v>16</v>
      </c>
      <c r="F921" s="3" t="s">
        <v>24</v>
      </c>
      <c r="G921" s="3">
        <v>70</v>
      </c>
      <c r="H921" s="3" t="s">
        <v>17</v>
      </c>
      <c r="I921" s="23">
        <v>4.2049999237060502</v>
      </c>
      <c r="J921" s="4">
        <v>2656.69995117187</v>
      </c>
      <c r="K921" s="4">
        <v>95043.520000000004</v>
      </c>
      <c r="L921" s="4">
        <v>63875859171</v>
      </c>
      <c r="M921" s="3">
        <v>-1.94</v>
      </c>
    </row>
    <row r="922" spans="1:13" x14ac:dyDescent="0.25">
      <c r="A922" s="3">
        <v>921</v>
      </c>
      <c r="B922" s="3" t="s">
        <v>57</v>
      </c>
      <c r="C922" s="33">
        <v>45666</v>
      </c>
      <c r="D922" s="3" t="s">
        <v>19</v>
      </c>
      <c r="E922" s="3" t="s">
        <v>16</v>
      </c>
      <c r="F922" s="3" t="s">
        <v>24</v>
      </c>
      <c r="G922" s="3">
        <v>69</v>
      </c>
      <c r="H922" s="3" t="s">
        <v>17</v>
      </c>
      <c r="I922" s="23">
        <v>4.2049999237060502</v>
      </c>
      <c r="J922" s="4">
        <v>2664.5</v>
      </c>
      <c r="K922" s="4">
        <v>92484.04</v>
      </c>
      <c r="L922" s="4">
        <v>62777261693</v>
      </c>
      <c r="M922" s="3">
        <v>-2.69</v>
      </c>
    </row>
    <row r="923" spans="1:13" x14ac:dyDescent="0.25">
      <c r="A923" s="3">
        <v>922</v>
      </c>
      <c r="B923" s="3" t="s">
        <v>57</v>
      </c>
      <c r="C923" s="33">
        <v>45667</v>
      </c>
      <c r="D923" s="3" t="s">
        <v>20</v>
      </c>
      <c r="E923" s="3" t="s">
        <v>16</v>
      </c>
      <c r="F923" s="3" t="s">
        <v>24</v>
      </c>
      <c r="G923" s="3">
        <v>50</v>
      </c>
      <c r="H923" s="3" t="s">
        <v>17</v>
      </c>
      <c r="I923" s="23">
        <v>4.2129998207092196</v>
      </c>
      <c r="J923" s="4">
        <v>2683.80004882812</v>
      </c>
      <c r="K923" s="4">
        <v>94701.45</v>
      </c>
      <c r="L923" s="4">
        <v>62058693684</v>
      </c>
      <c r="M923" s="3">
        <v>2.4</v>
      </c>
    </row>
    <row r="924" spans="1:13" x14ac:dyDescent="0.25">
      <c r="A924" s="3">
        <v>923</v>
      </c>
      <c r="B924" s="3" t="s">
        <v>57</v>
      </c>
      <c r="C924" s="33">
        <v>45668</v>
      </c>
      <c r="D924" s="3" t="s">
        <v>21</v>
      </c>
      <c r="E924" s="3" t="s">
        <v>13</v>
      </c>
      <c r="F924" s="3" t="s">
        <v>24</v>
      </c>
      <c r="G924" s="3">
        <v>69</v>
      </c>
      <c r="H924" s="3" t="s">
        <v>17</v>
      </c>
      <c r="I924" s="23">
        <v>4.2129998207092196</v>
      </c>
      <c r="J924" s="4">
        <v>2708.5</v>
      </c>
      <c r="K924" s="4">
        <v>94566.59</v>
      </c>
      <c r="L924" s="4">
        <v>18860894100</v>
      </c>
      <c r="M924" s="3">
        <v>-0.14000000000000001</v>
      </c>
    </row>
    <row r="925" spans="1:13" x14ac:dyDescent="0.25">
      <c r="A925" s="3">
        <v>924</v>
      </c>
      <c r="B925" s="3" t="s">
        <v>57</v>
      </c>
      <c r="C925" s="33">
        <v>45669</v>
      </c>
      <c r="D925" s="3" t="s">
        <v>22</v>
      </c>
      <c r="E925" s="3" t="s">
        <v>13</v>
      </c>
      <c r="F925" s="3" t="s">
        <v>24</v>
      </c>
      <c r="G925" s="3">
        <v>62</v>
      </c>
      <c r="H925" s="3" t="s">
        <v>17</v>
      </c>
      <c r="I925" s="23">
        <v>4.2129998207092196</v>
      </c>
      <c r="J925" s="4">
        <v>2683.80004882812</v>
      </c>
      <c r="K925" s="4">
        <v>94488.44</v>
      </c>
      <c r="L925" s="4">
        <v>20885130965</v>
      </c>
      <c r="M925" s="3">
        <v>-0.08</v>
      </c>
    </row>
    <row r="926" spans="1:13" x14ac:dyDescent="0.25">
      <c r="A926" s="3">
        <v>925</v>
      </c>
      <c r="B926" s="3" t="s">
        <v>57</v>
      </c>
      <c r="C926" s="33">
        <v>45670</v>
      </c>
      <c r="D926" s="3" t="s">
        <v>12</v>
      </c>
      <c r="E926" s="3" t="s">
        <v>16</v>
      </c>
      <c r="F926" s="3" t="s">
        <v>24</v>
      </c>
      <c r="G926" s="3">
        <v>61</v>
      </c>
      <c r="H926" s="3" t="s">
        <v>17</v>
      </c>
      <c r="I926" s="23">
        <v>4.2179999351501403</v>
      </c>
      <c r="J926" s="4">
        <v>2708.5</v>
      </c>
      <c r="K926" s="4">
        <v>94516.52</v>
      </c>
      <c r="L926" s="4">
        <v>72978998252</v>
      </c>
      <c r="M926" s="3">
        <v>0.03</v>
      </c>
    </row>
    <row r="927" spans="1:13" x14ac:dyDescent="0.25">
      <c r="A927" s="3">
        <v>926</v>
      </c>
      <c r="B927" s="3" t="s">
        <v>57</v>
      </c>
      <c r="C927" s="33">
        <v>45671</v>
      </c>
      <c r="D927" s="3" t="s">
        <v>15</v>
      </c>
      <c r="E927" s="3" t="s">
        <v>16</v>
      </c>
      <c r="F927" s="3" t="s">
        <v>24</v>
      </c>
      <c r="G927" s="3">
        <v>63</v>
      </c>
      <c r="H927" s="3" t="s">
        <v>17</v>
      </c>
      <c r="I927" s="23">
        <v>4.2129998207092196</v>
      </c>
      <c r="J927" s="4">
        <v>2673.5</v>
      </c>
      <c r="K927" s="4">
        <v>96534.05</v>
      </c>
      <c r="L927" s="4">
        <v>53769675818</v>
      </c>
      <c r="M927" s="3">
        <v>2.13</v>
      </c>
    </row>
    <row r="928" spans="1:13" x14ac:dyDescent="0.25">
      <c r="A928" s="3">
        <v>927</v>
      </c>
      <c r="B928" s="3" t="s">
        <v>57</v>
      </c>
      <c r="C928" s="33">
        <v>45672</v>
      </c>
      <c r="D928" s="3" t="s">
        <v>18</v>
      </c>
      <c r="E928" s="3" t="s">
        <v>16</v>
      </c>
      <c r="F928" s="3" t="s">
        <v>24</v>
      </c>
      <c r="G928" s="3">
        <v>70</v>
      </c>
      <c r="H928" s="3" t="s">
        <v>17</v>
      </c>
      <c r="I928" s="23">
        <v>4.2049999237060502</v>
      </c>
      <c r="J928" s="4">
        <v>2677.5</v>
      </c>
      <c r="K928" s="4">
        <v>100504.49</v>
      </c>
      <c r="L928" s="4">
        <v>57805923627</v>
      </c>
      <c r="M928" s="3">
        <v>4.1100000000000003</v>
      </c>
    </row>
    <row r="929" spans="1:13" x14ac:dyDescent="0.25">
      <c r="A929" s="3">
        <v>928</v>
      </c>
      <c r="B929" s="3" t="s">
        <v>57</v>
      </c>
      <c r="C929" s="33">
        <v>45673</v>
      </c>
      <c r="D929" s="3" t="s">
        <v>19</v>
      </c>
      <c r="E929" s="3" t="s">
        <v>16</v>
      </c>
      <c r="F929" s="3" t="s">
        <v>25</v>
      </c>
      <c r="G929" s="3">
        <v>75</v>
      </c>
      <c r="H929" s="3" t="s">
        <v>17</v>
      </c>
      <c r="I929" s="23">
        <v>4.1950001716613698</v>
      </c>
      <c r="J929" s="4">
        <v>2712.5</v>
      </c>
      <c r="K929" s="4">
        <v>99756.91</v>
      </c>
      <c r="L929" s="4">
        <v>54103781805</v>
      </c>
      <c r="M929" s="3">
        <v>-0.74</v>
      </c>
    </row>
    <row r="930" spans="1:13" x14ac:dyDescent="0.25">
      <c r="A930" s="3">
        <v>929</v>
      </c>
      <c r="B930" s="3" t="s">
        <v>57</v>
      </c>
      <c r="C930" s="33">
        <v>45674</v>
      </c>
      <c r="D930" s="3" t="s">
        <v>20</v>
      </c>
      <c r="E930" s="3" t="s">
        <v>16</v>
      </c>
      <c r="F930" s="3" t="s">
        <v>25</v>
      </c>
      <c r="G930" s="3">
        <v>75</v>
      </c>
      <c r="H930" s="3" t="s">
        <v>17</v>
      </c>
      <c r="I930" s="23">
        <v>4.1929998397827104</v>
      </c>
      <c r="J930" s="4">
        <v>2746.39990234375</v>
      </c>
      <c r="K930" s="4">
        <v>104462.04</v>
      </c>
      <c r="L930" s="4">
        <v>71888972663</v>
      </c>
      <c r="M930" s="3">
        <v>4.72</v>
      </c>
    </row>
    <row r="931" spans="1:13" x14ac:dyDescent="0.25">
      <c r="A931" s="3">
        <v>930</v>
      </c>
      <c r="B931" s="3" t="s">
        <v>57</v>
      </c>
      <c r="C931" s="33">
        <v>45675</v>
      </c>
      <c r="D931" s="3" t="s">
        <v>21</v>
      </c>
      <c r="E931" s="3" t="s">
        <v>13</v>
      </c>
      <c r="F931" s="3" t="s">
        <v>25</v>
      </c>
      <c r="G931" s="3">
        <v>77</v>
      </c>
      <c r="H931" s="3" t="s">
        <v>17</v>
      </c>
      <c r="I931" s="23">
        <v>4.1929998397827104</v>
      </c>
      <c r="J931" s="4">
        <v>2744.30004882812</v>
      </c>
      <c r="K931" s="4">
        <v>104408.07</v>
      </c>
      <c r="L931" s="4">
        <v>50445655726</v>
      </c>
      <c r="M931" s="3">
        <v>-0.05</v>
      </c>
    </row>
    <row r="932" spans="1:13" x14ac:dyDescent="0.25">
      <c r="A932" s="3">
        <v>931</v>
      </c>
      <c r="B932" s="3" t="s">
        <v>57</v>
      </c>
      <c r="C932" s="33">
        <v>45676</v>
      </c>
      <c r="D932" s="3" t="s">
        <v>22</v>
      </c>
      <c r="E932" s="3" t="s">
        <v>13</v>
      </c>
      <c r="F932" s="3" t="s">
        <v>25</v>
      </c>
      <c r="G932" s="3">
        <v>77</v>
      </c>
      <c r="H932" s="3" t="s">
        <v>17</v>
      </c>
      <c r="I932" s="23">
        <v>4.1929998397827104</v>
      </c>
      <c r="J932" s="4">
        <v>2746.39990234375</v>
      </c>
      <c r="K932" s="4">
        <v>101089.61</v>
      </c>
      <c r="L932" s="4">
        <v>76789928525</v>
      </c>
      <c r="M932" s="3">
        <v>-3.18</v>
      </c>
    </row>
    <row r="933" spans="1:13" x14ac:dyDescent="0.25">
      <c r="A933" s="3">
        <v>932</v>
      </c>
      <c r="B933" s="3" t="s">
        <v>57</v>
      </c>
      <c r="C933" s="33">
        <v>45677</v>
      </c>
      <c r="D933" s="3" t="s">
        <v>12</v>
      </c>
      <c r="E933" s="3" t="s">
        <v>16</v>
      </c>
      <c r="F933" s="3" t="s">
        <v>25</v>
      </c>
      <c r="G933" s="3">
        <v>76</v>
      </c>
      <c r="H933" s="3" t="s">
        <v>17</v>
      </c>
      <c r="I933" s="23">
        <v>4.1929998397827104</v>
      </c>
      <c r="J933" s="4">
        <v>2744.30004882812</v>
      </c>
      <c r="K933" s="4">
        <v>102016.66</v>
      </c>
      <c r="L933" s="4">
        <v>126279678351</v>
      </c>
      <c r="M933" s="3">
        <v>0.92</v>
      </c>
    </row>
    <row r="934" spans="1:13" x14ac:dyDescent="0.25">
      <c r="A934" s="3">
        <v>933</v>
      </c>
      <c r="B934" s="3" t="s">
        <v>57</v>
      </c>
      <c r="C934" s="33">
        <v>45678</v>
      </c>
      <c r="D934" s="3" t="s">
        <v>15</v>
      </c>
      <c r="E934" s="3" t="s">
        <v>16</v>
      </c>
      <c r="F934" s="3" t="s">
        <v>25</v>
      </c>
      <c r="G934" s="3">
        <v>76</v>
      </c>
      <c r="H934" s="3" t="s">
        <v>17</v>
      </c>
      <c r="I934" s="23">
        <v>4.19700002670288</v>
      </c>
      <c r="J934" s="4">
        <v>2746.39990234375</v>
      </c>
      <c r="K934" s="4">
        <v>106146.27</v>
      </c>
      <c r="L934" s="4">
        <v>88733878242</v>
      </c>
      <c r="M934" s="3">
        <v>4.05</v>
      </c>
    </row>
    <row r="935" spans="1:13" x14ac:dyDescent="0.25">
      <c r="A935" s="3">
        <v>934</v>
      </c>
      <c r="B935" s="3" t="s">
        <v>57</v>
      </c>
      <c r="C935" s="33">
        <v>45679</v>
      </c>
      <c r="D935" s="3" t="s">
        <v>18</v>
      </c>
      <c r="E935" s="3" t="s">
        <v>16</v>
      </c>
      <c r="F935" s="3" t="s">
        <v>25</v>
      </c>
      <c r="G935" s="3">
        <v>84</v>
      </c>
      <c r="H935" s="3" t="s">
        <v>17</v>
      </c>
      <c r="I935" s="23">
        <v>4.2150001525878897</v>
      </c>
      <c r="J935" s="4">
        <v>2755</v>
      </c>
      <c r="K935" s="4">
        <v>103653.07</v>
      </c>
      <c r="L935" s="4">
        <v>53878181052</v>
      </c>
      <c r="M935" s="3">
        <v>-2.35</v>
      </c>
    </row>
    <row r="936" spans="1:13" x14ac:dyDescent="0.25">
      <c r="A936" s="3">
        <v>935</v>
      </c>
      <c r="B936" s="3" t="s">
        <v>57</v>
      </c>
      <c r="C936" s="33">
        <v>45680</v>
      </c>
      <c r="D936" s="3" t="s">
        <v>19</v>
      </c>
      <c r="E936" s="3" t="s">
        <v>16</v>
      </c>
      <c r="F936" s="3" t="s">
        <v>25</v>
      </c>
      <c r="G936" s="3">
        <v>75</v>
      </c>
      <c r="H936" s="3" t="s">
        <v>17</v>
      </c>
      <c r="I936" s="23">
        <v>4.2129998207092196</v>
      </c>
      <c r="J936" s="4">
        <v>2767.60009765625</v>
      </c>
      <c r="K936" s="4">
        <v>103960.17</v>
      </c>
      <c r="L936" s="4">
        <v>104104515428</v>
      </c>
      <c r="M936" s="3">
        <v>0.3</v>
      </c>
    </row>
    <row r="937" spans="1:13" x14ac:dyDescent="0.25">
      <c r="A937" s="3">
        <v>936</v>
      </c>
      <c r="B937" s="3" t="s">
        <v>57</v>
      </c>
      <c r="C937" s="33">
        <v>45681</v>
      </c>
      <c r="D937" s="3" t="s">
        <v>20</v>
      </c>
      <c r="E937" s="3" t="s">
        <v>16</v>
      </c>
      <c r="F937" s="3" t="s">
        <v>25</v>
      </c>
      <c r="G937" s="3">
        <v>75</v>
      </c>
      <c r="H937" s="3" t="s">
        <v>17</v>
      </c>
      <c r="I937" s="23">
        <v>4.2049999237060502</v>
      </c>
      <c r="J937" s="4">
        <v>2763.10009765625</v>
      </c>
      <c r="K937" s="4">
        <v>104819.48</v>
      </c>
      <c r="L937" s="4">
        <v>52388229265</v>
      </c>
      <c r="M937" s="3">
        <v>0.83</v>
      </c>
    </row>
    <row r="938" spans="1:13" x14ac:dyDescent="0.25">
      <c r="A938" s="3">
        <v>937</v>
      </c>
      <c r="B938" s="3" t="s">
        <v>57</v>
      </c>
      <c r="C938" s="33">
        <v>45682</v>
      </c>
      <c r="D938" s="3" t="s">
        <v>21</v>
      </c>
      <c r="E938" s="3" t="s">
        <v>13</v>
      </c>
      <c r="F938" s="3" t="s">
        <v>25</v>
      </c>
      <c r="G938" s="3">
        <v>75</v>
      </c>
      <c r="H938" s="3" t="s">
        <v>17</v>
      </c>
      <c r="I938" s="23">
        <v>4.2049999237060502</v>
      </c>
      <c r="J938" s="4">
        <v>2777.30004882812</v>
      </c>
      <c r="K938" s="4">
        <v>104714.65</v>
      </c>
      <c r="L938" s="4">
        <v>23888996502</v>
      </c>
      <c r="M938" s="3">
        <v>-0.1</v>
      </c>
    </row>
    <row r="939" spans="1:13" x14ac:dyDescent="0.25">
      <c r="A939" s="3">
        <v>938</v>
      </c>
      <c r="B939" s="3" t="s">
        <v>57</v>
      </c>
      <c r="C939" s="33">
        <v>45683</v>
      </c>
      <c r="D939" s="3" t="s">
        <v>22</v>
      </c>
      <c r="E939" s="3" t="s">
        <v>13</v>
      </c>
      <c r="F939" s="3" t="s">
        <v>24</v>
      </c>
      <c r="G939" s="3">
        <v>73</v>
      </c>
      <c r="H939" s="3" t="s">
        <v>17</v>
      </c>
      <c r="I939" s="23">
        <v>4.2049999237060502</v>
      </c>
      <c r="J939" s="4">
        <v>2763.10009765625</v>
      </c>
      <c r="K939" s="4">
        <v>102682.5</v>
      </c>
      <c r="L939" s="4">
        <v>22543395879</v>
      </c>
      <c r="M939" s="3">
        <v>-1.94</v>
      </c>
    </row>
    <row r="940" spans="1:13" x14ac:dyDescent="0.25">
      <c r="A940" s="3">
        <v>939</v>
      </c>
      <c r="B940" s="3" t="s">
        <v>57</v>
      </c>
      <c r="C940" s="33">
        <v>45684</v>
      </c>
      <c r="D940" s="3" t="s">
        <v>12</v>
      </c>
      <c r="E940" s="3" t="s">
        <v>16</v>
      </c>
      <c r="F940" s="3" t="s">
        <v>24</v>
      </c>
      <c r="G940" s="3">
        <v>71</v>
      </c>
      <c r="H940" s="3" t="s">
        <v>17</v>
      </c>
      <c r="I940" s="23">
        <v>4.1880002021789497</v>
      </c>
      <c r="J940" s="4">
        <v>2777.30004882812</v>
      </c>
      <c r="K940" s="4">
        <v>102087.69</v>
      </c>
      <c r="L940" s="4">
        <v>89006608428</v>
      </c>
      <c r="M940" s="3">
        <v>-0.57999999999999996</v>
      </c>
    </row>
    <row r="941" spans="1:13" x14ac:dyDescent="0.25">
      <c r="A941" s="3">
        <v>940</v>
      </c>
      <c r="B941" s="3" t="s">
        <v>57</v>
      </c>
      <c r="C941" s="33">
        <v>45685</v>
      </c>
      <c r="D941" s="3" t="s">
        <v>15</v>
      </c>
      <c r="E941" s="3" t="s">
        <v>16</v>
      </c>
      <c r="F941" s="3" t="s">
        <v>24</v>
      </c>
      <c r="G941" s="3">
        <v>72</v>
      </c>
      <c r="H941" s="3" t="s">
        <v>17</v>
      </c>
      <c r="I941" s="23">
        <v>4.1900000572204501</v>
      </c>
      <c r="J941" s="4">
        <v>2737.5</v>
      </c>
      <c r="K941" s="4">
        <v>101332.48</v>
      </c>
      <c r="L941" s="4">
        <v>47180685494</v>
      </c>
      <c r="M941" s="3">
        <v>-0.74</v>
      </c>
    </row>
    <row r="942" spans="1:13" x14ac:dyDescent="0.25">
      <c r="A942" s="3">
        <v>941</v>
      </c>
      <c r="B942" s="3" t="s">
        <v>57</v>
      </c>
      <c r="C942" s="33">
        <v>45686</v>
      </c>
      <c r="D942" s="3" t="s">
        <v>18</v>
      </c>
      <c r="E942" s="3" t="s">
        <v>16</v>
      </c>
      <c r="F942" s="3" t="s">
        <v>24</v>
      </c>
      <c r="G942" s="3">
        <v>72</v>
      </c>
      <c r="H942" s="3" t="s">
        <v>17</v>
      </c>
      <c r="I942" s="23">
        <v>4.1880002021789497</v>
      </c>
      <c r="J942" s="4">
        <v>2766.80004882812</v>
      </c>
      <c r="K942" s="4">
        <v>103703.21</v>
      </c>
      <c r="L942" s="4">
        <v>47432049818</v>
      </c>
      <c r="M942" s="3">
        <v>2.34</v>
      </c>
    </row>
    <row r="943" spans="1:13" x14ac:dyDescent="0.25">
      <c r="A943" s="3">
        <v>942</v>
      </c>
      <c r="B943" s="3" t="s">
        <v>57</v>
      </c>
      <c r="C943" s="33">
        <v>45687</v>
      </c>
      <c r="D943" s="3" t="s">
        <v>19</v>
      </c>
      <c r="E943" s="3" t="s">
        <v>16</v>
      </c>
      <c r="F943" s="3" t="s">
        <v>24</v>
      </c>
      <c r="G943" s="3">
        <v>70</v>
      </c>
      <c r="H943" s="3" t="s">
        <v>17</v>
      </c>
      <c r="I943" s="23">
        <v>4.1820001602172798</v>
      </c>
      <c r="J943" s="4">
        <v>2769.10009765625</v>
      </c>
      <c r="K943" s="4">
        <v>104735.3</v>
      </c>
      <c r="L943" s="4">
        <v>41915744521</v>
      </c>
      <c r="M943" s="3">
        <v>1</v>
      </c>
    </row>
    <row r="944" spans="1:13" x14ac:dyDescent="0.25">
      <c r="A944" s="3">
        <v>943</v>
      </c>
      <c r="B944" s="3" t="s">
        <v>57</v>
      </c>
      <c r="C944" s="33">
        <v>45688</v>
      </c>
      <c r="D944" s="3" t="s">
        <v>20</v>
      </c>
      <c r="E944" s="3" t="s">
        <v>16</v>
      </c>
      <c r="F944" s="3" t="s">
        <v>25</v>
      </c>
      <c r="G944" s="3">
        <v>76</v>
      </c>
      <c r="H944" s="3" t="s">
        <v>17</v>
      </c>
      <c r="I944" s="23">
        <v>4.1880002021789497</v>
      </c>
      <c r="J944" s="4">
        <v>2823</v>
      </c>
      <c r="K944" s="4">
        <v>102405.02</v>
      </c>
      <c r="L944" s="4">
        <v>45732764360</v>
      </c>
      <c r="M944" s="3">
        <v>-2.2200000000000002</v>
      </c>
    </row>
    <row r="945" spans="1:13" x14ac:dyDescent="0.25">
      <c r="A945" s="3">
        <v>944</v>
      </c>
      <c r="B945" s="3" t="s">
        <v>58</v>
      </c>
      <c r="C945" s="33">
        <v>45689</v>
      </c>
      <c r="D945" s="3" t="s">
        <v>21</v>
      </c>
      <c r="E945" s="3" t="s">
        <v>13</v>
      </c>
      <c r="F945" s="3" t="s">
        <v>24</v>
      </c>
      <c r="G945" s="3">
        <v>68</v>
      </c>
      <c r="H945" s="3" t="s">
        <v>17</v>
      </c>
      <c r="I945" s="23">
        <v>4.1880002021789497</v>
      </c>
      <c r="J945" s="4">
        <v>2812.5</v>
      </c>
      <c r="K945" s="4">
        <v>100655.91</v>
      </c>
      <c r="L945" s="4">
        <v>27757944848</v>
      </c>
      <c r="M945" s="3">
        <v>-1.71</v>
      </c>
    </row>
    <row r="946" spans="1:13" x14ac:dyDescent="0.25">
      <c r="A946" s="3">
        <v>945</v>
      </c>
      <c r="B946" s="3" t="s">
        <v>58</v>
      </c>
      <c r="C946" s="33">
        <v>45690</v>
      </c>
      <c r="D946" s="3" t="s">
        <v>22</v>
      </c>
      <c r="E946" s="3" t="s">
        <v>13</v>
      </c>
      <c r="F946" s="3" t="s">
        <v>24</v>
      </c>
      <c r="G946" s="3">
        <v>60</v>
      </c>
      <c r="H946" s="3" t="s">
        <v>17</v>
      </c>
      <c r="I946" s="23">
        <v>4.1880002021789497</v>
      </c>
      <c r="J946" s="4">
        <v>2823</v>
      </c>
      <c r="K946" s="4">
        <v>97688.98</v>
      </c>
      <c r="L946" s="4">
        <v>63091816853</v>
      </c>
      <c r="M946" s="3">
        <v>-2.95</v>
      </c>
    </row>
    <row r="947" spans="1:13" x14ac:dyDescent="0.25">
      <c r="A947" s="3">
        <v>946</v>
      </c>
      <c r="B947" s="3" t="s">
        <v>58</v>
      </c>
      <c r="C947" s="33">
        <v>45691</v>
      </c>
      <c r="D947" s="3" t="s">
        <v>12</v>
      </c>
      <c r="E947" s="3" t="s">
        <v>16</v>
      </c>
      <c r="F947" s="3" t="s">
        <v>23</v>
      </c>
      <c r="G947" s="3">
        <v>44</v>
      </c>
      <c r="H947" s="3" t="s">
        <v>17</v>
      </c>
      <c r="I947" s="23">
        <v>4.1900000572204501</v>
      </c>
      <c r="J947" s="4">
        <v>2812.5</v>
      </c>
      <c r="K947" s="4">
        <v>101405.42</v>
      </c>
      <c r="L947" s="4">
        <v>115400897748</v>
      </c>
      <c r="M947" s="3">
        <v>3.8</v>
      </c>
    </row>
    <row r="948" spans="1:13" x14ac:dyDescent="0.25">
      <c r="A948" s="3">
        <v>947</v>
      </c>
      <c r="B948" s="3" t="s">
        <v>58</v>
      </c>
      <c r="C948" s="33">
        <v>45692</v>
      </c>
      <c r="D948" s="3" t="s">
        <v>15</v>
      </c>
      <c r="E948" s="3" t="s">
        <v>16</v>
      </c>
      <c r="F948" s="3" t="s">
        <v>24</v>
      </c>
      <c r="G948" s="3">
        <v>72</v>
      </c>
      <c r="H948" s="3" t="s">
        <v>17</v>
      </c>
      <c r="I948" s="23">
        <v>4.2129998207092196</v>
      </c>
      <c r="J948" s="4">
        <v>2833.89990234375</v>
      </c>
      <c r="K948" s="4">
        <v>97871.82</v>
      </c>
      <c r="L948" s="4">
        <v>73002130211</v>
      </c>
      <c r="M948" s="3">
        <v>-3.48</v>
      </c>
    </row>
    <row r="949" spans="1:13" x14ac:dyDescent="0.25">
      <c r="A949" s="3">
        <v>948</v>
      </c>
      <c r="B949" s="3" t="s">
        <v>58</v>
      </c>
      <c r="C949" s="33">
        <v>45693</v>
      </c>
      <c r="D949" s="3" t="s">
        <v>18</v>
      </c>
      <c r="E949" s="3" t="s">
        <v>16</v>
      </c>
      <c r="F949" s="3" t="s">
        <v>24</v>
      </c>
      <c r="G949" s="3">
        <v>54</v>
      </c>
      <c r="H949" s="3" t="s">
        <v>17</v>
      </c>
      <c r="I949" s="23">
        <v>4.21000003814697</v>
      </c>
      <c r="J949" s="4">
        <v>2853.30004882812</v>
      </c>
      <c r="K949" s="4">
        <v>96615.45</v>
      </c>
      <c r="L949" s="4">
        <v>49125911241</v>
      </c>
      <c r="M949" s="3">
        <v>-1.28</v>
      </c>
    </row>
    <row r="950" spans="1:13" x14ac:dyDescent="0.25">
      <c r="A950" s="3">
        <v>949</v>
      </c>
      <c r="B950" s="3" t="s">
        <v>58</v>
      </c>
      <c r="C950" s="33">
        <v>45694</v>
      </c>
      <c r="D950" s="3" t="s">
        <v>19</v>
      </c>
      <c r="E950" s="3" t="s">
        <v>16</v>
      </c>
      <c r="F950" s="3" t="s">
        <v>23</v>
      </c>
      <c r="G950" s="3">
        <v>49</v>
      </c>
      <c r="H950" s="3" t="s">
        <v>17</v>
      </c>
      <c r="I950" s="23">
        <v>4.2129998207092196</v>
      </c>
      <c r="J950" s="4">
        <v>2871.60009765625</v>
      </c>
      <c r="K950" s="4">
        <v>96593.3</v>
      </c>
      <c r="L950" s="4">
        <v>45302471947</v>
      </c>
      <c r="M950" s="3">
        <v>-0.02</v>
      </c>
    </row>
    <row r="951" spans="1:13" x14ac:dyDescent="0.25">
      <c r="A951" s="3">
        <v>950</v>
      </c>
      <c r="B951" s="3" t="s">
        <v>58</v>
      </c>
      <c r="C951" s="33">
        <v>45695</v>
      </c>
      <c r="D951" s="3" t="s">
        <v>20</v>
      </c>
      <c r="E951" s="3" t="s">
        <v>16</v>
      </c>
      <c r="F951" s="3" t="s">
        <v>23</v>
      </c>
      <c r="G951" s="3">
        <v>44</v>
      </c>
      <c r="H951" s="3" t="s">
        <v>17</v>
      </c>
      <c r="I951" s="23">
        <v>4.2280001640319798</v>
      </c>
      <c r="J951" s="4">
        <v>2856</v>
      </c>
      <c r="K951" s="4">
        <v>96529.09</v>
      </c>
      <c r="L951" s="4">
        <v>55741290456</v>
      </c>
      <c r="M951" s="3">
        <v>-7.0000000000000007E-2</v>
      </c>
    </row>
    <row r="952" spans="1:13" x14ac:dyDescent="0.25">
      <c r="A952" s="3">
        <v>951</v>
      </c>
      <c r="B952" s="3" t="s">
        <v>58</v>
      </c>
      <c r="C952" s="33">
        <v>45696</v>
      </c>
      <c r="D952" s="3" t="s">
        <v>21</v>
      </c>
      <c r="E952" s="3" t="s">
        <v>13</v>
      </c>
      <c r="F952" s="3" t="s">
        <v>23</v>
      </c>
      <c r="G952" s="3">
        <v>44</v>
      </c>
      <c r="H952" s="3" t="s">
        <v>17</v>
      </c>
      <c r="I952" s="23">
        <v>4.2280001640319798</v>
      </c>
      <c r="J952" s="4">
        <v>2867.30004882812</v>
      </c>
      <c r="K952" s="4">
        <v>96482.45</v>
      </c>
      <c r="L952" s="4">
        <v>22447526395</v>
      </c>
      <c r="M952" s="3">
        <v>-0.05</v>
      </c>
    </row>
    <row r="953" spans="1:13" x14ac:dyDescent="0.25">
      <c r="A953" s="3">
        <v>952</v>
      </c>
      <c r="B953" s="3" t="s">
        <v>58</v>
      </c>
      <c r="C953" s="33">
        <v>45697</v>
      </c>
      <c r="D953" s="3" t="s">
        <v>22</v>
      </c>
      <c r="E953" s="3" t="s">
        <v>13</v>
      </c>
      <c r="F953" s="3" t="s">
        <v>23</v>
      </c>
      <c r="G953" s="3">
        <v>46</v>
      </c>
      <c r="H953" s="3" t="s">
        <v>17</v>
      </c>
      <c r="I953" s="23">
        <v>4.2280001640319798</v>
      </c>
      <c r="J953" s="4">
        <v>2856</v>
      </c>
      <c r="K953" s="4">
        <v>96500.09</v>
      </c>
      <c r="L953" s="4">
        <v>27732901800</v>
      </c>
      <c r="M953" s="3">
        <v>0.02</v>
      </c>
    </row>
    <row r="954" spans="1:13" x14ac:dyDescent="0.25">
      <c r="A954" s="3">
        <v>953</v>
      </c>
      <c r="B954" s="3" t="s">
        <v>58</v>
      </c>
      <c r="C954" s="33">
        <v>45698</v>
      </c>
      <c r="D954" s="3" t="s">
        <v>12</v>
      </c>
      <c r="E954" s="3" t="s">
        <v>16</v>
      </c>
      <c r="F954" s="3" t="s">
        <v>23</v>
      </c>
      <c r="G954" s="3">
        <v>43</v>
      </c>
      <c r="H954" s="3" t="s">
        <v>17</v>
      </c>
      <c r="I954" s="23">
        <v>4.2280001640319798</v>
      </c>
      <c r="J954" s="4">
        <v>2867.30004882812</v>
      </c>
      <c r="K954" s="4">
        <v>97437.55</v>
      </c>
      <c r="L954" s="4">
        <v>40078962391</v>
      </c>
      <c r="M954" s="3">
        <v>0.97</v>
      </c>
    </row>
    <row r="955" spans="1:13" x14ac:dyDescent="0.25">
      <c r="A955" s="3">
        <v>954</v>
      </c>
      <c r="B955" s="3" t="s">
        <v>58</v>
      </c>
      <c r="C955" s="33">
        <v>45699</v>
      </c>
      <c r="D955" s="3" t="s">
        <v>15</v>
      </c>
      <c r="E955" s="3" t="s">
        <v>16</v>
      </c>
      <c r="F955" s="3" t="s">
        <v>23</v>
      </c>
      <c r="G955" s="3">
        <v>47</v>
      </c>
      <c r="H955" s="3" t="s">
        <v>17</v>
      </c>
      <c r="I955" s="23">
        <v>4.2249999046325604</v>
      </c>
      <c r="J955" s="4">
        <v>2914.30004882812</v>
      </c>
      <c r="K955" s="4">
        <v>95747.43</v>
      </c>
      <c r="L955" s="4">
        <v>37488783272</v>
      </c>
      <c r="M955" s="3">
        <v>-1.73</v>
      </c>
    </row>
    <row r="956" spans="1:13" x14ac:dyDescent="0.25">
      <c r="A956" s="3">
        <v>955</v>
      </c>
      <c r="B956" s="3" t="s">
        <v>58</v>
      </c>
      <c r="C956" s="33">
        <v>45700</v>
      </c>
      <c r="D956" s="3" t="s">
        <v>18</v>
      </c>
      <c r="E956" s="3" t="s">
        <v>16</v>
      </c>
      <c r="F956" s="3" t="s">
        <v>23</v>
      </c>
      <c r="G956" s="3">
        <v>46</v>
      </c>
      <c r="H956" s="3" t="s">
        <v>17</v>
      </c>
      <c r="I956" s="23">
        <v>4.2280001640319798</v>
      </c>
      <c r="J956" s="4">
        <v>2912.5</v>
      </c>
      <c r="K956" s="4">
        <v>97885.86</v>
      </c>
      <c r="L956" s="4">
        <v>49340445530</v>
      </c>
      <c r="M956" s="3">
        <v>2.23</v>
      </c>
    </row>
    <row r="957" spans="1:13" x14ac:dyDescent="0.25">
      <c r="A957" s="3">
        <v>956</v>
      </c>
      <c r="B957" s="3" t="s">
        <v>58</v>
      </c>
      <c r="C957" s="33">
        <v>45701</v>
      </c>
      <c r="D957" s="3" t="s">
        <v>19</v>
      </c>
      <c r="E957" s="3" t="s">
        <v>16</v>
      </c>
      <c r="F957" s="3" t="s">
        <v>24</v>
      </c>
      <c r="G957" s="3">
        <v>50</v>
      </c>
      <c r="H957" s="3" t="s">
        <v>17</v>
      </c>
      <c r="I957" s="23">
        <v>4.2129998207092196</v>
      </c>
      <c r="J957" s="4">
        <v>2909</v>
      </c>
      <c r="K957" s="4">
        <v>96623.87</v>
      </c>
      <c r="L957" s="4">
        <v>37147280860</v>
      </c>
      <c r="M957" s="3">
        <v>-1.29</v>
      </c>
    </row>
    <row r="958" spans="1:13" x14ac:dyDescent="0.25">
      <c r="A958" s="3">
        <v>957</v>
      </c>
      <c r="B958" s="3" t="s">
        <v>58</v>
      </c>
      <c r="C958" s="33">
        <v>45702</v>
      </c>
      <c r="D958" s="3" t="s">
        <v>20</v>
      </c>
      <c r="E958" s="3" t="s">
        <v>16</v>
      </c>
      <c r="F958" s="3" t="s">
        <v>23</v>
      </c>
      <c r="G958" s="3">
        <v>48</v>
      </c>
      <c r="H958" s="3" t="s">
        <v>17</v>
      </c>
      <c r="I958" s="23">
        <v>4.2129998207092196</v>
      </c>
      <c r="J958" s="4">
        <v>2925.89990234375</v>
      </c>
      <c r="K958" s="4">
        <v>97508.97</v>
      </c>
      <c r="L958" s="4">
        <v>32697987277</v>
      </c>
      <c r="M958" s="3">
        <v>0.92</v>
      </c>
    </row>
    <row r="959" spans="1:13" x14ac:dyDescent="0.25">
      <c r="A959" s="3">
        <v>958</v>
      </c>
      <c r="B959" s="3" t="s">
        <v>58</v>
      </c>
      <c r="C959" s="33">
        <v>45703</v>
      </c>
      <c r="D959" s="3" t="s">
        <v>21</v>
      </c>
      <c r="E959" s="3" t="s">
        <v>13</v>
      </c>
      <c r="F959" s="3" t="s">
        <v>24</v>
      </c>
      <c r="G959" s="3">
        <v>50</v>
      </c>
      <c r="H959" s="3" t="s">
        <v>17</v>
      </c>
      <c r="I959" s="23">
        <v>4.2129998207092196</v>
      </c>
      <c r="J959" s="4">
        <v>2883.60009765625</v>
      </c>
      <c r="K959" s="4">
        <v>97580.35</v>
      </c>
      <c r="L959" s="4">
        <v>17047266288</v>
      </c>
      <c r="M959" s="3">
        <v>7.0000000000000007E-2</v>
      </c>
    </row>
    <row r="960" spans="1:13" x14ac:dyDescent="0.25">
      <c r="A960" s="3">
        <v>959</v>
      </c>
      <c r="B960" s="3" t="s">
        <v>58</v>
      </c>
      <c r="C960" s="33">
        <v>45704</v>
      </c>
      <c r="D960" s="3" t="s">
        <v>22</v>
      </c>
      <c r="E960" s="3" t="s">
        <v>13</v>
      </c>
      <c r="F960" s="3" t="s">
        <v>24</v>
      </c>
      <c r="G960" s="3">
        <v>54</v>
      </c>
      <c r="H960" s="3" t="s">
        <v>17</v>
      </c>
      <c r="I960" s="23">
        <v>4.2129998207092196</v>
      </c>
      <c r="J960" s="4">
        <v>2925.89990234375</v>
      </c>
      <c r="K960" s="4">
        <v>96175.03</v>
      </c>
      <c r="L960" s="4">
        <v>16536755396</v>
      </c>
      <c r="M960" s="3">
        <v>-1.44</v>
      </c>
    </row>
    <row r="961" spans="1:13" x14ac:dyDescent="0.25">
      <c r="A961" s="3">
        <v>960</v>
      </c>
      <c r="B961" s="3" t="s">
        <v>58</v>
      </c>
      <c r="C961" s="33">
        <v>45705</v>
      </c>
      <c r="D961" s="3" t="s">
        <v>12</v>
      </c>
      <c r="E961" s="3" t="s">
        <v>16</v>
      </c>
      <c r="F961" s="3" t="s">
        <v>24</v>
      </c>
      <c r="G961" s="3">
        <v>51</v>
      </c>
      <c r="H961" s="3" t="s">
        <v>17</v>
      </c>
      <c r="I961" s="23">
        <v>4.2129998207092196</v>
      </c>
      <c r="J961" s="4">
        <v>2883.60009765625</v>
      </c>
      <c r="K961" s="4">
        <v>95773.38</v>
      </c>
      <c r="L961" s="4">
        <v>27336550690</v>
      </c>
      <c r="M961" s="3">
        <v>-0.42</v>
      </c>
    </row>
    <row r="962" spans="1:13" x14ac:dyDescent="0.25">
      <c r="A962" s="3">
        <v>961</v>
      </c>
      <c r="B962" s="3" t="s">
        <v>58</v>
      </c>
      <c r="C962" s="33">
        <v>45706</v>
      </c>
      <c r="D962" s="3" t="s">
        <v>15</v>
      </c>
      <c r="E962" s="3" t="s">
        <v>16</v>
      </c>
      <c r="F962" s="3" t="s">
        <v>23</v>
      </c>
      <c r="G962" s="3">
        <v>47</v>
      </c>
      <c r="H962" s="3" t="s">
        <v>17</v>
      </c>
      <c r="I962" s="23">
        <v>4.2129998207092196</v>
      </c>
      <c r="J962" s="4">
        <v>2925.89990234375</v>
      </c>
      <c r="K962" s="4">
        <v>95539.55</v>
      </c>
      <c r="L962" s="4">
        <v>37325720482</v>
      </c>
      <c r="M962" s="3">
        <v>-0.24</v>
      </c>
    </row>
    <row r="963" spans="1:13" x14ac:dyDescent="0.25">
      <c r="A963" s="3">
        <v>962</v>
      </c>
      <c r="B963" s="3" t="s">
        <v>58</v>
      </c>
      <c r="C963" s="33">
        <v>45707</v>
      </c>
      <c r="D963" s="3" t="s">
        <v>18</v>
      </c>
      <c r="E963" s="3" t="s">
        <v>16</v>
      </c>
      <c r="F963" s="3" t="s">
        <v>23</v>
      </c>
      <c r="G963" s="3">
        <v>44</v>
      </c>
      <c r="H963" s="3" t="s">
        <v>17</v>
      </c>
      <c r="I963" s="23">
        <v>4.2179999351501403</v>
      </c>
      <c r="J963" s="4">
        <v>2931.60009765625</v>
      </c>
      <c r="K963" s="4">
        <v>96635.61</v>
      </c>
      <c r="L963" s="4">
        <v>28990872862</v>
      </c>
      <c r="M963" s="3">
        <v>1.1499999999999999</v>
      </c>
    </row>
    <row r="964" spans="1:13" x14ac:dyDescent="0.25">
      <c r="A964" s="3">
        <v>963</v>
      </c>
      <c r="B964" s="3" t="s">
        <v>58</v>
      </c>
      <c r="C964" s="33">
        <v>45708</v>
      </c>
      <c r="D964" s="3" t="s">
        <v>19</v>
      </c>
      <c r="E964" s="3" t="s">
        <v>16</v>
      </c>
      <c r="F964" s="3" t="s">
        <v>23</v>
      </c>
      <c r="G964" s="3">
        <v>49</v>
      </c>
      <c r="H964" s="3" t="s">
        <v>17</v>
      </c>
      <c r="I964" s="23">
        <v>4.2049999237060502</v>
      </c>
      <c r="J964" s="4">
        <v>2919.39990234375</v>
      </c>
      <c r="K964" s="4">
        <v>98333.94</v>
      </c>
      <c r="L964" s="4">
        <v>31668022771</v>
      </c>
      <c r="M964" s="3">
        <v>1.76</v>
      </c>
    </row>
    <row r="965" spans="1:13" x14ac:dyDescent="0.25">
      <c r="A965" s="3">
        <v>964</v>
      </c>
      <c r="B965" s="3" t="s">
        <v>58</v>
      </c>
      <c r="C965" s="33">
        <v>45709</v>
      </c>
      <c r="D965" s="3" t="s">
        <v>20</v>
      </c>
      <c r="E965" s="3" t="s">
        <v>16</v>
      </c>
      <c r="F965" s="3" t="s">
        <v>24</v>
      </c>
      <c r="G965" s="3">
        <v>55</v>
      </c>
      <c r="H965" s="3" t="s">
        <v>17</v>
      </c>
      <c r="I965" s="23">
        <v>4.19700002670288</v>
      </c>
      <c r="J965" s="4">
        <v>2940</v>
      </c>
      <c r="K965" s="4">
        <v>96125.55</v>
      </c>
      <c r="L965" s="4">
        <v>49608706470</v>
      </c>
      <c r="M965" s="3">
        <v>-2.25</v>
      </c>
    </row>
    <row r="966" spans="1:13" x14ac:dyDescent="0.25">
      <c r="A966" s="3">
        <v>965</v>
      </c>
      <c r="B966" s="3" t="s">
        <v>58</v>
      </c>
      <c r="C966" s="33">
        <v>45710</v>
      </c>
      <c r="D966" s="3" t="s">
        <v>21</v>
      </c>
      <c r="E966" s="3" t="s">
        <v>13</v>
      </c>
      <c r="F966" s="3" t="s">
        <v>23</v>
      </c>
      <c r="G966" s="3">
        <v>49</v>
      </c>
      <c r="H966" s="3" t="s">
        <v>17</v>
      </c>
      <c r="I966" s="23">
        <v>4.19700002670288</v>
      </c>
      <c r="J966" s="4">
        <v>2937.60009765625</v>
      </c>
      <c r="K966" s="4">
        <v>96577.76</v>
      </c>
      <c r="L966" s="4">
        <v>18353824477</v>
      </c>
      <c r="M966" s="3">
        <v>0.47</v>
      </c>
    </row>
    <row r="967" spans="1:13" x14ac:dyDescent="0.25">
      <c r="A967" s="3">
        <v>966</v>
      </c>
      <c r="B967" s="3" t="s">
        <v>58</v>
      </c>
      <c r="C967" s="33">
        <v>45711</v>
      </c>
      <c r="D967" s="3" t="s">
        <v>22</v>
      </c>
      <c r="E967" s="3" t="s">
        <v>13</v>
      </c>
      <c r="F967" s="3" t="s">
        <v>24</v>
      </c>
      <c r="G967" s="3">
        <v>50</v>
      </c>
      <c r="H967" s="3" t="s">
        <v>17</v>
      </c>
      <c r="I967" s="23">
        <v>4.19700002670288</v>
      </c>
      <c r="J967" s="4">
        <v>2940</v>
      </c>
      <c r="K967" s="4">
        <v>96273.919999999998</v>
      </c>
      <c r="L967" s="4">
        <v>16999478976</v>
      </c>
      <c r="M967" s="3">
        <v>-0.31</v>
      </c>
    </row>
    <row r="968" spans="1:13" x14ac:dyDescent="0.25">
      <c r="A968" s="3">
        <v>967</v>
      </c>
      <c r="B968" s="3" t="s">
        <v>58</v>
      </c>
      <c r="C968" s="33">
        <v>45712</v>
      </c>
      <c r="D968" s="3" t="s">
        <v>12</v>
      </c>
      <c r="E968" s="3" t="s">
        <v>16</v>
      </c>
      <c r="F968" s="3" t="s">
        <v>23</v>
      </c>
      <c r="G968" s="3">
        <v>49</v>
      </c>
      <c r="H968" s="3" t="s">
        <v>17</v>
      </c>
      <c r="I968" s="23">
        <v>4.1900000572204501</v>
      </c>
      <c r="J968" s="4">
        <v>2937.60009765625</v>
      </c>
      <c r="K968" s="4">
        <v>91418.17</v>
      </c>
      <c r="L968" s="4">
        <v>44046480529</v>
      </c>
      <c r="M968" s="3">
        <v>-5.04</v>
      </c>
    </row>
    <row r="969" spans="1:13" x14ac:dyDescent="0.25">
      <c r="A969" s="3">
        <v>968</v>
      </c>
      <c r="B969" s="3" t="s">
        <v>58</v>
      </c>
      <c r="C969" s="33">
        <v>45713</v>
      </c>
      <c r="D969" s="3" t="s">
        <v>15</v>
      </c>
      <c r="E969" s="3" t="s">
        <v>16</v>
      </c>
      <c r="F969" s="3" t="s">
        <v>23</v>
      </c>
      <c r="G969" s="3">
        <v>25</v>
      </c>
      <c r="H969" s="3" t="s">
        <v>17</v>
      </c>
      <c r="I969" s="23">
        <v>4.1820001602172798</v>
      </c>
      <c r="J969" s="4">
        <v>2947.89990234375</v>
      </c>
      <c r="K969" s="4">
        <v>88736.17</v>
      </c>
      <c r="L969" s="4">
        <v>92139104128</v>
      </c>
      <c r="M969" s="3">
        <v>-2.93</v>
      </c>
    </row>
    <row r="970" spans="1:13" x14ac:dyDescent="0.25">
      <c r="A970" s="3">
        <v>969</v>
      </c>
      <c r="B970" s="3" t="s">
        <v>58</v>
      </c>
      <c r="C970" s="33">
        <v>45714</v>
      </c>
      <c r="D970" s="3" t="s">
        <v>18</v>
      </c>
      <c r="E970" s="3" t="s">
        <v>16</v>
      </c>
      <c r="F970" s="3" t="s">
        <v>14</v>
      </c>
      <c r="G970" s="3">
        <v>21</v>
      </c>
      <c r="H970" s="3" t="s">
        <v>17</v>
      </c>
      <c r="I970" s="23">
        <v>4.1929998397827104</v>
      </c>
      <c r="J970" s="4">
        <v>2904.5</v>
      </c>
      <c r="K970" s="4">
        <v>84347.02</v>
      </c>
      <c r="L970" s="4">
        <v>64597492134</v>
      </c>
      <c r="M970" s="3">
        <v>-4.95</v>
      </c>
    </row>
    <row r="971" spans="1:13" x14ac:dyDescent="0.25">
      <c r="A971" s="3">
        <v>970</v>
      </c>
      <c r="B971" s="3" t="s">
        <v>58</v>
      </c>
      <c r="C971" s="33">
        <v>45715</v>
      </c>
      <c r="D971" s="3" t="s">
        <v>19</v>
      </c>
      <c r="E971" s="3" t="s">
        <v>16</v>
      </c>
      <c r="F971" s="3" t="s">
        <v>14</v>
      </c>
      <c r="G971" s="3">
        <v>10</v>
      </c>
      <c r="H971" s="3" t="s">
        <v>17</v>
      </c>
      <c r="I971" s="23">
        <v>4.1950001716613698</v>
      </c>
      <c r="J971" s="4">
        <v>2916.80004882812</v>
      </c>
      <c r="K971" s="4">
        <v>84704.23</v>
      </c>
      <c r="L971" s="4">
        <v>52659591954</v>
      </c>
      <c r="M971" s="3">
        <v>0.42</v>
      </c>
    </row>
    <row r="972" spans="1:13" x14ac:dyDescent="0.25">
      <c r="A972" s="3">
        <v>971</v>
      </c>
      <c r="B972" s="3" t="s">
        <v>58</v>
      </c>
      <c r="C972" s="33">
        <v>45716</v>
      </c>
      <c r="D972" s="3" t="s">
        <v>20</v>
      </c>
      <c r="E972" s="3" t="s">
        <v>16</v>
      </c>
      <c r="F972" s="3" t="s">
        <v>14</v>
      </c>
      <c r="G972" s="3">
        <v>16</v>
      </c>
      <c r="H972" s="3" t="s">
        <v>17</v>
      </c>
      <c r="I972" s="23">
        <v>4.1929998397827104</v>
      </c>
      <c r="J972" s="4">
        <v>2883.19995117187</v>
      </c>
      <c r="K972" s="4">
        <v>84373.01</v>
      </c>
      <c r="L972" s="4">
        <v>83610570576</v>
      </c>
      <c r="M972" s="3">
        <v>-0.39</v>
      </c>
    </row>
    <row r="973" spans="1:13" x14ac:dyDescent="0.25">
      <c r="A973" s="3">
        <v>972</v>
      </c>
      <c r="B973" s="3" t="s">
        <v>59</v>
      </c>
      <c r="C973" s="33">
        <v>45717</v>
      </c>
      <c r="D973" s="3" t="s">
        <v>21</v>
      </c>
      <c r="E973" s="3" t="s">
        <v>13</v>
      </c>
      <c r="F973" s="3" t="s">
        <v>14</v>
      </c>
      <c r="G973" s="3">
        <v>20</v>
      </c>
      <c r="H973" s="3">
        <v>19</v>
      </c>
      <c r="I973" s="23">
        <v>4.1929998397827104</v>
      </c>
      <c r="J973" s="4">
        <v>2836.80004882812</v>
      </c>
      <c r="K973" s="4">
        <v>86031.91</v>
      </c>
      <c r="L973" s="4">
        <v>29190628396</v>
      </c>
      <c r="M973" s="3">
        <v>1.97</v>
      </c>
    </row>
    <row r="974" spans="1:13" x14ac:dyDescent="0.25">
      <c r="A974" s="3">
        <v>973</v>
      </c>
      <c r="B974" s="3" t="s">
        <v>59</v>
      </c>
      <c r="C974" s="33">
        <v>45718</v>
      </c>
      <c r="D974" s="3" t="s">
        <v>22</v>
      </c>
      <c r="E974" s="3" t="s">
        <v>13</v>
      </c>
      <c r="F974" s="3" t="s">
        <v>23</v>
      </c>
      <c r="G974" s="3">
        <v>26</v>
      </c>
      <c r="H974" s="3" t="s">
        <v>17</v>
      </c>
      <c r="I974" s="23">
        <v>4.1929998397827104</v>
      </c>
      <c r="J974" s="4">
        <v>2883.19995117187</v>
      </c>
      <c r="K974" s="4">
        <v>94248.35</v>
      </c>
      <c r="L974" s="4">
        <v>58398341092</v>
      </c>
      <c r="M974" s="3">
        <v>9.5500000000000007</v>
      </c>
    </row>
    <row r="975" spans="1:13" x14ac:dyDescent="0.25">
      <c r="A975" s="3">
        <v>974</v>
      </c>
      <c r="B975" s="3" t="s">
        <v>59</v>
      </c>
      <c r="C975" s="33">
        <v>45719</v>
      </c>
      <c r="D975" s="3" t="s">
        <v>12</v>
      </c>
      <c r="E975" s="3" t="s">
        <v>16</v>
      </c>
      <c r="F975" s="3" t="s">
        <v>23</v>
      </c>
      <c r="G975" s="3">
        <v>33</v>
      </c>
      <c r="H975" s="3" t="s">
        <v>17</v>
      </c>
      <c r="I975" s="23">
        <v>4.1929998397827104</v>
      </c>
      <c r="J975" s="4">
        <v>2836.80004882812</v>
      </c>
      <c r="K975" s="4">
        <v>86065.67</v>
      </c>
      <c r="L975" s="4">
        <v>70072228536</v>
      </c>
      <c r="M975" s="3">
        <v>-8.68</v>
      </c>
    </row>
    <row r="976" spans="1:13" x14ac:dyDescent="0.25">
      <c r="A976" s="3">
        <v>975</v>
      </c>
      <c r="B976" s="3" t="s">
        <v>59</v>
      </c>
      <c r="C976" s="33">
        <v>45720</v>
      </c>
      <c r="D976" s="3" t="s">
        <v>15</v>
      </c>
      <c r="E976" s="3" t="s">
        <v>16</v>
      </c>
      <c r="F976" s="3" t="s">
        <v>14</v>
      </c>
      <c r="G976" s="3">
        <v>15</v>
      </c>
      <c r="H976" s="3" t="s">
        <v>17</v>
      </c>
      <c r="I976" s="23">
        <v>4.1950001716613698</v>
      </c>
      <c r="J976" s="4">
        <v>2890.19995117187</v>
      </c>
      <c r="K976" s="4">
        <v>87222.2</v>
      </c>
      <c r="L976" s="4">
        <v>68095241474</v>
      </c>
      <c r="M976" s="3">
        <v>1.34</v>
      </c>
    </row>
    <row r="977" spans="1:13" x14ac:dyDescent="0.25">
      <c r="A977" s="3">
        <v>976</v>
      </c>
      <c r="B977" s="3" t="s">
        <v>59</v>
      </c>
      <c r="C977" s="33">
        <v>45721</v>
      </c>
      <c r="D977" s="3" t="s">
        <v>18</v>
      </c>
      <c r="E977" s="3" t="s">
        <v>16</v>
      </c>
      <c r="F977" s="3" t="s">
        <v>14</v>
      </c>
      <c r="G977" s="3">
        <v>20</v>
      </c>
      <c r="H977" s="3" t="s">
        <v>17</v>
      </c>
      <c r="I977" s="23">
        <v>4.2049999237060502</v>
      </c>
      <c r="J977" s="4">
        <v>2909.60009765625</v>
      </c>
      <c r="K977" s="4">
        <v>90623.56</v>
      </c>
      <c r="L977" s="4">
        <v>50498988027</v>
      </c>
      <c r="M977" s="3">
        <v>3.9</v>
      </c>
    </row>
    <row r="978" spans="1:13" x14ac:dyDescent="0.25">
      <c r="A978" s="3">
        <v>977</v>
      </c>
      <c r="B978" s="3" t="s">
        <v>59</v>
      </c>
      <c r="C978" s="33">
        <v>45722</v>
      </c>
      <c r="D978" s="3" t="s">
        <v>19</v>
      </c>
      <c r="E978" s="3" t="s">
        <v>16</v>
      </c>
      <c r="F978" s="3" t="s">
        <v>23</v>
      </c>
      <c r="G978" s="3">
        <v>25</v>
      </c>
      <c r="H978" s="3" t="s">
        <v>17</v>
      </c>
      <c r="I978" s="23">
        <v>4.19700002670288</v>
      </c>
      <c r="J978" s="4">
        <v>2915.30004882812</v>
      </c>
      <c r="K978" s="4">
        <v>89961.73</v>
      </c>
      <c r="L978" s="4">
        <v>47749810486</v>
      </c>
      <c r="M978" s="3">
        <v>-0.73</v>
      </c>
    </row>
    <row r="979" spans="1:13" x14ac:dyDescent="0.25">
      <c r="A979" s="3">
        <v>978</v>
      </c>
      <c r="B979" s="3" t="s">
        <v>59</v>
      </c>
      <c r="C979" s="33">
        <v>45723</v>
      </c>
      <c r="D979" s="3" t="s">
        <v>20</v>
      </c>
      <c r="E979" s="3" t="s">
        <v>16</v>
      </c>
      <c r="F979" s="3" t="s">
        <v>23</v>
      </c>
      <c r="G979" s="3">
        <v>34</v>
      </c>
      <c r="H979" s="3" t="s">
        <v>17</v>
      </c>
      <c r="I979" s="23">
        <v>4.19700002670288</v>
      </c>
      <c r="J979" s="4">
        <v>2916.60009765625</v>
      </c>
      <c r="K979" s="4">
        <v>86742.67</v>
      </c>
      <c r="L979" s="4">
        <v>65945677657</v>
      </c>
      <c r="M979" s="3">
        <v>-3.58</v>
      </c>
    </row>
    <row r="980" spans="1:13" x14ac:dyDescent="0.25">
      <c r="A980" s="3">
        <v>979</v>
      </c>
      <c r="B980" s="3" t="s">
        <v>59</v>
      </c>
      <c r="C980" s="33">
        <v>45724</v>
      </c>
      <c r="D980" s="3" t="s">
        <v>21</v>
      </c>
      <c r="E980" s="3" t="s">
        <v>13</v>
      </c>
      <c r="F980" s="3" t="s">
        <v>23</v>
      </c>
      <c r="G980" s="3">
        <v>28</v>
      </c>
      <c r="H980" s="3" t="s">
        <v>17</v>
      </c>
      <c r="I980" s="23">
        <v>4.19700002670288</v>
      </c>
      <c r="J980" s="4">
        <v>2904.69995117187</v>
      </c>
      <c r="K980" s="4">
        <v>86154.59</v>
      </c>
      <c r="L980" s="4">
        <v>18206118081</v>
      </c>
      <c r="M980" s="3">
        <v>-0.68</v>
      </c>
    </row>
    <row r="981" spans="1:13" x14ac:dyDescent="0.25">
      <c r="A981" s="3">
        <v>980</v>
      </c>
      <c r="B981" s="3" t="s">
        <v>59</v>
      </c>
      <c r="C981" s="33">
        <v>45725</v>
      </c>
      <c r="D981" s="3" t="s">
        <v>22</v>
      </c>
      <c r="E981" s="3" t="s">
        <v>13</v>
      </c>
      <c r="F981" s="3" t="s">
        <v>23</v>
      </c>
      <c r="G981" s="3">
        <v>27</v>
      </c>
      <c r="H981" s="3" t="s">
        <v>17</v>
      </c>
      <c r="I981" s="23">
        <v>4.19700002670288</v>
      </c>
      <c r="J981" s="4">
        <v>2916.60009765625</v>
      </c>
      <c r="K981" s="4">
        <v>80601.039999999994</v>
      </c>
      <c r="L981" s="4">
        <v>30899345977</v>
      </c>
      <c r="M981" s="3">
        <v>-6.45</v>
      </c>
    </row>
    <row r="982" spans="1:13" x14ac:dyDescent="0.25">
      <c r="A982" s="3">
        <v>981</v>
      </c>
      <c r="B982" s="3" t="s">
        <v>59</v>
      </c>
      <c r="C982" s="33">
        <v>45726</v>
      </c>
      <c r="D982" s="3" t="s">
        <v>12</v>
      </c>
      <c r="E982" s="3" t="s">
        <v>16</v>
      </c>
      <c r="F982" s="3" t="s">
        <v>14</v>
      </c>
      <c r="G982" s="3">
        <v>20</v>
      </c>
      <c r="H982" s="3" t="s">
        <v>17</v>
      </c>
      <c r="I982" s="23">
        <v>4.1849999427795401</v>
      </c>
      <c r="J982" s="4">
        <v>2904.69995117187</v>
      </c>
      <c r="K982" s="4">
        <v>78532</v>
      </c>
      <c r="L982" s="4">
        <v>54061099422</v>
      </c>
      <c r="M982" s="3">
        <v>-2.57</v>
      </c>
    </row>
    <row r="983" spans="1:13" x14ac:dyDescent="0.25">
      <c r="A983" s="3">
        <v>982</v>
      </c>
      <c r="B983" s="3" t="s">
        <v>59</v>
      </c>
      <c r="C983" s="33">
        <v>45727</v>
      </c>
      <c r="D983" s="3" t="s">
        <v>15</v>
      </c>
      <c r="E983" s="3" t="s">
        <v>16</v>
      </c>
      <c r="F983" s="3" t="s">
        <v>14</v>
      </c>
      <c r="G983" s="3">
        <v>24</v>
      </c>
      <c r="H983" s="3" t="s">
        <v>17</v>
      </c>
      <c r="I983" s="23">
        <v>4.1950001716613698</v>
      </c>
      <c r="J983" s="4">
        <v>2891</v>
      </c>
      <c r="K983" s="4">
        <v>82862.210000000006</v>
      </c>
      <c r="L983" s="4">
        <v>54702837196</v>
      </c>
      <c r="M983" s="3">
        <v>5.51</v>
      </c>
    </row>
    <row r="984" spans="1:13" x14ac:dyDescent="0.25">
      <c r="A984" s="3">
        <v>983</v>
      </c>
      <c r="B984" s="3" t="s">
        <v>59</v>
      </c>
      <c r="C984" s="33">
        <v>45728</v>
      </c>
      <c r="D984" s="3" t="s">
        <v>18</v>
      </c>
      <c r="E984" s="3" t="s">
        <v>16</v>
      </c>
      <c r="F984" s="3" t="s">
        <v>23</v>
      </c>
      <c r="G984" s="3">
        <v>34</v>
      </c>
      <c r="H984" s="3" t="s">
        <v>17</v>
      </c>
      <c r="I984" s="23">
        <v>4.19700002670288</v>
      </c>
      <c r="J984" s="4">
        <v>2912.89990234375</v>
      </c>
      <c r="K984" s="4">
        <v>83722.36</v>
      </c>
      <c r="L984" s="4">
        <v>40353484454</v>
      </c>
      <c r="M984" s="3">
        <v>1.04</v>
      </c>
    </row>
    <row r="985" spans="1:13" x14ac:dyDescent="0.25">
      <c r="A985" s="3">
        <v>984</v>
      </c>
      <c r="B985" s="3" t="s">
        <v>59</v>
      </c>
      <c r="C985" s="33">
        <v>45729</v>
      </c>
      <c r="D985" s="3" t="s">
        <v>19</v>
      </c>
      <c r="E985" s="3" t="s">
        <v>16</v>
      </c>
      <c r="F985" s="3" t="s">
        <v>23</v>
      </c>
      <c r="G985" s="3">
        <v>45</v>
      </c>
      <c r="H985" s="3" t="s">
        <v>17</v>
      </c>
      <c r="I985" s="23">
        <v>4.1880002021789497</v>
      </c>
      <c r="J985" s="4">
        <v>2939.10009765625</v>
      </c>
      <c r="K985" s="4">
        <v>81066.7</v>
      </c>
      <c r="L985" s="4">
        <v>31412940153</v>
      </c>
      <c r="M985" s="3">
        <v>-3.17</v>
      </c>
    </row>
    <row r="986" spans="1:13" x14ac:dyDescent="0.25">
      <c r="A986" s="3">
        <v>985</v>
      </c>
      <c r="B986" s="3" t="s">
        <v>59</v>
      </c>
      <c r="C986" s="33">
        <v>45730</v>
      </c>
      <c r="D986" s="3" t="s">
        <v>20</v>
      </c>
      <c r="E986" s="3" t="s">
        <v>16</v>
      </c>
      <c r="F986" s="3" t="s">
        <v>23</v>
      </c>
      <c r="G986" s="3">
        <v>27</v>
      </c>
      <c r="H986" s="3" t="s">
        <v>17</v>
      </c>
      <c r="I986" s="23">
        <v>4.1880002021789497</v>
      </c>
      <c r="J986" s="4">
        <v>2984.30004882812</v>
      </c>
      <c r="K986" s="4">
        <v>83969.1</v>
      </c>
      <c r="L986" s="4">
        <v>29588112414</v>
      </c>
      <c r="M986" s="3">
        <v>3.58</v>
      </c>
    </row>
    <row r="987" spans="1:13" x14ac:dyDescent="0.25">
      <c r="A987" s="3">
        <v>986</v>
      </c>
      <c r="B987" s="3" t="s">
        <v>59</v>
      </c>
      <c r="C987" s="33">
        <v>45731</v>
      </c>
      <c r="D987" s="3" t="s">
        <v>21</v>
      </c>
      <c r="E987" s="3" t="s">
        <v>13</v>
      </c>
      <c r="F987" s="3" t="s">
        <v>23</v>
      </c>
      <c r="G987" s="3">
        <v>46</v>
      </c>
      <c r="H987" s="3" t="s">
        <v>17</v>
      </c>
      <c r="I987" s="23">
        <v>4.1880002021789497</v>
      </c>
      <c r="J987" s="4">
        <v>2994.5</v>
      </c>
      <c r="K987" s="4">
        <v>84343.11</v>
      </c>
      <c r="L987" s="4">
        <v>13650491277</v>
      </c>
      <c r="M987" s="3">
        <v>0.45</v>
      </c>
    </row>
    <row r="988" spans="1:13" x14ac:dyDescent="0.25">
      <c r="A988" s="3">
        <v>987</v>
      </c>
      <c r="B988" s="3" t="s">
        <v>59</v>
      </c>
      <c r="C988" s="33">
        <v>45732</v>
      </c>
      <c r="D988" s="3" t="s">
        <v>22</v>
      </c>
      <c r="E988" s="3" t="s">
        <v>13</v>
      </c>
      <c r="F988" s="3" t="s">
        <v>23</v>
      </c>
      <c r="G988" s="3">
        <v>30</v>
      </c>
      <c r="H988" s="3" t="s">
        <v>17</v>
      </c>
      <c r="I988" s="23">
        <v>4.1880002021789497</v>
      </c>
      <c r="J988" s="4">
        <v>2984.30004882812</v>
      </c>
      <c r="K988" s="4">
        <v>82579.69</v>
      </c>
      <c r="L988" s="4">
        <v>21330270174</v>
      </c>
      <c r="M988" s="3">
        <v>-2.09</v>
      </c>
    </row>
    <row r="989" spans="1:13" x14ac:dyDescent="0.25">
      <c r="A989" s="3">
        <v>988</v>
      </c>
      <c r="B989" s="3" t="s">
        <v>59</v>
      </c>
      <c r="C989" s="33">
        <v>45733</v>
      </c>
      <c r="D989" s="3" t="s">
        <v>12</v>
      </c>
      <c r="E989" s="3" t="s">
        <v>16</v>
      </c>
      <c r="F989" s="3" t="s">
        <v>23</v>
      </c>
      <c r="G989" s="3">
        <v>32</v>
      </c>
      <c r="H989" s="3" t="s">
        <v>17</v>
      </c>
      <c r="I989" s="23">
        <v>4.1880002021789497</v>
      </c>
      <c r="J989" s="4">
        <v>2994.5</v>
      </c>
      <c r="K989" s="4">
        <v>84075.69</v>
      </c>
      <c r="L989" s="4">
        <v>25092785558</v>
      </c>
      <c r="M989" s="3">
        <v>1.81</v>
      </c>
    </row>
    <row r="990" spans="1:13" x14ac:dyDescent="0.25">
      <c r="A990" s="3">
        <v>989</v>
      </c>
      <c r="B990" s="3" t="s">
        <v>59</v>
      </c>
      <c r="C990" s="33">
        <v>45734</v>
      </c>
      <c r="D990" s="3" t="s">
        <v>15</v>
      </c>
      <c r="E990" s="3" t="s">
        <v>16</v>
      </c>
      <c r="F990" s="3" t="s">
        <v>23</v>
      </c>
      <c r="G990" s="3">
        <v>34</v>
      </c>
      <c r="H990" s="3" t="s">
        <v>17</v>
      </c>
      <c r="I990" s="23">
        <v>4.1950001716613698</v>
      </c>
      <c r="J990" s="4">
        <v>3000</v>
      </c>
      <c r="K990" s="4">
        <v>82718.5</v>
      </c>
      <c r="L990" s="4">
        <v>24095774594</v>
      </c>
      <c r="M990" s="3">
        <v>-1.61</v>
      </c>
    </row>
    <row r="991" spans="1:13" x14ac:dyDescent="0.25">
      <c r="A991" s="3">
        <v>990</v>
      </c>
      <c r="B991" s="3" t="s">
        <v>59</v>
      </c>
      <c r="C991" s="33">
        <v>45735</v>
      </c>
      <c r="D991" s="3" t="s">
        <v>18</v>
      </c>
      <c r="E991" s="3" t="s">
        <v>16</v>
      </c>
      <c r="F991" s="3" t="s">
        <v>23</v>
      </c>
      <c r="G991" s="3">
        <v>32</v>
      </c>
      <c r="H991" s="3" t="s">
        <v>17</v>
      </c>
      <c r="I991" s="23">
        <v>4.1900000572204501</v>
      </c>
      <c r="J991" s="4">
        <v>3035.10009765625</v>
      </c>
      <c r="K991" s="4">
        <v>86854.23</v>
      </c>
      <c r="L991" s="4">
        <v>34931960257</v>
      </c>
      <c r="M991" s="3">
        <v>5</v>
      </c>
    </row>
    <row r="992" spans="1:13" x14ac:dyDescent="0.25">
      <c r="A992" s="3">
        <v>991</v>
      </c>
      <c r="B992" s="3" t="s">
        <v>59</v>
      </c>
      <c r="C992" s="33">
        <v>45736</v>
      </c>
      <c r="D992" s="3" t="s">
        <v>19</v>
      </c>
      <c r="E992" s="3" t="s">
        <v>16</v>
      </c>
      <c r="F992" s="3" t="s">
        <v>23</v>
      </c>
      <c r="G992" s="3">
        <v>49</v>
      </c>
      <c r="H992" s="3" t="s">
        <v>17</v>
      </c>
      <c r="I992" s="23">
        <v>4.1820001602172798</v>
      </c>
      <c r="J992" s="4">
        <v>3035.89990234375</v>
      </c>
      <c r="K992" s="4">
        <v>84167.2</v>
      </c>
      <c r="L992" s="4">
        <v>29028988961</v>
      </c>
      <c r="M992" s="3">
        <v>-3.09</v>
      </c>
    </row>
    <row r="993" spans="1:13" x14ac:dyDescent="0.25">
      <c r="A993" s="3">
        <v>992</v>
      </c>
      <c r="B993" s="3" t="s">
        <v>59</v>
      </c>
      <c r="C993" s="33">
        <v>45737</v>
      </c>
      <c r="D993" s="3" t="s">
        <v>20</v>
      </c>
      <c r="E993" s="3" t="s">
        <v>16</v>
      </c>
      <c r="F993" s="3" t="s">
        <v>23</v>
      </c>
      <c r="G993" s="3">
        <v>31</v>
      </c>
      <c r="H993" s="3" t="s">
        <v>17</v>
      </c>
      <c r="I993" s="23">
        <v>4.1849999427795401</v>
      </c>
      <c r="J993" s="4">
        <v>3040</v>
      </c>
      <c r="K993" s="4">
        <v>84043.24</v>
      </c>
      <c r="L993" s="4">
        <v>19030452299</v>
      </c>
      <c r="M993" s="3">
        <v>-0.15</v>
      </c>
    </row>
    <row r="994" spans="1:13" x14ac:dyDescent="0.25">
      <c r="A994" s="3">
        <v>993</v>
      </c>
      <c r="B994" s="3" t="s">
        <v>59</v>
      </c>
      <c r="C994" s="33">
        <v>45738</v>
      </c>
      <c r="D994" s="3" t="s">
        <v>21</v>
      </c>
      <c r="E994" s="3" t="s">
        <v>13</v>
      </c>
      <c r="F994" s="3" t="s">
        <v>23</v>
      </c>
      <c r="G994" s="3">
        <v>32</v>
      </c>
      <c r="H994" s="3" t="s">
        <v>17</v>
      </c>
      <c r="I994" s="23">
        <v>4.1849999427795401</v>
      </c>
      <c r="J994" s="4">
        <v>3018.19995117187</v>
      </c>
      <c r="K994" s="4">
        <v>83832.479999999996</v>
      </c>
      <c r="L994" s="4">
        <v>9863214091</v>
      </c>
      <c r="M994" s="3">
        <v>-0.25</v>
      </c>
    </row>
    <row r="995" spans="1:13" x14ac:dyDescent="0.25">
      <c r="A995" s="3">
        <v>994</v>
      </c>
      <c r="B995" s="3" t="s">
        <v>59</v>
      </c>
      <c r="C995" s="33">
        <v>45739</v>
      </c>
      <c r="D995" s="3" t="s">
        <v>22</v>
      </c>
      <c r="E995" s="3" t="s">
        <v>13</v>
      </c>
      <c r="F995" s="3" t="s">
        <v>23</v>
      </c>
      <c r="G995" s="3">
        <v>30</v>
      </c>
      <c r="H995" s="3" t="s">
        <v>17</v>
      </c>
      <c r="I995" s="23">
        <v>4.1849999427795401</v>
      </c>
      <c r="J995" s="4">
        <v>3040</v>
      </c>
      <c r="K995" s="4">
        <v>86054.38</v>
      </c>
      <c r="L995" s="4">
        <v>12594615537</v>
      </c>
      <c r="M995" s="3">
        <v>2.65</v>
      </c>
    </row>
    <row r="996" spans="1:13" x14ac:dyDescent="0.25">
      <c r="A996" s="3">
        <v>995</v>
      </c>
      <c r="B996" s="3" t="s">
        <v>59</v>
      </c>
      <c r="C996" s="33">
        <v>45740</v>
      </c>
      <c r="D996" s="3" t="s">
        <v>12</v>
      </c>
      <c r="E996" s="3" t="s">
        <v>16</v>
      </c>
      <c r="F996" s="3" t="s">
        <v>23</v>
      </c>
      <c r="G996" s="3">
        <v>45</v>
      </c>
      <c r="H996" s="3" t="s">
        <v>17</v>
      </c>
      <c r="I996" s="23">
        <v>4.1820001602172798</v>
      </c>
      <c r="J996" s="4">
        <v>3018.19995117187</v>
      </c>
      <c r="K996" s="4">
        <v>87498.91</v>
      </c>
      <c r="L996" s="4">
        <v>34582604933</v>
      </c>
      <c r="M996" s="3">
        <v>1.68</v>
      </c>
    </row>
    <row r="997" spans="1:13" x14ac:dyDescent="0.25">
      <c r="A997" s="3">
        <v>996</v>
      </c>
      <c r="B997" s="3" t="s">
        <v>59</v>
      </c>
      <c r="C997" s="33">
        <v>45741</v>
      </c>
      <c r="D997" s="3" t="s">
        <v>15</v>
      </c>
      <c r="E997" s="3" t="s">
        <v>16</v>
      </c>
      <c r="F997" s="3" t="s">
        <v>23</v>
      </c>
      <c r="G997" s="3">
        <v>46</v>
      </c>
      <c r="H997" s="3" t="s">
        <v>17</v>
      </c>
      <c r="I997" s="23">
        <v>4.1820001602172798</v>
      </c>
      <c r="J997" s="4">
        <v>3013.10009765625</v>
      </c>
      <c r="K997" s="4">
        <v>87471.7</v>
      </c>
      <c r="L997" s="4">
        <v>30005840049</v>
      </c>
      <c r="M997" s="3">
        <v>-0.03</v>
      </c>
    </row>
    <row r="998" spans="1:13" x14ac:dyDescent="0.25">
      <c r="A998" s="3">
        <v>997</v>
      </c>
      <c r="B998" s="3" t="s">
        <v>59</v>
      </c>
      <c r="C998" s="33">
        <v>45742</v>
      </c>
      <c r="D998" s="3" t="s">
        <v>18</v>
      </c>
      <c r="E998" s="3" t="s">
        <v>16</v>
      </c>
      <c r="F998" s="3" t="s">
        <v>23</v>
      </c>
      <c r="G998" s="3">
        <v>47</v>
      </c>
      <c r="H998" s="3" t="s">
        <v>17</v>
      </c>
      <c r="I998" s="23">
        <v>4.1900000572204501</v>
      </c>
      <c r="J998" s="4">
        <v>3023.69995117187</v>
      </c>
      <c r="K998" s="4">
        <v>86900.88</v>
      </c>
      <c r="L998" s="4">
        <v>26704046038</v>
      </c>
      <c r="M998" s="3">
        <v>-0.65</v>
      </c>
    </row>
    <row r="999" spans="1:13" x14ac:dyDescent="0.25">
      <c r="A999" s="3">
        <v>998</v>
      </c>
      <c r="B999" s="3" t="s">
        <v>59</v>
      </c>
      <c r="C999" s="33">
        <v>45743</v>
      </c>
      <c r="D999" s="3" t="s">
        <v>19</v>
      </c>
      <c r="E999" s="3" t="s">
        <v>16</v>
      </c>
      <c r="F999" s="3" t="s">
        <v>23</v>
      </c>
      <c r="G999" s="3">
        <v>40</v>
      </c>
      <c r="H999" s="3" t="s">
        <v>17</v>
      </c>
      <c r="I999" s="23">
        <v>4.1880002021789497</v>
      </c>
      <c r="J999" s="4">
        <v>3020.89990234375</v>
      </c>
      <c r="K999" s="4">
        <v>87177.1</v>
      </c>
      <c r="L999" s="4">
        <v>24413471941</v>
      </c>
      <c r="M999" s="3">
        <v>0.32</v>
      </c>
    </row>
    <row r="1000" spans="1:13" x14ac:dyDescent="0.25">
      <c r="A1000" s="3">
        <v>999</v>
      </c>
      <c r="B1000" s="3" t="s">
        <v>59</v>
      </c>
      <c r="C1000" s="33">
        <v>45744</v>
      </c>
      <c r="D1000" s="3" t="s">
        <v>20</v>
      </c>
      <c r="E1000" s="3" t="s">
        <v>16</v>
      </c>
      <c r="F1000" s="3" t="s">
        <v>23</v>
      </c>
      <c r="G1000" s="3">
        <v>44</v>
      </c>
      <c r="H1000" s="3" t="s">
        <v>17</v>
      </c>
      <c r="I1000" s="23">
        <v>4.1880002021789497</v>
      </c>
      <c r="J1000" s="4">
        <v>3060.19995117187</v>
      </c>
      <c r="K1000" s="4">
        <v>84353.15</v>
      </c>
      <c r="L1000" s="4">
        <v>34198619509</v>
      </c>
      <c r="M1000" s="3">
        <v>-3.24</v>
      </c>
    </row>
    <row r="1001" spans="1:13" x14ac:dyDescent="0.25">
      <c r="A1001" s="3">
        <v>1000</v>
      </c>
      <c r="B1001" s="3" t="s">
        <v>59</v>
      </c>
      <c r="C1001" s="33">
        <v>45745</v>
      </c>
      <c r="D1001" s="3" t="s">
        <v>21</v>
      </c>
      <c r="E1001" s="3" t="s">
        <v>13</v>
      </c>
      <c r="F1001" s="3" t="s">
        <v>23</v>
      </c>
      <c r="G1001" s="3">
        <v>26</v>
      </c>
      <c r="H1001" s="3" t="s">
        <v>17</v>
      </c>
      <c r="I1001" s="23">
        <v>4.1880002021789497</v>
      </c>
      <c r="J1001" s="4">
        <v>3086.5</v>
      </c>
      <c r="K1001" s="4">
        <v>82597.59</v>
      </c>
      <c r="L1001" s="4">
        <v>16969396135</v>
      </c>
      <c r="M1001" s="3">
        <v>-2.08</v>
      </c>
    </row>
    <row r="1002" spans="1:13" x14ac:dyDescent="0.25">
      <c r="A1002" s="3">
        <v>1001</v>
      </c>
      <c r="B1002" s="3" t="s">
        <v>59</v>
      </c>
      <c r="C1002" s="33">
        <v>45746</v>
      </c>
      <c r="D1002" s="3" t="s">
        <v>22</v>
      </c>
      <c r="E1002" s="3" t="s">
        <v>13</v>
      </c>
      <c r="F1002" s="3" t="s">
        <v>23</v>
      </c>
      <c r="G1002" s="3">
        <v>32</v>
      </c>
      <c r="H1002" s="3">
        <v>20</v>
      </c>
      <c r="I1002" s="23">
        <v>4.1880002021789497</v>
      </c>
      <c r="J1002" s="4">
        <v>3060.19995117187</v>
      </c>
      <c r="K1002" s="4">
        <v>81817.41</v>
      </c>
      <c r="L1002" s="4">
        <v>13636264960</v>
      </c>
      <c r="M1002" s="3">
        <v>-0.94</v>
      </c>
    </row>
  </sheetData>
  <pageMargins left="0.7" right="0.7" top="0.75" bottom="0.75" header="0.3" footer="0.3"/>
  <drawing r:id="rId1"/>
  <tableParts count="1">
    <tablePart r:id="rId2"/>
  </tableParts>
  <extLst>
    <ext xmlns:x14="http://schemas.microsoft.com/office/spreadsheetml/2009/9/main" uri="{05C60535-1F16-4fd2-B633-F4F36F0B64E0}">
      <x14:sparklineGroups xmlns:xm="http://schemas.microsoft.com/office/excel/2006/main">
        <x14:sparklineGroup displayEmptyCellsAs="gap" xr2:uid="{8E1790B9-8DD8-4FC2-B4A4-28E82BDD6430}">
          <x14:colorSeries rgb="FF376092"/>
          <x14:colorNegative rgb="FFD00000"/>
          <x14:colorAxis rgb="FF000000"/>
          <x14:colorMarkers rgb="FFD00000"/>
          <x14:colorFirst rgb="FFD00000"/>
          <x14:colorLast rgb="FFD00000"/>
          <x14:colorHigh rgb="FFD00000"/>
          <x14:colorLow rgb="FFD00000"/>
          <x14:sparklines>
            <x14:sparkline>
              <xm:f>'Tabla Base'!G:G</xm:f>
              <xm:sqref>G1</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70E50-2278-40ED-82A7-D1D2C8746A95}">
  <sheetPr>
    <tabColor theme="3" tint="0.499984740745262"/>
  </sheetPr>
  <dimension ref="B1:T78"/>
  <sheetViews>
    <sheetView zoomScale="25" zoomScaleNormal="25" workbookViewId="0">
      <selection activeCell="U63" sqref="U63"/>
    </sheetView>
  </sheetViews>
  <sheetFormatPr baseColWidth="10" defaultRowHeight="15" x14ac:dyDescent="0.25"/>
  <cols>
    <col min="1" max="1" width="2.7109375" style="3" customWidth="1"/>
    <col min="2" max="4" width="11.42578125" style="3"/>
    <col min="5" max="5" width="2.7109375" style="3" customWidth="1"/>
    <col min="6" max="8" width="11.42578125" style="3"/>
    <col min="9" max="9" width="2.7109375" style="3" customWidth="1"/>
    <col min="10" max="12" width="11.42578125" style="3"/>
    <col min="13" max="13" width="2.7109375" style="3" customWidth="1"/>
    <col min="14" max="16384" width="11.42578125" style="3"/>
  </cols>
  <sheetData>
    <row r="1" spans="2:12" ht="15.75" thickBot="1" x14ac:dyDescent="0.3"/>
    <row r="2" spans="2:12" ht="15.75" thickBot="1" x14ac:dyDescent="0.3">
      <c r="B2" s="104" t="str">
        <f>'IRX-index'!J3</f>
        <v>Mín. de cierre IRX</v>
      </c>
      <c r="C2" s="105"/>
      <c r="D2" s="106"/>
      <c r="E2" s="27"/>
      <c r="F2" s="107" t="str">
        <f>'IRX-index'!K3</f>
        <v>Promedio de cierre IRX</v>
      </c>
      <c r="G2" s="108"/>
      <c r="H2" s="109"/>
      <c r="I2" s="27"/>
      <c r="J2" s="110" t="str">
        <f>'IRX-index'!L3</f>
        <v>Máx. de cierre IRX</v>
      </c>
      <c r="K2" s="111"/>
      <c r="L2" s="112"/>
    </row>
    <row r="3" spans="2:12" x14ac:dyDescent="0.25">
      <c r="B3" s="113">
        <f>GETPIVOTDATA("Mín. de cierre IRX",'IRX-index'!$F$3)</f>
        <v>1.62999999523162</v>
      </c>
      <c r="C3" s="114"/>
      <c r="D3" s="115"/>
      <c r="E3" s="27"/>
      <c r="F3" s="113">
        <f>GETPIVOTDATA("Promedio de cierre IRX",'IRX-index'!$F$3)</f>
        <v>4.6190239701952249</v>
      </c>
      <c r="G3" s="114"/>
      <c r="H3" s="115"/>
      <c r="I3" s="27"/>
      <c r="J3" s="113">
        <f>GETPIVOTDATA("Máx. de cierre IRX",'IRX-index'!$F$3)</f>
        <v>5.34800004959106</v>
      </c>
      <c r="K3" s="114"/>
      <c r="L3" s="115"/>
    </row>
    <row r="4" spans="2:12" ht="15" customHeight="1" x14ac:dyDescent="0.25">
      <c r="B4" s="116"/>
      <c r="C4" s="117"/>
      <c r="D4" s="118"/>
      <c r="E4" s="27"/>
      <c r="F4" s="116"/>
      <c r="G4" s="117"/>
      <c r="H4" s="118"/>
      <c r="I4" s="27"/>
      <c r="J4" s="116"/>
      <c r="K4" s="117"/>
      <c r="L4" s="118"/>
    </row>
    <row r="5" spans="2:12" ht="15.75" customHeight="1" thickBot="1" x14ac:dyDescent="0.3">
      <c r="B5" s="119"/>
      <c r="C5" s="120"/>
      <c r="D5" s="121"/>
      <c r="E5" s="27"/>
      <c r="F5" s="119"/>
      <c r="G5" s="120"/>
      <c r="H5" s="121"/>
      <c r="I5" s="27"/>
      <c r="J5" s="119"/>
      <c r="K5" s="120"/>
      <c r="L5" s="121"/>
    </row>
    <row r="6" spans="2:12" ht="15.75" customHeight="1" thickBot="1" x14ac:dyDescent="0.3">
      <c r="B6" s="27"/>
      <c r="C6" s="27"/>
      <c r="D6" s="27"/>
      <c r="E6" s="27"/>
      <c r="F6" s="27"/>
      <c r="G6" s="27"/>
      <c r="H6" s="27"/>
      <c r="I6" s="27"/>
      <c r="J6" s="27"/>
      <c r="K6" s="27"/>
      <c r="L6" s="27"/>
    </row>
    <row r="7" spans="2:12" ht="15.75" thickBot="1" x14ac:dyDescent="0.3">
      <c r="B7" s="104" t="str">
        <f>'BTC-index sentimiento'!J3</f>
        <v>Mín. de index</v>
      </c>
      <c r="C7" s="105"/>
      <c r="D7" s="106"/>
      <c r="E7" s="27"/>
      <c r="F7" s="107" t="str">
        <f>'BTC-index sentimiento'!K3</f>
        <v>Promedio de index</v>
      </c>
      <c r="G7" s="108"/>
      <c r="H7" s="109"/>
      <c r="I7" s="27"/>
      <c r="J7" s="110" t="str">
        <f>'BTC-index sentimiento'!L3</f>
        <v>Máx. de index</v>
      </c>
      <c r="K7" s="111"/>
      <c r="L7" s="112"/>
    </row>
    <row r="8" spans="2:12" x14ac:dyDescent="0.25">
      <c r="B8" s="116">
        <f>GETPIVOTDATA("Mín. de index",'BTC-index sentimiento'!$F$3)</f>
        <v>10</v>
      </c>
      <c r="C8" s="117"/>
      <c r="D8" s="118"/>
      <c r="E8" s="27"/>
      <c r="F8" s="113">
        <f>GETPIVOTDATA("Promedio de index",'BTC-index sentimiento'!$F$3)</f>
        <v>52.378621378621382</v>
      </c>
      <c r="G8" s="114"/>
      <c r="H8" s="115"/>
      <c r="I8" s="27"/>
      <c r="J8" s="113">
        <f>GETPIVOTDATA("Máx. de index",'BTC-index sentimiento'!$F$3)</f>
        <v>94</v>
      </c>
      <c r="K8" s="114"/>
      <c r="L8" s="115"/>
    </row>
    <row r="9" spans="2:12" ht="15" customHeight="1" x14ac:dyDescent="0.25">
      <c r="B9" s="116"/>
      <c r="C9" s="117"/>
      <c r="D9" s="118"/>
      <c r="E9" s="27"/>
      <c r="F9" s="116"/>
      <c r="G9" s="117"/>
      <c r="H9" s="118"/>
      <c r="I9" s="27"/>
      <c r="J9" s="116"/>
      <c r="K9" s="117"/>
      <c r="L9" s="118"/>
    </row>
    <row r="10" spans="2:12" ht="15.75" customHeight="1" thickBot="1" x14ac:dyDescent="0.3">
      <c r="B10" s="119"/>
      <c r="C10" s="120"/>
      <c r="D10" s="121"/>
      <c r="E10" s="27"/>
      <c r="F10" s="119"/>
      <c r="G10" s="120"/>
      <c r="H10" s="121"/>
      <c r="I10" s="27"/>
      <c r="J10" s="119"/>
      <c r="K10" s="120"/>
      <c r="L10" s="121"/>
    </row>
    <row r="11" spans="2:12" ht="15.75" customHeight="1" x14ac:dyDescent="0.25">
      <c r="B11" s="27"/>
      <c r="C11" s="27"/>
      <c r="D11" s="27"/>
      <c r="E11" s="27"/>
      <c r="F11" s="27"/>
      <c r="G11" s="27"/>
      <c r="H11" s="27"/>
      <c r="I11" s="27"/>
      <c r="J11" s="27"/>
      <c r="K11" s="27"/>
      <c r="L11" s="27"/>
    </row>
    <row r="12" spans="2:12" x14ac:dyDescent="0.25">
      <c r="J12" s="29"/>
      <c r="K12" s="29"/>
      <c r="L12" s="29"/>
    </row>
    <row r="13" spans="2:12" ht="15" customHeight="1" x14ac:dyDescent="0.25">
      <c r="B13" s="28"/>
      <c r="C13" s="28"/>
      <c r="D13" s="28"/>
      <c r="E13" s="27"/>
      <c r="F13" s="28"/>
      <c r="G13" s="28"/>
      <c r="H13" s="28"/>
      <c r="I13" s="27"/>
      <c r="J13" s="28"/>
      <c r="K13" s="28"/>
      <c r="L13" s="28"/>
    </row>
    <row r="14" spans="2:12" ht="15" customHeight="1" x14ac:dyDescent="0.25">
      <c r="B14" s="28"/>
      <c r="C14" s="28"/>
      <c r="D14" s="28"/>
      <c r="E14" s="27"/>
      <c r="F14" s="28"/>
      <c r="G14" s="28"/>
      <c r="H14" s="28"/>
      <c r="I14" s="27"/>
      <c r="J14" s="28"/>
      <c r="K14" s="28"/>
      <c r="L14" s="28"/>
    </row>
    <row r="15" spans="2:12" ht="15.75" customHeight="1" x14ac:dyDescent="0.25">
      <c r="B15" s="28"/>
      <c r="C15" s="28"/>
      <c r="D15" s="28"/>
      <c r="E15" s="27"/>
      <c r="F15" s="28"/>
      <c r="G15" s="28"/>
      <c r="H15" s="28"/>
      <c r="I15" s="27"/>
      <c r="J15" s="28"/>
      <c r="K15" s="28"/>
      <c r="L15" s="28"/>
    </row>
    <row r="51" spans="7:20" ht="15" customHeight="1" x14ac:dyDescent="0.25">
      <c r="G51" s="103" t="s">
        <v>119</v>
      </c>
      <c r="H51" s="103"/>
      <c r="I51" s="103"/>
      <c r="J51" s="103"/>
      <c r="K51" s="103"/>
      <c r="L51" s="103"/>
      <c r="M51" s="103"/>
      <c r="N51" s="103"/>
      <c r="O51" s="103"/>
      <c r="P51" s="103"/>
      <c r="Q51" s="103"/>
      <c r="R51" s="103"/>
      <c r="S51" s="103"/>
      <c r="T51" s="103"/>
    </row>
    <row r="52" spans="7:20" x14ac:dyDescent="0.25">
      <c r="G52" s="103"/>
      <c r="H52" s="103"/>
      <c r="I52" s="103"/>
      <c r="J52" s="103"/>
      <c r="K52" s="103"/>
      <c r="L52" s="103"/>
      <c r="M52" s="103"/>
      <c r="N52" s="103"/>
      <c r="O52" s="103"/>
      <c r="P52" s="103"/>
      <c r="Q52" s="103"/>
      <c r="R52" s="103"/>
      <c r="S52" s="103"/>
      <c r="T52" s="103"/>
    </row>
    <row r="53" spans="7:20" x14ac:dyDescent="0.25">
      <c r="G53" s="103"/>
      <c r="H53" s="103"/>
      <c r="I53" s="103"/>
      <c r="J53" s="103"/>
      <c r="K53" s="103"/>
      <c r="L53" s="103"/>
      <c r="M53" s="103"/>
      <c r="N53" s="103"/>
      <c r="O53" s="103"/>
      <c r="P53" s="103"/>
      <c r="Q53" s="103"/>
      <c r="R53" s="103"/>
      <c r="S53" s="103"/>
      <c r="T53" s="103"/>
    </row>
    <row r="54" spans="7:20" x14ac:dyDescent="0.25">
      <c r="G54" s="103"/>
      <c r="H54" s="103"/>
      <c r="I54" s="103"/>
      <c r="J54" s="103"/>
      <c r="K54" s="103"/>
      <c r="L54" s="103"/>
      <c r="M54" s="103"/>
      <c r="N54" s="103"/>
      <c r="O54" s="103"/>
      <c r="P54" s="103"/>
      <c r="Q54" s="103"/>
      <c r="R54" s="103"/>
      <c r="S54" s="103"/>
      <c r="T54" s="103"/>
    </row>
    <row r="55" spans="7:20" x14ac:dyDescent="0.25">
      <c r="G55" s="103"/>
      <c r="H55" s="103"/>
      <c r="I55" s="103"/>
      <c r="J55" s="103"/>
      <c r="K55" s="103"/>
      <c r="L55" s="103"/>
      <c r="M55" s="103"/>
      <c r="N55" s="103"/>
      <c r="O55" s="103"/>
      <c r="P55" s="103"/>
      <c r="Q55" s="103"/>
      <c r="R55" s="103"/>
      <c r="S55" s="103"/>
      <c r="T55" s="103"/>
    </row>
    <row r="56" spans="7:20" x14ac:dyDescent="0.25">
      <c r="G56" s="103"/>
      <c r="H56" s="103"/>
      <c r="I56" s="103"/>
      <c r="J56" s="103"/>
      <c r="K56" s="103"/>
      <c r="L56" s="103"/>
      <c r="M56" s="103"/>
      <c r="N56" s="103"/>
      <c r="O56" s="103"/>
      <c r="P56" s="103"/>
      <c r="Q56" s="103"/>
      <c r="R56" s="103"/>
      <c r="S56" s="103"/>
      <c r="T56" s="103"/>
    </row>
    <row r="57" spans="7:20" x14ac:dyDescent="0.25">
      <c r="G57" s="103"/>
      <c r="H57" s="103"/>
      <c r="I57" s="103"/>
      <c r="J57" s="103"/>
      <c r="K57" s="103"/>
      <c r="L57" s="103"/>
      <c r="M57" s="103"/>
      <c r="N57" s="103"/>
      <c r="O57" s="103"/>
      <c r="P57" s="103"/>
      <c r="Q57" s="103"/>
      <c r="R57" s="103"/>
      <c r="S57" s="103"/>
      <c r="T57" s="103"/>
    </row>
    <row r="58" spans="7:20" x14ac:dyDescent="0.25">
      <c r="G58" s="103"/>
      <c r="H58" s="103"/>
      <c r="I58" s="103"/>
      <c r="J58" s="103"/>
      <c r="K58" s="103"/>
      <c r="L58" s="103"/>
      <c r="M58" s="103"/>
      <c r="N58" s="103"/>
      <c r="O58" s="103"/>
      <c r="P58" s="103"/>
      <c r="Q58" s="103"/>
      <c r="R58" s="103"/>
      <c r="S58" s="103"/>
      <c r="T58" s="103"/>
    </row>
    <row r="59" spans="7:20" x14ac:dyDescent="0.25">
      <c r="G59" s="103"/>
      <c r="H59" s="103"/>
      <c r="I59" s="103"/>
      <c r="J59" s="103"/>
      <c r="K59" s="103"/>
      <c r="L59" s="103"/>
      <c r="M59" s="103"/>
      <c r="N59" s="103"/>
      <c r="O59" s="103"/>
      <c r="P59" s="103"/>
      <c r="Q59" s="103"/>
      <c r="R59" s="103"/>
      <c r="S59" s="103"/>
      <c r="T59" s="103"/>
    </row>
    <row r="60" spans="7:20" x14ac:dyDescent="0.25">
      <c r="G60" s="103"/>
      <c r="H60" s="103"/>
      <c r="I60" s="103"/>
      <c r="J60" s="103"/>
      <c r="K60" s="103"/>
      <c r="L60" s="103"/>
      <c r="M60" s="103"/>
      <c r="N60" s="103"/>
      <c r="O60" s="103"/>
      <c r="P60" s="103"/>
      <c r="Q60" s="103"/>
      <c r="R60" s="103"/>
      <c r="S60" s="103"/>
      <c r="T60" s="103"/>
    </row>
    <row r="61" spans="7:20" x14ac:dyDescent="0.25">
      <c r="G61" s="103"/>
      <c r="H61" s="103"/>
      <c r="I61" s="103"/>
      <c r="J61" s="103"/>
      <c r="K61" s="103"/>
      <c r="L61" s="103"/>
      <c r="M61" s="103"/>
      <c r="N61" s="103"/>
      <c r="O61" s="103"/>
      <c r="P61" s="103"/>
      <c r="Q61" s="103"/>
      <c r="R61" s="103"/>
      <c r="S61" s="103"/>
      <c r="T61" s="103"/>
    </row>
    <row r="62" spans="7:20" x14ac:dyDescent="0.25">
      <c r="G62" s="103"/>
      <c r="H62" s="103"/>
      <c r="I62" s="103"/>
      <c r="J62" s="103"/>
      <c r="K62" s="103"/>
      <c r="L62" s="103"/>
      <c r="M62" s="103"/>
      <c r="N62" s="103"/>
      <c r="O62" s="103"/>
      <c r="P62" s="103"/>
      <c r="Q62" s="103"/>
      <c r="R62" s="103"/>
      <c r="S62" s="103"/>
      <c r="T62" s="103"/>
    </row>
    <row r="63" spans="7:20" x14ac:dyDescent="0.25">
      <c r="G63" s="103"/>
      <c r="H63" s="103"/>
      <c r="I63" s="103"/>
      <c r="J63" s="103"/>
      <c r="K63" s="103"/>
      <c r="L63" s="103"/>
      <c r="M63" s="103"/>
      <c r="N63" s="103"/>
      <c r="O63" s="103"/>
      <c r="P63" s="103"/>
      <c r="Q63" s="103"/>
      <c r="R63" s="103"/>
      <c r="S63" s="103"/>
      <c r="T63" s="103"/>
    </row>
    <row r="64" spans="7:20" x14ac:dyDescent="0.25">
      <c r="G64" s="103"/>
      <c r="H64" s="103"/>
      <c r="I64" s="103"/>
      <c r="J64" s="103"/>
      <c r="K64" s="103"/>
      <c r="L64" s="103"/>
      <c r="M64" s="103"/>
      <c r="N64" s="103"/>
      <c r="O64" s="103"/>
      <c r="P64" s="103"/>
      <c r="Q64" s="103"/>
      <c r="R64" s="103"/>
      <c r="S64" s="103"/>
      <c r="T64" s="103"/>
    </row>
    <row r="65" spans="7:20" x14ac:dyDescent="0.25">
      <c r="G65" s="103"/>
      <c r="H65" s="103"/>
      <c r="I65" s="103"/>
      <c r="J65" s="103"/>
      <c r="K65" s="103"/>
      <c r="L65" s="103"/>
      <c r="M65" s="103"/>
      <c r="N65" s="103"/>
      <c r="O65" s="103"/>
      <c r="P65" s="103"/>
      <c r="Q65" s="103"/>
      <c r="R65" s="103"/>
      <c r="S65" s="103"/>
      <c r="T65" s="103"/>
    </row>
    <row r="66" spans="7:20" x14ac:dyDescent="0.25">
      <c r="G66" s="103"/>
      <c r="H66" s="103"/>
      <c r="I66" s="103"/>
      <c r="J66" s="103"/>
      <c r="K66" s="103"/>
      <c r="L66" s="103"/>
      <c r="M66" s="103"/>
      <c r="N66" s="103"/>
      <c r="O66" s="103"/>
      <c r="P66" s="103"/>
      <c r="Q66" s="103"/>
      <c r="R66" s="103"/>
      <c r="S66" s="103"/>
      <c r="T66" s="103"/>
    </row>
    <row r="67" spans="7:20" x14ac:dyDescent="0.25">
      <c r="G67" s="103"/>
      <c r="H67" s="103"/>
      <c r="I67" s="103"/>
      <c r="J67" s="103"/>
      <c r="K67" s="103"/>
      <c r="L67" s="103"/>
      <c r="M67" s="103"/>
      <c r="N67" s="103"/>
      <c r="O67" s="103"/>
      <c r="P67" s="103"/>
      <c r="Q67" s="103"/>
      <c r="R67" s="103"/>
      <c r="S67" s="103"/>
      <c r="T67" s="103"/>
    </row>
    <row r="68" spans="7:20" x14ac:dyDescent="0.25">
      <c r="G68" s="103"/>
      <c r="H68" s="103"/>
      <c r="I68" s="103"/>
      <c r="J68" s="103"/>
      <c r="K68" s="103"/>
      <c r="L68" s="103"/>
      <c r="M68" s="103"/>
      <c r="N68" s="103"/>
      <c r="O68" s="103"/>
      <c r="P68" s="103"/>
      <c r="Q68" s="103"/>
      <c r="R68" s="103"/>
      <c r="S68" s="103"/>
      <c r="T68" s="103"/>
    </row>
    <row r="69" spans="7:20" x14ac:dyDescent="0.25">
      <c r="G69" s="103"/>
      <c r="H69" s="103"/>
      <c r="I69" s="103"/>
      <c r="J69" s="103"/>
      <c r="K69" s="103"/>
      <c r="L69" s="103"/>
      <c r="M69" s="103"/>
      <c r="N69" s="103"/>
      <c r="O69" s="103"/>
      <c r="P69" s="103"/>
      <c r="Q69" s="103"/>
      <c r="R69" s="103"/>
      <c r="S69" s="103"/>
      <c r="T69" s="103"/>
    </row>
    <row r="70" spans="7:20" x14ac:dyDescent="0.25">
      <c r="G70" s="103"/>
      <c r="H70" s="103"/>
      <c r="I70" s="103"/>
      <c r="J70" s="103"/>
      <c r="K70" s="103"/>
      <c r="L70" s="103"/>
      <c r="M70" s="103"/>
      <c r="N70" s="103"/>
      <c r="O70" s="103"/>
      <c r="P70" s="103"/>
      <c r="Q70" s="103"/>
      <c r="R70" s="103"/>
      <c r="S70" s="103"/>
      <c r="T70" s="103"/>
    </row>
    <row r="71" spans="7:20" x14ac:dyDescent="0.25">
      <c r="G71" s="103"/>
      <c r="H71" s="103"/>
      <c r="I71" s="103"/>
      <c r="J71" s="103"/>
      <c r="K71" s="103"/>
      <c r="L71" s="103"/>
      <c r="M71" s="103"/>
      <c r="N71" s="103"/>
      <c r="O71" s="103"/>
      <c r="P71" s="103"/>
      <c r="Q71" s="103"/>
      <c r="R71" s="103"/>
      <c r="S71" s="103"/>
      <c r="T71" s="103"/>
    </row>
    <row r="72" spans="7:20" x14ac:dyDescent="0.25">
      <c r="G72" s="103"/>
      <c r="H72" s="103"/>
      <c r="I72" s="103"/>
      <c r="J72" s="103"/>
      <c r="K72" s="103"/>
      <c r="L72" s="103"/>
      <c r="M72" s="103"/>
      <c r="N72" s="103"/>
      <c r="O72" s="103"/>
      <c r="P72" s="103"/>
      <c r="Q72" s="103"/>
      <c r="R72" s="103"/>
      <c r="S72" s="103"/>
      <c r="T72" s="103"/>
    </row>
    <row r="73" spans="7:20" x14ac:dyDescent="0.25">
      <c r="G73" s="103"/>
      <c r="H73" s="103"/>
      <c r="I73" s="103"/>
      <c r="J73" s="103"/>
      <c r="K73" s="103"/>
      <c r="L73" s="103"/>
      <c r="M73" s="103"/>
      <c r="N73" s="103"/>
      <c r="O73" s="103"/>
      <c r="P73" s="103"/>
      <c r="Q73" s="103"/>
      <c r="R73" s="103"/>
      <c r="S73" s="103"/>
      <c r="T73" s="103"/>
    </row>
    <row r="74" spans="7:20" x14ac:dyDescent="0.25">
      <c r="G74" s="103"/>
      <c r="H74" s="103"/>
      <c r="I74" s="103"/>
      <c r="J74" s="103"/>
      <c r="K74" s="103"/>
      <c r="L74" s="103"/>
      <c r="M74" s="103"/>
      <c r="N74" s="103"/>
      <c r="O74" s="103"/>
      <c r="P74" s="103"/>
      <c r="Q74" s="103"/>
      <c r="R74" s="103"/>
      <c r="S74" s="103"/>
      <c r="T74" s="103"/>
    </row>
    <row r="75" spans="7:20" x14ac:dyDescent="0.25">
      <c r="G75" s="103"/>
      <c r="H75" s="103"/>
      <c r="I75" s="103"/>
      <c r="J75" s="103"/>
      <c r="K75" s="103"/>
      <c r="L75" s="103"/>
      <c r="M75" s="103"/>
      <c r="N75" s="103"/>
      <c r="O75" s="103"/>
      <c r="P75" s="103"/>
      <c r="Q75" s="103"/>
      <c r="R75" s="103"/>
      <c r="S75" s="103"/>
      <c r="T75" s="103"/>
    </row>
    <row r="76" spans="7:20" x14ac:dyDescent="0.25">
      <c r="G76" s="103"/>
      <c r="H76" s="103"/>
      <c r="I76" s="103"/>
      <c r="J76" s="103"/>
      <c r="K76" s="103"/>
      <c r="L76" s="103"/>
      <c r="M76" s="103"/>
      <c r="N76" s="103"/>
      <c r="O76" s="103"/>
      <c r="P76" s="103"/>
      <c r="Q76" s="103"/>
      <c r="R76" s="103"/>
      <c r="S76" s="103"/>
      <c r="T76" s="103"/>
    </row>
    <row r="77" spans="7:20" x14ac:dyDescent="0.25">
      <c r="G77" s="103"/>
      <c r="H77" s="103"/>
      <c r="I77" s="103"/>
      <c r="J77" s="103"/>
      <c r="K77" s="103"/>
      <c r="L77" s="103"/>
      <c r="M77" s="103"/>
      <c r="N77" s="103"/>
      <c r="O77" s="103"/>
      <c r="P77" s="103"/>
      <c r="Q77" s="103"/>
      <c r="R77" s="103"/>
      <c r="S77" s="103"/>
      <c r="T77" s="103"/>
    </row>
    <row r="78" spans="7:20" x14ac:dyDescent="0.25">
      <c r="G78" s="103"/>
      <c r="H78" s="103"/>
      <c r="I78" s="103"/>
      <c r="J78" s="103"/>
      <c r="K78" s="103"/>
      <c r="L78" s="103"/>
      <c r="M78" s="103"/>
      <c r="N78" s="103"/>
      <c r="O78" s="103"/>
      <c r="P78" s="103"/>
      <c r="Q78" s="103"/>
      <c r="R78" s="103"/>
      <c r="S78" s="103"/>
      <c r="T78" s="103"/>
    </row>
  </sheetData>
  <mergeCells count="13">
    <mergeCell ref="G51:T78"/>
    <mergeCell ref="B2:D2"/>
    <mergeCell ref="F2:H2"/>
    <mergeCell ref="J2:L2"/>
    <mergeCell ref="B3:D5"/>
    <mergeCell ref="F3:H5"/>
    <mergeCell ref="J3:L5"/>
    <mergeCell ref="B7:D7"/>
    <mergeCell ref="F7:H7"/>
    <mergeCell ref="J7:L7"/>
    <mergeCell ref="B8:D10"/>
    <mergeCell ref="F8:H10"/>
    <mergeCell ref="J8:L10"/>
  </mergeCells>
  <conditionalFormatting sqref="B3:D5 F3:H5 J3:L5">
    <cfRule type="colorScale" priority="3">
      <colorScale>
        <cfvo type="min"/>
        <cfvo type="percentile" val="50"/>
        <cfvo type="max"/>
        <color rgb="FF63BE7B"/>
        <color rgb="FFFFEB84"/>
        <color rgb="FFF8696B"/>
      </colorScale>
    </cfRule>
  </conditionalFormatting>
  <conditionalFormatting sqref="B8:D10 F8:H10 J8:L10">
    <cfRule type="colorScale" priority="2">
      <colorScale>
        <cfvo type="min"/>
        <cfvo type="percentile" val="50"/>
        <cfvo type="max"/>
        <color rgb="FF63BE7B"/>
        <color rgb="FFFFEB84"/>
        <color rgb="FFF8696B"/>
      </colorScale>
    </cfRule>
  </conditionalFormatting>
  <conditionalFormatting sqref="B13:D15 F13:H15 J13:L15">
    <cfRule type="colorScale" priority="1">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169AB-BE3C-4D93-9B66-BBC0DCEFEA94}">
  <sheetPr>
    <tabColor theme="3" tint="0.499984740745262"/>
  </sheetPr>
  <dimension ref="B1:Y86"/>
  <sheetViews>
    <sheetView topLeftCell="A15" zoomScale="55" zoomScaleNormal="55" workbookViewId="0">
      <selection activeCell="AB40" sqref="AB40"/>
    </sheetView>
  </sheetViews>
  <sheetFormatPr baseColWidth="10" defaultRowHeight="15" x14ac:dyDescent="0.25"/>
  <cols>
    <col min="1" max="1" width="2.7109375" style="3" customWidth="1"/>
    <col min="2" max="4" width="11.42578125" style="3"/>
    <col min="5" max="5" width="2.7109375" style="3" customWidth="1"/>
    <col min="6" max="8" width="11.42578125" style="3"/>
    <col min="9" max="9" width="2.7109375" style="3" customWidth="1"/>
    <col min="10" max="12" width="11.42578125" style="3"/>
    <col min="13" max="13" width="2.7109375" style="3" customWidth="1"/>
    <col min="14" max="16384" width="11.42578125" style="3"/>
  </cols>
  <sheetData>
    <row r="1" spans="2:12" ht="15.75" thickBot="1" x14ac:dyDescent="0.3"/>
    <row r="2" spans="2:12" ht="15.75" thickBot="1" x14ac:dyDescent="0.3">
      <c r="B2" s="104" t="str">
        <f>'BTC-GOLD'!G3</f>
        <v>Mín. de cierre BTC</v>
      </c>
      <c r="C2" s="105"/>
      <c r="D2" s="106"/>
      <c r="E2" s="27"/>
      <c r="F2" s="107" t="str">
        <f>'BTC-GOLD'!H3</f>
        <v>Promedio de cierre BTC</v>
      </c>
      <c r="G2" s="108"/>
      <c r="H2" s="109"/>
      <c r="I2" s="27"/>
      <c r="J2" s="110" t="str">
        <f>'BTC-GOLD'!I3</f>
        <v>Máx. de cierre BTC</v>
      </c>
      <c r="K2" s="111"/>
      <c r="L2" s="112"/>
    </row>
    <row r="3" spans="2:12" x14ac:dyDescent="0.25">
      <c r="B3" s="124">
        <f>GETPIVOTDATA("Mín. de cierre BTC",'BTC-GOLD'!$F$3)</f>
        <v>15787.28</v>
      </c>
      <c r="C3" s="125"/>
      <c r="D3" s="126"/>
      <c r="E3" s="27"/>
      <c r="F3" s="124">
        <f>GETPIVOTDATA("Promedio de cierre BTC",'BTC-GOLD'!$F$3)</f>
        <v>46512.294425574415</v>
      </c>
      <c r="G3" s="125"/>
      <c r="H3" s="126"/>
      <c r="I3" s="27"/>
      <c r="J3" s="124">
        <f>GETPIVOTDATA("Máx. de cierre BTC",'BTC-GOLD'!$F$3)</f>
        <v>106146.27</v>
      </c>
      <c r="K3" s="125"/>
      <c r="L3" s="126"/>
    </row>
    <row r="4" spans="2:12" ht="15" customHeight="1" x14ac:dyDescent="0.25">
      <c r="B4" s="127"/>
      <c r="C4" s="128"/>
      <c r="D4" s="129"/>
      <c r="E4" s="27"/>
      <c r="F4" s="127"/>
      <c r="G4" s="128"/>
      <c r="H4" s="129"/>
      <c r="I4" s="27"/>
      <c r="J4" s="127"/>
      <c r="K4" s="128"/>
      <c r="L4" s="129"/>
    </row>
    <row r="5" spans="2:12" ht="15.75" customHeight="1" thickBot="1" x14ac:dyDescent="0.3">
      <c r="B5" s="130"/>
      <c r="C5" s="131"/>
      <c r="D5" s="132"/>
      <c r="E5" s="27"/>
      <c r="F5" s="130"/>
      <c r="G5" s="131"/>
      <c r="H5" s="132"/>
      <c r="I5" s="27"/>
      <c r="J5" s="130"/>
      <c r="K5" s="131"/>
      <c r="L5" s="132"/>
    </row>
    <row r="6" spans="2:12" ht="15.75" customHeight="1" thickBot="1" x14ac:dyDescent="0.3">
      <c r="B6" s="27"/>
      <c r="C6" s="27"/>
      <c r="D6" s="27"/>
      <c r="E6" s="27"/>
      <c r="F6" s="27"/>
      <c r="G6" s="27"/>
      <c r="H6" s="27"/>
      <c r="I6" s="27"/>
      <c r="J6" s="27"/>
      <c r="K6" s="27"/>
      <c r="L6" s="27"/>
    </row>
    <row r="7" spans="2:12" ht="15.75" thickBot="1" x14ac:dyDescent="0.3">
      <c r="B7" s="104" t="str">
        <f>'BTC-GOLD'!J3</f>
        <v>Mín. de cierre GOLD</v>
      </c>
      <c r="C7" s="105"/>
      <c r="D7" s="106"/>
      <c r="E7" s="27"/>
      <c r="F7" s="107" t="str">
        <f>'BTC-GOLD'!K3</f>
        <v>Promedio de cierre GOLD</v>
      </c>
      <c r="G7" s="108"/>
      <c r="H7" s="109"/>
      <c r="I7" s="27"/>
      <c r="J7" s="110" t="str">
        <f>'BTC-GOLD'!L3</f>
        <v>Máx. de cierre GOLD</v>
      </c>
      <c r="K7" s="111"/>
      <c r="L7" s="112"/>
    </row>
    <row r="8" spans="2:12" x14ac:dyDescent="0.25">
      <c r="B8" s="124">
        <f>GETPIVOTDATA("Mín. de cierre GOLD",'BTC-GOLD'!$F$3)</f>
        <v>1623.30004882812</v>
      </c>
      <c r="C8" s="125"/>
      <c r="D8" s="126"/>
      <c r="E8" s="27"/>
      <c r="F8" s="124">
        <f>GETPIVOTDATA("Promedio de cierre GOLD",'BTC-GOLD'!$F$3)</f>
        <v>2146.6109867915284</v>
      </c>
      <c r="G8" s="125"/>
      <c r="H8" s="126"/>
      <c r="I8" s="27"/>
      <c r="J8" s="124">
        <f>GETPIVOTDATA("Máx. de cierre GOLD",'BTC-GOLD'!$F$3)</f>
        <v>3086.5</v>
      </c>
      <c r="K8" s="125"/>
      <c r="L8" s="126"/>
    </row>
    <row r="9" spans="2:12" ht="15" customHeight="1" x14ac:dyDescent="0.25">
      <c r="B9" s="127"/>
      <c r="C9" s="128"/>
      <c r="D9" s="129"/>
      <c r="E9" s="27"/>
      <c r="F9" s="127"/>
      <c r="G9" s="128"/>
      <c r="H9" s="129"/>
      <c r="I9" s="27"/>
      <c r="J9" s="127"/>
      <c r="K9" s="128"/>
      <c r="L9" s="129"/>
    </row>
    <row r="10" spans="2:12" ht="15.75" customHeight="1" thickBot="1" x14ac:dyDescent="0.3">
      <c r="B10" s="130"/>
      <c r="C10" s="131"/>
      <c r="D10" s="132"/>
      <c r="E10" s="27"/>
      <c r="F10" s="130"/>
      <c r="G10" s="131"/>
      <c r="H10" s="132"/>
      <c r="I10" s="27"/>
      <c r="J10" s="130"/>
      <c r="K10" s="131"/>
      <c r="L10" s="132"/>
    </row>
    <row r="11" spans="2:12" ht="15.75" customHeight="1" thickBot="1" x14ac:dyDescent="0.3">
      <c r="B11" s="27"/>
      <c r="C11" s="27"/>
      <c r="D11" s="27"/>
      <c r="E11" s="27"/>
      <c r="F11" s="27"/>
      <c r="G11" s="27"/>
      <c r="H11" s="27"/>
      <c r="I11" s="27"/>
      <c r="J11" s="27"/>
      <c r="K11" s="27"/>
      <c r="L11" s="27"/>
    </row>
    <row r="12" spans="2:12" ht="15.75" thickBot="1" x14ac:dyDescent="0.3">
      <c r="B12" s="104" t="str">
        <f>'BTC-index sentimiento'!J3</f>
        <v>Mín. de index</v>
      </c>
      <c r="C12" s="105"/>
      <c r="D12" s="106"/>
      <c r="E12" s="27"/>
      <c r="F12" s="107" t="str">
        <f>'BTC-index sentimiento'!K3</f>
        <v>Promedio de index</v>
      </c>
      <c r="G12" s="108"/>
      <c r="H12" s="109"/>
      <c r="I12" s="27"/>
      <c r="J12" s="110" t="str">
        <f>'BTC-index sentimiento'!L3</f>
        <v>Máx. de index</v>
      </c>
      <c r="K12" s="111"/>
      <c r="L12" s="112"/>
    </row>
    <row r="13" spans="2:12" x14ac:dyDescent="0.25">
      <c r="B13" s="113">
        <f>GETPIVOTDATA("Mín. de index",'BTC-index sentimiento'!$F$3)</f>
        <v>10</v>
      </c>
      <c r="C13" s="114"/>
      <c r="D13" s="115"/>
      <c r="E13" s="27"/>
      <c r="F13" s="113">
        <f>GETPIVOTDATA("Promedio de index",'BTC-index sentimiento'!$F$3)</f>
        <v>52.378621378621382</v>
      </c>
      <c r="G13" s="114"/>
      <c r="H13" s="115"/>
      <c r="I13" s="27"/>
      <c r="J13" s="113">
        <f>GETPIVOTDATA("Máx. de index",'BTC-index sentimiento'!$F$3)</f>
        <v>94</v>
      </c>
      <c r="K13" s="114"/>
      <c r="L13" s="115"/>
    </row>
    <row r="14" spans="2:12" x14ac:dyDescent="0.25">
      <c r="B14" s="116"/>
      <c r="C14" s="117"/>
      <c r="D14" s="118"/>
      <c r="E14" s="27"/>
      <c r="F14" s="116"/>
      <c r="G14" s="117"/>
      <c r="H14" s="118"/>
      <c r="I14" s="27"/>
      <c r="J14" s="116"/>
      <c r="K14" s="117"/>
      <c r="L14" s="118"/>
    </row>
    <row r="15" spans="2:12" ht="15.75" thickBot="1" x14ac:dyDescent="0.3">
      <c r="B15" s="119"/>
      <c r="C15" s="120"/>
      <c r="D15" s="121"/>
      <c r="E15" s="27"/>
      <c r="F15" s="119"/>
      <c r="G15" s="120"/>
      <c r="H15" s="121"/>
      <c r="I15" s="27"/>
      <c r="J15" s="119"/>
      <c r="K15" s="120"/>
      <c r="L15" s="121"/>
    </row>
    <row r="62" spans="7:25" x14ac:dyDescent="0.25">
      <c r="G62" s="122" t="s">
        <v>129</v>
      </c>
      <c r="H62" s="123"/>
      <c r="I62" s="123"/>
      <c r="J62" s="123"/>
      <c r="K62" s="123"/>
      <c r="L62" s="123"/>
      <c r="M62" s="123"/>
      <c r="N62" s="123"/>
      <c r="O62" s="123"/>
      <c r="P62" s="123"/>
      <c r="Q62" s="123"/>
      <c r="R62" s="123"/>
      <c r="S62" s="123"/>
      <c r="T62" s="123"/>
      <c r="U62" s="123"/>
      <c r="V62" s="123"/>
      <c r="W62" s="123"/>
      <c r="X62" s="123"/>
      <c r="Y62" s="123"/>
    </row>
    <row r="63" spans="7:25" x14ac:dyDescent="0.25">
      <c r="G63" s="123"/>
      <c r="H63" s="123"/>
      <c r="I63" s="123"/>
      <c r="J63" s="123"/>
      <c r="K63" s="123"/>
      <c r="L63" s="123"/>
      <c r="M63" s="123"/>
      <c r="N63" s="123"/>
      <c r="O63" s="123"/>
      <c r="P63" s="123"/>
      <c r="Q63" s="123"/>
      <c r="R63" s="123"/>
      <c r="S63" s="123"/>
      <c r="T63" s="123"/>
      <c r="U63" s="123"/>
      <c r="V63" s="123"/>
      <c r="W63" s="123"/>
      <c r="X63" s="123"/>
      <c r="Y63" s="123"/>
    </row>
    <row r="64" spans="7:25" x14ac:dyDescent="0.25">
      <c r="G64" s="123"/>
      <c r="H64" s="123"/>
      <c r="I64" s="123"/>
      <c r="J64" s="123"/>
      <c r="K64" s="123"/>
      <c r="L64" s="123"/>
      <c r="M64" s="123"/>
      <c r="N64" s="123"/>
      <c r="O64" s="123"/>
      <c r="P64" s="123"/>
      <c r="Q64" s="123"/>
      <c r="R64" s="123"/>
      <c r="S64" s="123"/>
      <c r="T64" s="123"/>
      <c r="U64" s="123"/>
      <c r="V64" s="123"/>
      <c r="W64" s="123"/>
      <c r="X64" s="123"/>
      <c r="Y64" s="123"/>
    </row>
    <row r="65" spans="7:25" x14ac:dyDescent="0.25">
      <c r="G65" s="123"/>
      <c r="H65" s="123"/>
      <c r="I65" s="123"/>
      <c r="J65" s="123"/>
      <c r="K65" s="123"/>
      <c r="L65" s="123"/>
      <c r="M65" s="123"/>
      <c r="N65" s="123"/>
      <c r="O65" s="123"/>
      <c r="P65" s="123"/>
      <c r="Q65" s="123"/>
      <c r="R65" s="123"/>
      <c r="S65" s="123"/>
      <c r="T65" s="123"/>
      <c r="U65" s="123"/>
      <c r="V65" s="123"/>
      <c r="W65" s="123"/>
      <c r="X65" s="123"/>
      <c r="Y65" s="123"/>
    </row>
    <row r="66" spans="7:25" x14ac:dyDescent="0.25">
      <c r="G66" s="123"/>
      <c r="H66" s="123"/>
      <c r="I66" s="123"/>
      <c r="J66" s="123"/>
      <c r="K66" s="123"/>
      <c r="L66" s="123"/>
      <c r="M66" s="123"/>
      <c r="N66" s="123"/>
      <c r="O66" s="123"/>
      <c r="P66" s="123"/>
      <c r="Q66" s="123"/>
      <c r="R66" s="123"/>
      <c r="S66" s="123"/>
      <c r="T66" s="123"/>
      <c r="U66" s="123"/>
      <c r="V66" s="123"/>
      <c r="W66" s="123"/>
      <c r="X66" s="123"/>
      <c r="Y66" s="123"/>
    </row>
    <row r="67" spans="7:25" x14ac:dyDescent="0.25">
      <c r="G67" s="123"/>
      <c r="H67" s="123"/>
      <c r="I67" s="123"/>
      <c r="J67" s="123"/>
      <c r="K67" s="123"/>
      <c r="L67" s="123"/>
      <c r="M67" s="123"/>
      <c r="N67" s="123"/>
      <c r="O67" s="123"/>
      <c r="P67" s="123"/>
      <c r="Q67" s="123"/>
      <c r="R67" s="123"/>
      <c r="S67" s="123"/>
      <c r="T67" s="123"/>
      <c r="U67" s="123"/>
      <c r="V67" s="123"/>
      <c r="W67" s="123"/>
      <c r="X67" s="123"/>
      <c r="Y67" s="123"/>
    </row>
    <row r="68" spans="7:25" x14ac:dyDescent="0.25">
      <c r="G68" s="123"/>
      <c r="H68" s="123"/>
      <c r="I68" s="123"/>
      <c r="J68" s="123"/>
      <c r="K68" s="123"/>
      <c r="L68" s="123"/>
      <c r="M68" s="123"/>
      <c r="N68" s="123"/>
      <c r="O68" s="123"/>
      <c r="P68" s="123"/>
      <c r="Q68" s="123"/>
      <c r="R68" s="123"/>
      <c r="S68" s="123"/>
      <c r="T68" s="123"/>
      <c r="U68" s="123"/>
      <c r="V68" s="123"/>
      <c r="W68" s="123"/>
      <c r="X68" s="123"/>
      <c r="Y68" s="123"/>
    </row>
    <row r="69" spans="7:25" x14ac:dyDescent="0.25">
      <c r="G69" s="123"/>
      <c r="H69" s="123"/>
      <c r="I69" s="123"/>
      <c r="J69" s="123"/>
      <c r="K69" s="123"/>
      <c r="L69" s="123"/>
      <c r="M69" s="123"/>
      <c r="N69" s="123"/>
      <c r="O69" s="123"/>
      <c r="P69" s="123"/>
      <c r="Q69" s="123"/>
      <c r="R69" s="123"/>
      <c r="S69" s="123"/>
      <c r="T69" s="123"/>
      <c r="U69" s="123"/>
      <c r="V69" s="123"/>
      <c r="W69" s="123"/>
      <c r="X69" s="123"/>
      <c r="Y69" s="123"/>
    </row>
    <row r="70" spans="7:25" x14ac:dyDescent="0.25">
      <c r="G70" s="123"/>
      <c r="H70" s="123"/>
      <c r="I70" s="123"/>
      <c r="J70" s="123"/>
      <c r="K70" s="123"/>
      <c r="L70" s="123"/>
      <c r="M70" s="123"/>
      <c r="N70" s="123"/>
      <c r="O70" s="123"/>
      <c r="P70" s="123"/>
      <c r="Q70" s="123"/>
      <c r="R70" s="123"/>
      <c r="S70" s="123"/>
      <c r="T70" s="123"/>
      <c r="U70" s="123"/>
      <c r="V70" s="123"/>
      <c r="W70" s="123"/>
      <c r="X70" s="123"/>
      <c r="Y70" s="123"/>
    </row>
    <row r="71" spans="7:25" x14ac:dyDescent="0.25">
      <c r="G71" s="123"/>
      <c r="H71" s="123"/>
      <c r="I71" s="123"/>
      <c r="J71" s="123"/>
      <c r="K71" s="123"/>
      <c r="L71" s="123"/>
      <c r="M71" s="123"/>
      <c r="N71" s="123"/>
      <c r="O71" s="123"/>
      <c r="P71" s="123"/>
      <c r="Q71" s="123"/>
      <c r="R71" s="123"/>
      <c r="S71" s="123"/>
      <c r="T71" s="123"/>
      <c r="U71" s="123"/>
      <c r="V71" s="123"/>
      <c r="W71" s="123"/>
      <c r="X71" s="123"/>
      <c r="Y71" s="123"/>
    </row>
    <row r="72" spans="7:25" x14ac:dyDescent="0.25">
      <c r="G72" s="123"/>
      <c r="H72" s="123"/>
      <c r="I72" s="123"/>
      <c r="J72" s="123"/>
      <c r="K72" s="123"/>
      <c r="L72" s="123"/>
      <c r="M72" s="123"/>
      <c r="N72" s="123"/>
      <c r="O72" s="123"/>
      <c r="P72" s="123"/>
      <c r="Q72" s="123"/>
      <c r="R72" s="123"/>
      <c r="S72" s="123"/>
      <c r="T72" s="123"/>
      <c r="U72" s="123"/>
      <c r="V72" s="123"/>
      <c r="W72" s="123"/>
      <c r="X72" s="123"/>
      <c r="Y72" s="123"/>
    </row>
    <row r="73" spans="7:25" x14ac:dyDescent="0.25">
      <c r="G73" s="123"/>
      <c r="H73" s="123"/>
      <c r="I73" s="123"/>
      <c r="J73" s="123"/>
      <c r="K73" s="123"/>
      <c r="L73" s="123"/>
      <c r="M73" s="123"/>
      <c r="N73" s="123"/>
      <c r="O73" s="123"/>
      <c r="P73" s="123"/>
      <c r="Q73" s="123"/>
      <c r="R73" s="123"/>
      <c r="S73" s="123"/>
      <c r="T73" s="123"/>
      <c r="U73" s="123"/>
      <c r="V73" s="123"/>
      <c r="W73" s="123"/>
      <c r="X73" s="123"/>
      <c r="Y73" s="123"/>
    </row>
    <row r="74" spans="7:25" x14ac:dyDescent="0.25">
      <c r="G74" s="123"/>
      <c r="H74" s="123"/>
      <c r="I74" s="123"/>
      <c r="J74" s="123"/>
      <c r="K74" s="123"/>
      <c r="L74" s="123"/>
      <c r="M74" s="123"/>
      <c r="N74" s="123"/>
      <c r="O74" s="123"/>
      <c r="P74" s="123"/>
      <c r="Q74" s="123"/>
      <c r="R74" s="123"/>
      <c r="S74" s="123"/>
      <c r="T74" s="123"/>
      <c r="U74" s="123"/>
      <c r="V74" s="123"/>
      <c r="W74" s="123"/>
      <c r="X74" s="123"/>
      <c r="Y74" s="123"/>
    </row>
    <row r="75" spans="7:25" x14ac:dyDescent="0.25">
      <c r="G75" s="123"/>
      <c r="H75" s="123"/>
      <c r="I75" s="123"/>
      <c r="J75" s="123"/>
      <c r="K75" s="123"/>
      <c r="L75" s="123"/>
      <c r="M75" s="123"/>
      <c r="N75" s="123"/>
      <c r="O75" s="123"/>
      <c r="P75" s="123"/>
      <c r="Q75" s="123"/>
      <c r="R75" s="123"/>
      <c r="S75" s="123"/>
      <c r="T75" s="123"/>
      <c r="U75" s="123"/>
      <c r="V75" s="123"/>
      <c r="W75" s="123"/>
      <c r="X75" s="123"/>
      <c r="Y75" s="123"/>
    </row>
    <row r="76" spans="7:25" x14ac:dyDescent="0.25">
      <c r="G76" s="123"/>
      <c r="H76" s="123"/>
      <c r="I76" s="123"/>
      <c r="J76" s="123"/>
      <c r="K76" s="123"/>
      <c r="L76" s="123"/>
      <c r="M76" s="123"/>
      <c r="N76" s="123"/>
      <c r="O76" s="123"/>
      <c r="P76" s="123"/>
      <c r="Q76" s="123"/>
      <c r="R76" s="123"/>
      <c r="S76" s="123"/>
      <c r="T76" s="123"/>
      <c r="U76" s="123"/>
      <c r="V76" s="123"/>
      <c r="W76" s="123"/>
      <c r="X76" s="123"/>
      <c r="Y76" s="123"/>
    </row>
    <row r="77" spans="7:25" x14ac:dyDescent="0.25">
      <c r="G77" s="123"/>
      <c r="H77" s="123"/>
      <c r="I77" s="123"/>
      <c r="J77" s="123"/>
      <c r="K77" s="123"/>
      <c r="L77" s="123"/>
      <c r="M77" s="123"/>
      <c r="N77" s="123"/>
      <c r="O77" s="123"/>
      <c r="P77" s="123"/>
      <c r="Q77" s="123"/>
      <c r="R77" s="123"/>
      <c r="S77" s="123"/>
      <c r="T77" s="123"/>
      <c r="U77" s="123"/>
      <c r="V77" s="123"/>
      <c r="W77" s="123"/>
      <c r="X77" s="123"/>
      <c r="Y77" s="123"/>
    </row>
    <row r="78" spans="7:25" x14ac:dyDescent="0.25">
      <c r="G78" s="123"/>
      <c r="H78" s="123"/>
      <c r="I78" s="123"/>
      <c r="J78" s="123"/>
      <c r="K78" s="123"/>
      <c r="L78" s="123"/>
      <c r="M78" s="123"/>
      <c r="N78" s="123"/>
      <c r="O78" s="123"/>
      <c r="P78" s="123"/>
      <c r="Q78" s="123"/>
      <c r="R78" s="123"/>
      <c r="S78" s="123"/>
      <c r="T78" s="123"/>
      <c r="U78" s="123"/>
      <c r="V78" s="123"/>
      <c r="W78" s="123"/>
      <c r="X78" s="123"/>
      <c r="Y78" s="123"/>
    </row>
    <row r="79" spans="7:25" x14ac:dyDescent="0.25">
      <c r="G79" s="123"/>
      <c r="H79" s="123"/>
      <c r="I79" s="123"/>
      <c r="J79" s="123"/>
      <c r="K79" s="123"/>
      <c r="L79" s="123"/>
      <c r="M79" s="123"/>
      <c r="N79" s="123"/>
      <c r="O79" s="123"/>
      <c r="P79" s="123"/>
      <c r="Q79" s="123"/>
      <c r="R79" s="123"/>
      <c r="S79" s="123"/>
      <c r="T79" s="123"/>
      <c r="U79" s="123"/>
      <c r="V79" s="123"/>
      <c r="W79" s="123"/>
      <c r="X79" s="123"/>
      <c r="Y79" s="123"/>
    </row>
    <row r="80" spans="7:25" x14ac:dyDescent="0.25">
      <c r="G80" s="123"/>
      <c r="H80" s="123"/>
      <c r="I80" s="123"/>
      <c r="J80" s="123"/>
      <c r="K80" s="123"/>
      <c r="L80" s="123"/>
      <c r="M80" s="123"/>
      <c r="N80" s="123"/>
      <c r="O80" s="123"/>
      <c r="P80" s="123"/>
      <c r="Q80" s="123"/>
      <c r="R80" s="123"/>
      <c r="S80" s="123"/>
      <c r="T80" s="123"/>
      <c r="U80" s="123"/>
      <c r="V80" s="123"/>
      <c r="W80" s="123"/>
      <c r="X80" s="123"/>
      <c r="Y80" s="123"/>
    </row>
    <row r="81" spans="7:25" x14ac:dyDescent="0.25">
      <c r="G81" s="123"/>
      <c r="H81" s="123"/>
      <c r="I81" s="123"/>
      <c r="J81" s="123"/>
      <c r="K81" s="123"/>
      <c r="L81" s="123"/>
      <c r="M81" s="123"/>
      <c r="N81" s="123"/>
      <c r="O81" s="123"/>
      <c r="P81" s="123"/>
      <c r="Q81" s="123"/>
      <c r="R81" s="123"/>
      <c r="S81" s="123"/>
      <c r="T81" s="123"/>
      <c r="U81" s="123"/>
      <c r="V81" s="123"/>
      <c r="W81" s="123"/>
      <c r="X81" s="123"/>
      <c r="Y81" s="123"/>
    </row>
    <row r="82" spans="7:25" x14ac:dyDescent="0.25">
      <c r="G82" s="123"/>
      <c r="H82" s="123"/>
      <c r="I82" s="123"/>
      <c r="J82" s="123"/>
      <c r="K82" s="123"/>
      <c r="L82" s="123"/>
      <c r="M82" s="123"/>
      <c r="N82" s="123"/>
      <c r="O82" s="123"/>
      <c r="P82" s="123"/>
      <c r="Q82" s="123"/>
      <c r="R82" s="123"/>
      <c r="S82" s="123"/>
      <c r="T82" s="123"/>
      <c r="U82" s="123"/>
      <c r="V82" s="123"/>
      <c r="W82" s="123"/>
      <c r="X82" s="123"/>
      <c r="Y82" s="123"/>
    </row>
    <row r="83" spans="7:25" x14ac:dyDescent="0.25">
      <c r="G83" s="123"/>
      <c r="H83" s="123"/>
      <c r="I83" s="123"/>
      <c r="J83" s="123"/>
      <c r="K83" s="123"/>
      <c r="L83" s="123"/>
      <c r="M83" s="123"/>
      <c r="N83" s="123"/>
      <c r="O83" s="123"/>
      <c r="P83" s="123"/>
      <c r="Q83" s="123"/>
      <c r="R83" s="123"/>
      <c r="S83" s="123"/>
      <c r="T83" s="123"/>
      <c r="U83" s="123"/>
      <c r="V83" s="123"/>
      <c r="W83" s="123"/>
      <c r="X83" s="123"/>
      <c r="Y83" s="123"/>
    </row>
    <row r="84" spans="7:25" x14ac:dyDescent="0.25">
      <c r="G84" s="123"/>
      <c r="H84" s="123"/>
      <c r="I84" s="123"/>
      <c r="J84" s="123"/>
      <c r="K84" s="123"/>
      <c r="L84" s="123"/>
      <c r="M84" s="123"/>
      <c r="N84" s="123"/>
      <c r="O84" s="123"/>
      <c r="P84" s="123"/>
      <c r="Q84" s="123"/>
      <c r="R84" s="123"/>
      <c r="S84" s="123"/>
      <c r="T84" s="123"/>
      <c r="U84" s="123"/>
      <c r="V84" s="123"/>
      <c r="W84" s="123"/>
      <c r="X84" s="123"/>
      <c r="Y84" s="123"/>
    </row>
    <row r="85" spans="7:25" x14ac:dyDescent="0.25">
      <c r="G85" s="123"/>
      <c r="H85" s="123"/>
      <c r="I85" s="123"/>
      <c r="J85" s="123"/>
      <c r="K85" s="123"/>
      <c r="L85" s="123"/>
      <c r="M85" s="123"/>
      <c r="N85" s="123"/>
      <c r="O85" s="123"/>
      <c r="P85" s="123"/>
      <c r="Q85" s="123"/>
      <c r="R85" s="123"/>
      <c r="S85" s="123"/>
      <c r="T85" s="123"/>
      <c r="U85" s="123"/>
      <c r="V85" s="123"/>
      <c r="W85" s="123"/>
      <c r="X85" s="123"/>
      <c r="Y85" s="123"/>
    </row>
    <row r="86" spans="7:25" x14ac:dyDescent="0.25">
      <c r="G86" s="123"/>
      <c r="H86" s="123"/>
      <c r="I86" s="123"/>
      <c r="J86" s="123"/>
      <c r="K86" s="123"/>
      <c r="L86" s="123"/>
      <c r="M86" s="123"/>
      <c r="N86" s="123"/>
      <c r="O86" s="123"/>
      <c r="P86" s="123"/>
      <c r="Q86" s="123"/>
      <c r="R86" s="123"/>
      <c r="S86" s="123"/>
      <c r="T86" s="123"/>
      <c r="U86" s="123"/>
      <c r="V86" s="123"/>
      <c r="W86" s="123"/>
      <c r="X86" s="123"/>
      <c r="Y86" s="123"/>
    </row>
  </sheetData>
  <mergeCells count="19">
    <mergeCell ref="B13:D15"/>
    <mergeCell ref="F13:H15"/>
    <mergeCell ref="J13:L15"/>
    <mergeCell ref="G62:Y86"/>
    <mergeCell ref="B2:D2"/>
    <mergeCell ref="F2:H2"/>
    <mergeCell ref="J2:L2"/>
    <mergeCell ref="B3:D5"/>
    <mergeCell ref="F3:H5"/>
    <mergeCell ref="J3:L5"/>
    <mergeCell ref="B7:D7"/>
    <mergeCell ref="F7:H7"/>
    <mergeCell ref="J7:L7"/>
    <mergeCell ref="B8:D10"/>
    <mergeCell ref="F8:H10"/>
    <mergeCell ref="J8:L10"/>
    <mergeCell ref="B12:D12"/>
    <mergeCell ref="F12:H12"/>
    <mergeCell ref="J12:L12"/>
  </mergeCells>
  <conditionalFormatting sqref="B3:D5 F3:H5 J3:L5">
    <cfRule type="colorScale" priority="3">
      <colorScale>
        <cfvo type="min"/>
        <cfvo type="percentile" val="50"/>
        <cfvo type="max"/>
        <color rgb="FF63BE7B"/>
        <color rgb="FFFFEB84"/>
        <color rgb="FFF8696B"/>
      </colorScale>
    </cfRule>
  </conditionalFormatting>
  <conditionalFormatting sqref="B8:D10 F8:H10 J8:L10">
    <cfRule type="colorScale" priority="2">
      <colorScale>
        <cfvo type="min"/>
        <cfvo type="percentile" val="50"/>
        <cfvo type="max"/>
        <color rgb="FF63BE7B"/>
        <color rgb="FFFFEB84"/>
        <color rgb="FFF8696B"/>
      </colorScale>
    </cfRule>
  </conditionalFormatting>
  <conditionalFormatting sqref="B13:D15 F13:H15 J13:L15">
    <cfRule type="colorScale" priority="1">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6B671-4038-4D62-8508-9CA06E48E4E7}">
  <sheetPr>
    <tabColor theme="3" tint="0.499984740745262"/>
  </sheetPr>
  <dimension ref="B1:U73"/>
  <sheetViews>
    <sheetView topLeftCell="A9" zoomScale="85" zoomScaleNormal="85" workbookViewId="0">
      <selection activeCell="J8" sqref="J8:L10"/>
    </sheetView>
  </sheetViews>
  <sheetFormatPr baseColWidth="10" defaultRowHeight="15" x14ac:dyDescent="0.25"/>
  <cols>
    <col min="1" max="1" width="2.7109375" style="3" customWidth="1"/>
    <col min="2" max="4" width="11.42578125" style="3"/>
    <col min="5" max="5" width="2.7109375" style="3" customWidth="1"/>
    <col min="6" max="8" width="11.42578125" style="3"/>
    <col min="9" max="9" width="2.7109375" style="3" customWidth="1"/>
    <col min="10" max="12" width="11.42578125" style="3"/>
    <col min="13" max="13" width="2.7109375" style="3" customWidth="1"/>
    <col min="14" max="16384" width="11.42578125" style="3"/>
  </cols>
  <sheetData>
    <row r="1" spans="2:12" ht="15.75" thickBot="1" x14ac:dyDescent="0.3"/>
    <row r="2" spans="2:12" ht="15.75" thickBot="1" x14ac:dyDescent="0.3">
      <c r="B2" s="104" t="str">
        <f>'BTC-index sentimiento'!G3</f>
        <v>Mín. de cierre BTC</v>
      </c>
      <c r="C2" s="105"/>
      <c r="D2" s="106"/>
      <c r="E2" s="27"/>
      <c r="F2" s="107" t="str">
        <f>'BTC-index sentimiento'!H3</f>
        <v>Promedio de cierre BTC</v>
      </c>
      <c r="G2" s="108"/>
      <c r="H2" s="109"/>
      <c r="I2" s="27"/>
      <c r="J2" s="110" t="str">
        <f>'BTC-index sentimiento'!I3</f>
        <v>Máx. de cierre BTC</v>
      </c>
      <c r="K2" s="111"/>
      <c r="L2" s="112"/>
    </row>
    <row r="3" spans="2:12" x14ac:dyDescent="0.25">
      <c r="B3" s="124">
        <f>GETPIVOTDATA("Mín. de cierre BTC",'BTC-index sentimiento'!$F$3)</f>
        <v>15787.28</v>
      </c>
      <c r="C3" s="125"/>
      <c r="D3" s="126"/>
      <c r="E3" s="27"/>
      <c r="F3" s="124">
        <f>GETPIVOTDATA("Promedio de cierre BTC",'BTC-index sentimiento'!$F$3)</f>
        <v>46512.294425574415</v>
      </c>
      <c r="G3" s="125"/>
      <c r="H3" s="126"/>
      <c r="I3" s="27"/>
      <c r="J3" s="124">
        <f>GETPIVOTDATA("Máx. de cierre BTC",'BTC-index sentimiento'!$F$3)</f>
        <v>106146.27</v>
      </c>
      <c r="K3" s="125"/>
      <c r="L3" s="126"/>
    </row>
    <row r="4" spans="2:12" ht="15" customHeight="1" x14ac:dyDescent="0.25">
      <c r="B4" s="127"/>
      <c r="C4" s="128"/>
      <c r="D4" s="129"/>
      <c r="E4" s="27"/>
      <c r="F4" s="127"/>
      <c r="G4" s="128"/>
      <c r="H4" s="129"/>
      <c r="I4" s="27"/>
      <c r="J4" s="127"/>
      <c r="K4" s="128"/>
      <c r="L4" s="129"/>
    </row>
    <row r="5" spans="2:12" ht="15.75" customHeight="1" thickBot="1" x14ac:dyDescent="0.3">
      <c r="B5" s="130"/>
      <c r="C5" s="131"/>
      <c r="D5" s="132"/>
      <c r="E5" s="27"/>
      <c r="F5" s="130"/>
      <c r="G5" s="131"/>
      <c r="H5" s="132"/>
      <c r="I5" s="27"/>
      <c r="J5" s="130"/>
      <c r="K5" s="131"/>
      <c r="L5" s="132"/>
    </row>
    <row r="6" spans="2:12" ht="15.75" customHeight="1" thickBot="1" x14ac:dyDescent="0.3">
      <c r="B6" s="27"/>
      <c r="C6" s="27"/>
      <c r="D6" s="27"/>
      <c r="E6" s="27"/>
      <c r="F6" s="27"/>
      <c r="G6" s="27"/>
      <c r="H6" s="27"/>
      <c r="I6" s="27"/>
      <c r="J6" s="27"/>
      <c r="K6" s="27"/>
      <c r="L6" s="27"/>
    </row>
    <row r="7" spans="2:12" ht="15.75" thickBot="1" x14ac:dyDescent="0.3">
      <c r="B7" s="104" t="str">
        <f>'BTC-index sentimiento'!J3</f>
        <v>Mín. de index</v>
      </c>
      <c r="C7" s="105"/>
      <c r="D7" s="106"/>
      <c r="E7" s="27"/>
      <c r="F7" s="107" t="str">
        <f>'BTC-index sentimiento'!K3</f>
        <v>Promedio de index</v>
      </c>
      <c r="G7" s="108"/>
      <c r="H7" s="109"/>
      <c r="I7" s="27"/>
      <c r="J7" s="110" t="str">
        <f>'BTC-index sentimiento'!L3</f>
        <v>Máx. de index</v>
      </c>
      <c r="K7" s="111"/>
      <c r="L7" s="112"/>
    </row>
    <row r="8" spans="2:12" x14ac:dyDescent="0.25">
      <c r="B8" s="116">
        <f>GETPIVOTDATA("Mín. de index",'BTC-index sentimiento'!$F$3)</f>
        <v>10</v>
      </c>
      <c r="C8" s="117"/>
      <c r="D8" s="118"/>
      <c r="E8" s="27"/>
      <c r="F8" s="113">
        <f>GETPIVOTDATA("Promedio de index",'BTC-index sentimiento'!$F$3)</f>
        <v>52.378621378621382</v>
      </c>
      <c r="G8" s="114"/>
      <c r="H8" s="115"/>
      <c r="I8" s="27"/>
      <c r="J8" s="113">
        <f>GETPIVOTDATA("Máx. de index",'BTC-index sentimiento'!$F$3)</f>
        <v>94</v>
      </c>
      <c r="K8" s="114"/>
      <c r="L8" s="115"/>
    </row>
    <row r="9" spans="2:12" ht="15" customHeight="1" x14ac:dyDescent="0.25">
      <c r="B9" s="116"/>
      <c r="C9" s="117"/>
      <c r="D9" s="118"/>
      <c r="E9" s="27"/>
      <c r="F9" s="116"/>
      <c r="G9" s="117"/>
      <c r="H9" s="118"/>
      <c r="I9" s="27"/>
      <c r="J9" s="116"/>
      <c r="K9" s="117"/>
      <c r="L9" s="118"/>
    </row>
    <row r="10" spans="2:12" ht="15.75" customHeight="1" thickBot="1" x14ac:dyDescent="0.3">
      <c r="B10" s="119"/>
      <c r="C10" s="120"/>
      <c r="D10" s="121"/>
      <c r="E10" s="27"/>
      <c r="F10" s="119"/>
      <c r="G10" s="120"/>
      <c r="H10" s="121"/>
      <c r="I10" s="27"/>
      <c r="J10" s="119"/>
      <c r="K10" s="120"/>
      <c r="L10" s="121"/>
    </row>
    <row r="11" spans="2:12" ht="15.75" customHeight="1" x14ac:dyDescent="0.25">
      <c r="B11" s="27"/>
      <c r="C11" s="27"/>
      <c r="D11" s="27"/>
      <c r="E11" s="27"/>
      <c r="F11" s="27"/>
      <c r="G11" s="27"/>
      <c r="H11" s="27"/>
      <c r="I11" s="27"/>
      <c r="J11" s="27"/>
      <c r="K11" s="27"/>
      <c r="L11" s="27"/>
    </row>
    <row r="12" spans="2:12" x14ac:dyDescent="0.25">
      <c r="J12" s="29"/>
      <c r="K12" s="29"/>
      <c r="L12" s="29"/>
    </row>
    <row r="13" spans="2:12" ht="15" customHeight="1" x14ac:dyDescent="0.25">
      <c r="B13" s="28"/>
      <c r="C13" s="28"/>
      <c r="D13" s="28"/>
      <c r="E13" s="27"/>
      <c r="F13" s="28"/>
      <c r="G13" s="28"/>
      <c r="H13" s="28"/>
      <c r="I13" s="27"/>
      <c r="J13" s="28"/>
      <c r="K13" s="28"/>
      <c r="L13" s="28"/>
    </row>
    <row r="14" spans="2:12" ht="15" customHeight="1" x14ac:dyDescent="0.25">
      <c r="B14" s="28"/>
      <c r="C14" s="28"/>
      <c r="D14" s="28"/>
      <c r="E14" s="27"/>
      <c r="F14" s="28"/>
      <c r="G14" s="28"/>
      <c r="H14" s="28"/>
      <c r="I14" s="27"/>
      <c r="J14" s="28"/>
      <c r="K14" s="28"/>
      <c r="L14" s="28"/>
    </row>
    <row r="15" spans="2:12" ht="15.75" customHeight="1" x14ac:dyDescent="0.25">
      <c r="B15" s="28"/>
      <c r="C15" s="28"/>
      <c r="D15" s="28"/>
      <c r="E15" s="27"/>
      <c r="F15" s="28"/>
      <c r="G15" s="28"/>
      <c r="H15" s="28"/>
      <c r="I15" s="27"/>
      <c r="J15" s="28"/>
      <c r="K15" s="28"/>
      <c r="L15" s="28"/>
    </row>
    <row r="51" spans="6:21" x14ac:dyDescent="0.25">
      <c r="F51" s="133" t="s">
        <v>130</v>
      </c>
      <c r="G51" s="134"/>
      <c r="H51" s="134"/>
      <c r="I51" s="134"/>
      <c r="J51" s="134"/>
      <c r="K51" s="134"/>
      <c r="L51" s="134"/>
      <c r="M51" s="134"/>
      <c r="N51" s="134"/>
      <c r="O51" s="134"/>
      <c r="P51" s="134"/>
      <c r="Q51" s="134"/>
      <c r="R51" s="134"/>
      <c r="S51" s="134"/>
      <c r="T51" s="134"/>
      <c r="U51" s="134"/>
    </row>
    <row r="52" spans="6:21" x14ac:dyDescent="0.25">
      <c r="F52" s="134"/>
      <c r="G52" s="134"/>
      <c r="H52" s="134"/>
      <c r="I52" s="134"/>
      <c r="J52" s="134"/>
      <c r="K52" s="134"/>
      <c r="L52" s="134"/>
      <c r="M52" s="134"/>
      <c r="N52" s="134"/>
      <c r="O52" s="134"/>
      <c r="P52" s="134"/>
      <c r="Q52" s="134"/>
      <c r="R52" s="134"/>
      <c r="S52" s="134"/>
      <c r="T52" s="134"/>
      <c r="U52" s="134"/>
    </row>
    <row r="53" spans="6:21" x14ac:dyDescent="0.25">
      <c r="F53" s="134"/>
      <c r="G53" s="134"/>
      <c r="H53" s="134"/>
      <c r="I53" s="134"/>
      <c r="J53" s="134"/>
      <c r="K53" s="134"/>
      <c r="L53" s="134"/>
      <c r="M53" s="134"/>
      <c r="N53" s="134"/>
      <c r="O53" s="134"/>
      <c r="P53" s="134"/>
      <c r="Q53" s="134"/>
      <c r="R53" s="134"/>
      <c r="S53" s="134"/>
      <c r="T53" s="134"/>
      <c r="U53" s="134"/>
    </row>
    <row r="54" spans="6:21" x14ac:dyDescent="0.25">
      <c r="F54" s="134"/>
      <c r="G54" s="134"/>
      <c r="H54" s="134"/>
      <c r="I54" s="134"/>
      <c r="J54" s="134"/>
      <c r="K54" s="134"/>
      <c r="L54" s="134"/>
      <c r="M54" s="134"/>
      <c r="N54" s="134"/>
      <c r="O54" s="134"/>
      <c r="P54" s="134"/>
      <c r="Q54" s="134"/>
      <c r="R54" s="134"/>
      <c r="S54" s="134"/>
      <c r="T54" s="134"/>
      <c r="U54" s="134"/>
    </row>
    <row r="55" spans="6:21" x14ac:dyDescent="0.25">
      <c r="F55" s="134"/>
      <c r="G55" s="134"/>
      <c r="H55" s="134"/>
      <c r="I55" s="134"/>
      <c r="J55" s="134"/>
      <c r="K55" s="134"/>
      <c r="L55" s="134"/>
      <c r="M55" s="134"/>
      <c r="N55" s="134"/>
      <c r="O55" s="134"/>
      <c r="P55" s="134"/>
      <c r="Q55" s="134"/>
      <c r="R55" s="134"/>
      <c r="S55" s="134"/>
      <c r="T55" s="134"/>
      <c r="U55" s="134"/>
    </row>
    <row r="56" spans="6:21" x14ac:dyDescent="0.25">
      <c r="F56" s="134"/>
      <c r="G56" s="134"/>
      <c r="H56" s="134"/>
      <c r="I56" s="134"/>
      <c r="J56" s="134"/>
      <c r="K56" s="134"/>
      <c r="L56" s="134"/>
      <c r="M56" s="134"/>
      <c r="N56" s="134"/>
      <c r="O56" s="134"/>
      <c r="P56" s="134"/>
      <c r="Q56" s="134"/>
      <c r="R56" s="134"/>
      <c r="S56" s="134"/>
      <c r="T56" s="134"/>
      <c r="U56" s="134"/>
    </row>
    <row r="57" spans="6:21" x14ac:dyDescent="0.25">
      <c r="F57" s="134"/>
      <c r="G57" s="134"/>
      <c r="H57" s="134"/>
      <c r="I57" s="134"/>
      <c r="J57" s="134"/>
      <c r="K57" s="134"/>
      <c r="L57" s="134"/>
      <c r="M57" s="134"/>
      <c r="N57" s="134"/>
      <c r="O57" s="134"/>
      <c r="P57" s="134"/>
      <c r="Q57" s="134"/>
      <c r="R57" s="134"/>
      <c r="S57" s="134"/>
      <c r="T57" s="134"/>
      <c r="U57" s="134"/>
    </row>
    <row r="58" spans="6:21" x14ac:dyDescent="0.25">
      <c r="F58" s="134"/>
      <c r="G58" s="134"/>
      <c r="H58" s="134"/>
      <c r="I58" s="134"/>
      <c r="J58" s="134"/>
      <c r="K58" s="134"/>
      <c r="L58" s="134"/>
      <c r="M58" s="134"/>
      <c r="N58" s="134"/>
      <c r="O58" s="134"/>
      <c r="P58" s="134"/>
      <c r="Q58" s="134"/>
      <c r="R58" s="134"/>
      <c r="S58" s="134"/>
      <c r="T58" s="134"/>
      <c r="U58" s="134"/>
    </row>
    <row r="59" spans="6:21" x14ac:dyDescent="0.25">
      <c r="F59" s="134"/>
      <c r="G59" s="134"/>
      <c r="H59" s="134"/>
      <c r="I59" s="134"/>
      <c r="J59" s="134"/>
      <c r="K59" s="134"/>
      <c r="L59" s="134"/>
      <c r="M59" s="134"/>
      <c r="N59" s="134"/>
      <c r="O59" s="134"/>
      <c r="P59" s="134"/>
      <c r="Q59" s="134"/>
      <c r="R59" s="134"/>
      <c r="S59" s="134"/>
      <c r="T59" s="134"/>
      <c r="U59" s="134"/>
    </row>
    <row r="60" spans="6:21" x14ac:dyDescent="0.25">
      <c r="F60" s="134"/>
      <c r="G60" s="134"/>
      <c r="H60" s="134"/>
      <c r="I60" s="134"/>
      <c r="J60" s="134"/>
      <c r="K60" s="134"/>
      <c r="L60" s="134"/>
      <c r="M60" s="134"/>
      <c r="N60" s="134"/>
      <c r="O60" s="134"/>
      <c r="P60" s="134"/>
      <c r="Q60" s="134"/>
      <c r="R60" s="134"/>
      <c r="S60" s="134"/>
      <c r="T60" s="134"/>
      <c r="U60" s="134"/>
    </row>
    <row r="61" spans="6:21" x14ac:dyDescent="0.25">
      <c r="F61" s="134"/>
      <c r="G61" s="134"/>
      <c r="H61" s="134"/>
      <c r="I61" s="134"/>
      <c r="J61" s="134"/>
      <c r="K61" s="134"/>
      <c r="L61" s="134"/>
      <c r="M61" s="134"/>
      <c r="N61" s="134"/>
      <c r="O61" s="134"/>
      <c r="P61" s="134"/>
      <c r="Q61" s="134"/>
      <c r="R61" s="134"/>
      <c r="S61" s="134"/>
      <c r="T61" s="134"/>
      <c r="U61" s="134"/>
    </row>
    <row r="62" spans="6:21" x14ac:dyDescent="0.25">
      <c r="F62" s="134"/>
      <c r="G62" s="134"/>
      <c r="H62" s="134"/>
      <c r="I62" s="134"/>
      <c r="J62" s="134"/>
      <c r="K62" s="134"/>
      <c r="L62" s="134"/>
      <c r="M62" s="134"/>
      <c r="N62" s="134"/>
      <c r="O62" s="134"/>
      <c r="P62" s="134"/>
      <c r="Q62" s="134"/>
      <c r="R62" s="134"/>
      <c r="S62" s="134"/>
      <c r="T62" s="134"/>
      <c r="U62" s="134"/>
    </row>
    <row r="63" spans="6:21" x14ac:dyDescent="0.25">
      <c r="F63" s="134"/>
      <c r="G63" s="134"/>
      <c r="H63" s="134"/>
      <c r="I63" s="134"/>
      <c r="J63" s="134"/>
      <c r="K63" s="134"/>
      <c r="L63" s="134"/>
      <c r="M63" s="134"/>
      <c r="N63" s="134"/>
      <c r="O63" s="134"/>
      <c r="P63" s="134"/>
      <c r="Q63" s="134"/>
      <c r="R63" s="134"/>
      <c r="S63" s="134"/>
      <c r="T63" s="134"/>
      <c r="U63" s="134"/>
    </row>
    <row r="64" spans="6:21" x14ac:dyDescent="0.25">
      <c r="F64" s="134"/>
      <c r="G64" s="134"/>
      <c r="H64" s="134"/>
      <c r="I64" s="134"/>
      <c r="J64" s="134"/>
      <c r="K64" s="134"/>
      <c r="L64" s="134"/>
      <c r="M64" s="134"/>
      <c r="N64" s="134"/>
      <c r="O64" s="134"/>
      <c r="P64" s="134"/>
      <c r="Q64" s="134"/>
      <c r="R64" s="134"/>
      <c r="S64" s="134"/>
      <c r="T64" s="134"/>
      <c r="U64" s="134"/>
    </row>
    <row r="65" spans="6:21" x14ac:dyDescent="0.25">
      <c r="F65" s="134"/>
      <c r="G65" s="134"/>
      <c r="H65" s="134"/>
      <c r="I65" s="134"/>
      <c r="J65" s="134"/>
      <c r="K65" s="134"/>
      <c r="L65" s="134"/>
      <c r="M65" s="134"/>
      <c r="N65" s="134"/>
      <c r="O65" s="134"/>
      <c r="P65" s="134"/>
      <c r="Q65" s="134"/>
      <c r="R65" s="134"/>
      <c r="S65" s="134"/>
      <c r="T65" s="134"/>
      <c r="U65" s="134"/>
    </row>
    <row r="66" spans="6:21" x14ac:dyDescent="0.25">
      <c r="F66" s="134"/>
      <c r="G66" s="134"/>
      <c r="H66" s="134"/>
      <c r="I66" s="134"/>
      <c r="J66" s="134"/>
      <c r="K66" s="134"/>
      <c r="L66" s="134"/>
      <c r="M66" s="134"/>
      <c r="N66" s="134"/>
      <c r="O66" s="134"/>
      <c r="P66" s="134"/>
      <c r="Q66" s="134"/>
      <c r="R66" s="134"/>
      <c r="S66" s="134"/>
      <c r="T66" s="134"/>
      <c r="U66" s="134"/>
    </row>
    <row r="67" spans="6:21" x14ac:dyDescent="0.25">
      <c r="F67" s="134"/>
      <c r="G67" s="134"/>
      <c r="H67" s="134"/>
      <c r="I67" s="134"/>
      <c r="J67" s="134"/>
      <c r="K67" s="134"/>
      <c r="L67" s="134"/>
      <c r="M67" s="134"/>
      <c r="N67" s="134"/>
      <c r="O67" s="134"/>
      <c r="P67" s="134"/>
      <c r="Q67" s="134"/>
      <c r="R67" s="134"/>
      <c r="S67" s="134"/>
      <c r="T67" s="134"/>
      <c r="U67" s="134"/>
    </row>
    <row r="68" spans="6:21" x14ac:dyDescent="0.25">
      <c r="F68" s="134"/>
      <c r="G68" s="134"/>
      <c r="H68" s="134"/>
      <c r="I68" s="134"/>
      <c r="J68" s="134"/>
      <c r="K68" s="134"/>
      <c r="L68" s="134"/>
      <c r="M68" s="134"/>
      <c r="N68" s="134"/>
      <c r="O68" s="134"/>
      <c r="P68" s="134"/>
      <c r="Q68" s="134"/>
      <c r="R68" s="134"/>
      <c r="S68" s="134"/>
      <c r="T68" s="134"/>
      <c r="U68" s="134"/>
    </row>
    <row r="69" spans="6:21" x14ac:dyDescent="0.25">
      <c r="F69" s="134"/>
      <c r="G69" s="134"/>
      <c r="H69" s="134"/>
      <c r="I69" s="134"/>
      <c r="J69" s="134"/>
      <c r="K69" s="134"/>
      <c r="L69" s="134"/>
      <c r="M69" s="134"/>
      <c r="N69" s="134"/>
      <c r="O69" s="134"/>
      <c r="P69" s="134"/>
      <c r="Q69" s="134"/>
      <c r="R69" s="134"/>
      <c r="S69" s="134"/>
      <c r="T69" s="134"/>
      <c r="U69" s="134"/>
    </row>
    <row r="70" spans="6:21" x14ac:dyDescent="0.25">
      <c r="F70" s="134"/>
      <c r="G70" s="134"/>
      <c r="H70" s="134"/>
      <c r="I70" s="134"/>
      <c r="J70" s="134"/>
      <c r="K70" s="134"/>
      <c r="L70" s="134"/>
      <c r="M70" s="134"/>
      <c r="N70" s="134"/>
      <c r="O70" s="134"/>
      <c r="P70" s="134"/>
      <c r="Q70" s="134"/>
      <c r="R70" s="134"/>
      <c r="S70" s="134"/>
      <c r="T70" s="134"/>
      <c r="U70" s="134"/>
    </row>
    <row r="71" spans="6:21" x14ac:dyDescent="0.25">
      <c r="F71" s="134"/>
      <c r="G71" s="134"/>
      <c r="H71" s="134"/>
      <c r="I71" s="134"/>
      <c r="J71" s="134"/>
      <c r="K71" s="134"/>
      <c r="L71" s="134"/>
      <c r="M71" s="134"/>
      <c r="N71" s="134"/>
      <c r="O71" s="134"/>
      <c r="P71" s="134"/>
      <c r="Q71" s="134"/>
      <c r="R71" s="134"/>
      <c r="S71" s="134"/>
      <c r="T71" s="134"/>
      <c r="U71" s="134"/>
    </row>
    <row r="72" spans="6:21" x14ac:dyDescent="0.25">
      <c r="F72" s="134"/>
      <c r="G72" s="134"/>
      <c r="H72" s="134"/>
      <c r="I72" s="134"/>
      <c r="J72" s="134"/>
      <c r="K72" s="134"/>
      <c r="L72" s="134"/>
      <c r="M72" s="134"/>
      <c r="N72" s="134"/>
      <c r="O72" s="134"/>
      <c r="P72" s="134"/>
      <c r="Q72" s="134"/>
      <c r="R72" s="134"/>
      <c r="S72" s="134"/>
      <c r="T72" s="134"/>
      <c r="U72" s="134"/>
    </row>
    <row r="73" spans="6:21" x14ac:dyDescent="0.25">
      <c r="F73" s="134"/>
      <c r="G73" s="134"/>
      <c r="H73" s="134"/>
      <c r="I73" s="134"/>
      <c r="J73" s="134"/>
      <c r="K73" s="134"/>
      <c r="L73" s="134"/>
      <c r="M73" s="134"/>
      <c r="N73" s="134"/>
      <c r="O73" s="134"/>
      <c r="P73" s="134"/>
      <c r="Q73" s="134"/>
      <c r="R73" s="134"/>
      <c r="S73" s="134"/>
      <c r="T73" s="134"/>
      <c r="U73" s="134"/>
    </row>
  </sheetData>
  <mergeCells count="13">
    <mergeCell ref="F51:U73"/>
    <mergeCell ref="B2:D2"/>
    <mergeCell ref="F2:H2"/>
    <mergeCell ref="J2:L2"/>
    <mergeCell ref="B3:D5"/>
    <mergeCell ref="F3:H5"/>
    <mergeCell ref="J3:L5"/>
    <mergeCell ref="B7:D7"/>
    <mergeCell ref="F7:H7"/>
    <mergeCell ref="J7:L7"/>
    <mergeCell ref="B8:D10"/>
    <mergeCell ref="F8:H10"/>
    <mergeCell ref="J8:L10"/>
  </mergeCells>
  <conditionalFormatting sqref="B3:D5 F3:H5 J3:L5">
    <cfRule type="colorScale" priority="3">
      <colorScale>
        <cfvo type="min"/>
        <cfvo type="percentile" val="50"/>
        <cfvo type="max"/>
        <color rgb="FF63BE7B"/>
        <color rgb="FFFFEB84"/>
        <color rgb="FFF8696B"/>
      </colorScale>
    </cfRule>
  </conditionalFormatting>
  <conditionalFormatting sqref="B8:D10 F8:H10 J8:L10">
    <cfRule type="colorScale" priority="2">
      <colorScale>
        <cfvo type="min"/>
        <cfvo type="percentile" val="50"/>
        <cfvo type="max"/>
        <color rgb="FF63BE7B"/>
        <color rgb="FFFFEB84"/>
        <color rgb="FFF8696B"/>
      </colorScale>
    </cfRule>
  </conditionalFormatting>
  <conditionalFormatting sqref="B13:D15 F13:H15 J13:L15">
    <cfRule type="colorScale" priority="1">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1004D-0300-46BE-A452-DB5711330930}">
  <sheetPr>
    <tabColor theme="3" tint="9.9978637043366805E-2"/>
  </sheetPr>
  <dimension ref="B1:L1005"/>
  <sheetViews>
    <sheetView showGridLines="0" zoomScale="70" zoomScaleNormal="70" workbookViewId="0"/>
  </sheetViews>
  <sheetFormatPr baseColWidth="10" defaultRowHeight="15" x14ac:dyDescent="0.25"/>
  <cols>
    <col min="1" max="1" width="2.85546875" style="3" customWidth="1"/>
    <col min="2" max="2" width="23.42578125" style="3" bestFit="1" customWidth="1"/>
    <col min="3" max="3" width="22.85546875" style="3" bestFit="1" customWidth="1"/>
    <col min="4" max="4" width="27.85546875" style="3" bestFit="1" customWidth="1"/>
    <col min="5" max="5" width="3" style="3" customWidth="1"/>
    <col min="6" max="6" width="23.42578125" style="3" bestFit="1" customWidth="1"/>
    <col min="7" max="7" width="16.7109375" style="3" bestFit="1" customWidth="1"/>
    <col min="8" max="8" width="22.85546875" style="3" bestFit="1" customWidth="1"/>
    <col min="9" max="9" width="17.140625" style="3" bestFit="1" customWidth="1"/>
    <col min="10" max="10" width="21.7109375" style="3" bestFit="1" customWidth="1"/>
    <col min="11" max="11" width="27.85546875" style="3" bestFit="1" customWidth="1"/>
    <col min="12" max="12" width="22.140625" style="3" bestFit="1" customWidth="1"/>
    <col min="13" max="16384" width="11.42578125" style="3"/>
  </cols>
  <sheetData>
    <row r="1" spans="2:12" ht="15.75" thickBot="1" x14ac:dyDescent="0.3"/>
    <row r="2" spans="2:12" ht="15.75" thickBot="1" x14ac:dyDescent="0.3">
      <c r="B2" s="135" t="s">
        <v>75</v>
      </c>
      <c r="C2" s="136"/>
      <c r="D2" s="137"/>
      <c r="F2" s="135" t="s">
        <v>76</v>
      </c>
      <c r="G2" s="136"/>
      <c r="H2" s="136"/>
      <c r="I2" s="136"/>
      <c r="J2" s="136"/>
      <c r="K2" s="136"/>
      <c r="L2" s="137"/>
    </row>
    <row r="3" spans="2:12" ht="15.75" thickBot="1" x14ac:dyDescent="0.3">
      <c r="B3" s="15" t="s">
        <v>60</v>
      </c>
      <c r="C3" s="15" t="s">
        <v>63</v>
      </c>
      <c r="D3" s="6" t="s">
        <v>65</v>
      </c>
      <c r="F3" s="15" t="s">
        <v>60</v>
      </c>
      <c r="G3" s="20" t="s">
        <v>71</v>
      </c>
      <c r="H3" s="30" t="s">
        <v>63</v>
      </c>
      <c r="I3" s="21" t="s">
        <v>72</v>
      </c>
      <c r="J3" s="5" t="s">
        <v>77</v>
      </c>
      <c r="K3" s="5" t="s">
        <v>65</v>
      </c>
      <c r="L3" s="6" t="s">
        <v>78</v>
      </c>
    </row>
    <row r="4" spans="2:12" x14ac:dyDescent="0.25">
      <c r="B4" s="16">
        <v>44746</v>
      </c>
      <c r="C4" s="57">
        <v>14</v>
      </c>
      <c r="D4" s="26">
        <v>1.62999999523162</v>
      </c>
      <c r="F4" s="16">
        <v>44746</v>
      </c>
      <c r="G4" s="57">
        <v>14</v>
      </c>
      <c r="H4" s="5">
        <v>14</v>
      </c>
      <c r="I4" s="5">
        <v>14</v>
      </c>
      <c r="J4" s="32">
        <v>1.62999999523162</v>
      </c>
      <c r="K4" s="32">
        <v>1.62999999523162</v>
      </c>
      <c r="L4" s="26">
        <v>1.62999999523162</v>
      </c>
    </row>
    <row r="5" spans="2:12" x14ac:dyDescent="0.25">
      <c r="B5" s="17">
        <v>44747</v>
      </c>
      <c r="C5" s="58">
        <v>19</v>
      </c>
      <c r="D5" s="24">
        <v>1.62999999523162</v>
      </c>
      <c r="F5" s="17">
        <v>44747</v>
      </c>
      <c r="G5" s="58">
        <v>19</v>
      </c>
      <c r="H5" s="3">
        <v>19</v>
      </c>
      <c r="I5" s="3">
        <v>19</v>
      </c>
      <c r="J5" s="23">
        <v>1.62999999523162</v>
      </c>
      <c r="K5" s="23">
        <v>1.62999999523162</v>
      </c>
      <c r="L5" s="24">
        <v>1.62999999523162</v>
      </c>
    </row>
    <row r="6" spans="2:12" x14ac:dyDescent="0.25">
      <c r="B6" s="17">
        <v>44748</v>
      </c>
      <c r="C6" s="58">
        <v>18</v>
      </c>
      <c r="D6" s="24">
        <v>1.8400000333786</v>
      </c>
      <c r="F6" s="17">
        <v>44748</v>
      </c>
      <c r="G6" s="58">
        <v>18</v>
      </c>
      <c r="H6" s="3">
        <v>18</v>
      </c>
      <c r="I6" s="3">
        <v>18</v>
      </c>
      <c r="J6" s="23">
        <v>1.8400000333786</v>
      </c>
      <c r="K6" s="23">
        <v>1.8400000333786</v>
      </c>
      <c r="L6" s="24">
        <v>1.8400000333786</v>
      </c>
    </row>
    <row r="7" spans="2:12" x14ac:dyDescent="0.25">
      <c r="B7" s="17">
        <v>44749</v>
      </c>
      <c r="C7" s="58">
        <v>18</v>
      </c>
      <c r="D7" s="24">
        <v>1.85300004482269</v>
      </c>
      <c r="F7" s="17">
        <v>44749</v>
      </c>
      <c r="G7" s="58">
        <v>18</v>
      </c>
      <c r="H7" s="3">
        <v>18</v>
      </c>
      <c r="I7" s="3">
        <v>18</v>
      </c>
      <c r="J7" s="23">
        <v>1.85300004482269</v>
      </c>
      <c r="K7" s="23">
        <v>1.85300004482269</v>
      </c>
      <c r="L7" s="24">
        <v>1.85300004482269</v>
      </c>
    </row>
    <row r="8" spans="2:12" x14ac:dyDescent="0.25">
      <c r="B8" s="17">
        <v>44750</v>
      </c>
      <c r="C8" s="58">
        <v>20</v>
      </c>
      <c r="D8" s="24">
        <v>1.84300005435943</v>
      </c>
      <c r="F8" s="17">
        <v>44750</v>
      </c>
      <c r="G8" s="58">
        <v>20</v>
      </c>
      <c r="H8" s="3">
        <v>20</v>
      </c>
      <c r="I8" s="3">
        <v>20</v>
      </c>
      <c r="J8" s="23">
        <v>1.84300005435943</v>
      </c>
      <c r="K8" s="23">
        <v>1.84300005435943</v>
      </c>
      <c r="L8" s="24">
        <v>1.84300005435943</v>
      </c>
    </row>
    <row r="9" spans="2:12" x14ac:dyDescent="0.25">
      <c r="B9" s="17">
        <v>44751</v>
      </c>
      <c r="C9" s="58">
        <v>24</v>
      </c>
      <c r="D9" s="24">
        <v>1.84300005435943</v>
      </c>
      <c r="F9" s="17">
        <v>44751</v>
      </c>
      <c r="G9" s="58">
        <v>24</v>
      </c>
      <c r="H9" s="3">
        <v>24</v>
      </c>
      <c r="I9" s="3">
        <v>24</v>
      </c>
      <c r="J9" s="23">
        <v>1.84300005435943</v>
      </c>
      <c r="K9" s="23">
        <v>1.84300005435943</v>
      </c>
      <c r="L9" s="24">
        <v>1.84300005435943</v>
      </c>
    </row>
    <row r="10" spans="2:12" x14ac:dyDescent="0.25">
      <c r="B10" s="17">
        <v>44752</v>
      </c>
      <c r="C10" s="58">
        <v>24</v>
      </c>
      <c r="D10" s="24">
        <v>1.84300005435943</v>
      </c>
      <c r="F10" s="17">
        <v>44752</v>
      </c>
      <c r="G10" s="58">
        <v>24</v>
      </c>
      <c r="H10" s="3">
        <v>24</v>
      </c>
      <c r="I10" s="3">
        <v>24</v>
      </c>
      <c r="J10" s="23">
        <v>1.84300005435943</v>
      </c>
      <c r="K10" s="23">
        <v>1.84300005435943</v>
      </c>
      <c r="L10" s="24">
        <v>1.84300005435943</v>
      </c>
    </row>
    <row r="11" spans="2:12" x14ac:dyDescent="0.25">
      <c r="B11" s="17">
        <v>44753</v>
      </c>
      <c r="C11" s="58">
        <v>22</v>
      </c>
      <c r="D11" s="24">
        <v>1.9529999494552599</v>
      </c>
      <c r="F11" s="17">
        <v>44753</v>
      </c>
      <c r="G11" s="58">
        <v>22</v>
      </c>
      <c r="H11" s="3">
        <v>22</v>
      </c>
      <c r="I11" s="3">
        <v>22</v>
      </c>
      <c r="J11" s="23">
        <v>1.9529999494552599</v>
      </c>
      <c r="K11" s="23">
        <v>1.9529999494552599</v>
      </c>
      <c r="L11" s="24">
        <v>1.9529999494552599</v>
      </c>
    </row>
    <row r="12" spans="2:12" x14ac:dyDescent="0.25">
      <c r="B12" s="17">
        <v>44754</v>
      </c>
      <c r="C12" s="58">
        <v>16</v>
      </c>
      <c r="D12" s="24">
        <v>2.1129999160766602</v>
      </c>
      <c r="F12" s="17">
        <v>44754</v>
      </c>
      <c r="G12" s="58">
        <v>16</v>
      </c>
      <c r="H12" s="3">
        <v>16</v>
      </c>
      <c r="I12" s="3">
        <v>16</v>
      </c>
      <c r="J12" s="23">
        <v>2.1129999160766602</v>
      </c>
      <c r="K12" s="23">
        <v>2.1129999160766602</v>
      </c>
      <c r="L12" s="24">
        <v>2.1129999160766602</v>
      </c>
    </row>
    <row r="13" spans="2:12" x14ac:dyDescent="0.25">
      <c r="B13" s="17">
        <v>44755</v>
      </c>
      <c r="C13" s="58">
        <v>15</v>
      </c>
      <c r="D13" s="24">
        <v>2.3229999542236301</v>
      </c>
      <c r="F13" s="17">
        <v>44755</v>
      </c>
      <c r="G13" s="58">
        <v>15</v>
      </c>
      <c r="H13" s="3">
        <v>15</v>
      </c>
      <c r="I13" s="3">
        <v>15</v>
      </c>
      <c r="J13" s="23">
        <v>2.3229999542236301</v>
      </c>
      <c r="K13" s="23">
        <v>2.3229999542236301</v>
      </c>
      <c r="L13" s="24">
        <v>2.3229999542236301</v>
      </c>
    </row>
    <row r="14" spans="2:12" x14ac:dyDescent="0.25">
      <c r="B14" s="17">
        <v>44756</v>
      </c>
      <c r="C14" s="58">
        <v>18</v>
      </c>
      <c r="D14" s="24">
        <v>2.2730000019073402</v>
      </c>
      <c r="F14" s="17">
        <v>44756</v>
      </c>
      <c r="G14" s="58">
        <v>18</v>
      </c>
      <c r="H14" s="3">
        <v>18</v>
      </c>
      <c r="I14" s="3">
        <v>18</v>
      </c>
      <c r="J14" s="23">
        <v>2.2730000019073402</v>
      </c>
      <c r="K14" s="23">
        <v>2.2730000019073402</v>
      </c>
      <c r="L14" s="24">
        <v>2.2730000019073402</v>
      </c>
    </row>
    <row r="15" spans="2:12" x14ac:dyDescent="0.25">
      <c r="B15" s="17">
        <v>44757</v>
      </c>
      <c r="C15" s="58">
        <v>15</v>
      </c>
      <c r="D15" s="24">
        <v>2.2400000095367401</v>
      </c>
      <c r="F15" s="17">
        <v>44757</v>
      </c>
      <c r="G15" s="58">
        <v>15</v>
      </c>
      <c r="H15" s="3">
        <v>15</v>
      </c>
      <c r="I15" s="3">
        <v>15</v>
      </c>
      <c r="J15" s="23">
        <v>2.2400000095367401</v>
      </c>
      <c r="K15" s="23">
        <v>2.2400000095367401</v>
      </c>
      <c r="L15" s="24">
        <v>2.2400000095367401</v>
      </c>
    </row>
    <row r="16" spans="2:12" x14ac:dyDescent="0.25">
      <c r="B16" s="17">
        <v>44758</v>
      </c>
      <c r="C16" s="58">
        <v>21</v>
      </c>
      <c r="D16" s="24">
        <v>2.2400000095367401</v>
      </c>
      <c r="F16" s="17">
        <v>44758</v>
      </c>
      <c r="G16" s="58">
        <v>21</v>
      </c>
      <c r="H16" s="3">
        <v>21</v>
      </c>
      <c r="I16" s="3">
        <v>21</v>
      </c>
      <c r="J16" s="23">
        <v>2.2400000095367401</v>
      </c>
      <c r="K16" s="23">
        <v>2.2400000095367401</v>
      </c>
      <c r="L16" s="24">
        <v>2.2400000095367401</v>
      </c>
    </row>
    <row r="17" spans="2:12" x14ac:dyDescent="0.25">
      <c r="B17" s="17">
        <v>44759</v>
      </c>
      <c r="C17" s="58">
        <v>24</v>
      </c>
      <c r="D17" s="24">
        <v>2.2400000095367401</v>
      </c>
      <c r="F17" s="17">
        <v>44759</v>
      </c>
      <c r="G17" s="58">
        <v>24</v>
      </c>
      <c r="H17" s="3">
        <v>24</v>
      </c>
      <c r="I17" s="3">
        <v>24</v>
      </c>
      <c r="J17" s="23">
        <v>2.2400000095367401</v>
      </c>
      <c r="K17" s="23">
        <v>2.2400000095367401</v>
      </c>
      <c r="L17" s="24">
        <v>2.2400000095367401</v>
      </c>
    </row>
    <row r="18" spans="2:12" x14ac:dyDescent="0.25">
      <c r="B18" s="17">
        <v>44760</v>
      </c>
      <c r="C18" s="58">
        <v>20</v>
      </c>
      <c r="D18" s="24">
        <v>2.2599999904632502</v>
      </c>
      <c r="F18" s="17">
        <v>44760</v>
      </c>
      <c r="G18" s="58">
        <v>20</v>
      </c>
      <c r="H18" s="3">
        <v>20</v>
      </c>
      <c r="I18" s="3">
        <v>20</v>
      </c>
      <c r="J18" s="23">
        <v>2.2599999904632502</v>
      </c>
      <c r="K18" s="23">
        <v>2.2599999904632502</v>
      </c>
      <c r="L18" s="24">
        <v>2.2599999904632502</v>
      </c>
    </row>
    <row r="19" spans="2:12" x14ac:dyDescent="0.25">
      <c r="B19" s="17">
        <v>44761</v>
      </c>
      <c r="C19" s="58">
        <v>30</v>
      </c>
      <c r="D19" s="24">
        <v>2.45000004768371</v>
      </c>
      <c r="F19" s="17">
        <v>44761</v>
      </c>
      <c r="G19" s="58">
        <v>30</v>
      </c>
      <c r="H19" s="3">
        <v>30</v>
      </c>
      <c r="I19" s="3">
        <v>30</v>
      </c>
      <c r="J19" s="23">
        <v>2.45000004768371</v>
      </c>
      <c r="K19" s="23">
        <v>2.45000004768371</v>
      </c>
      <c r="L19" s="24">
        <v>2.45000004768371</v>
      </c>
    </row>
    <row r="20" spans="2:12" x14ac:dyDescent="0.25">
      <c r="B20" s="17">
        <v>44762</v>
      </c>
      <c r="C20" s="58">
        <v>31</v>
      </c>
      <c r="D20" s="24">
        <v>2.3780000209808301</v>
      </c>
      <c r="F20" s="17">
        <v>44762</v>
      </c>
      <c r="G20" s="58">
        <v>31</v>
      </c>
      <c r="H20" s="3">
        <v>31</v>
      </c>
      <c r="I20" s="3">
        <v>31</v>
      </c>
      <c r="J20" s="23">
        <v>2.3780000209808301</v>
      </c>
      <c r="K20" s="23">
        <v>2.3780000209808301</v>
      </c>
      <c r="L20" s="24">
        <v>2.3780000209808301</v>
      </c>
    </row>
    <row r="21" spans="2:12" x14ac:dyDescent="0.25">
      <c r="B21" s="17">
        <v>44763</v>
      </c>
      <c r="C21" s="58">
        <v>34</v>
      </c>
      <c r="D21" s="24">
        <v>2.3599998950958199</v>
      </c>
      <c r="F21" s="17">
        <v>44763</v>
      </c>
      <c r="G21" s="58">
        <v>34</v>
      </c>
      <c r="H21" s="3">
        <v>34</v>
      </c>
      <c r="I21" s="3">
        <v>34</v>
      </c>
      <c r="J21" s="23">
        <v>2.3599998950958199</v>
      </c>
      <c r="K21" s="23">
        <v>2.3599998950958199</v>
      </c>
      <c r="L21" s="24">
        <v>2.3599998950958199</v>
      </c>
    </row>
    <row r="22" spans="2:12" x14ac:dyDescent="0.25">
      <c r="B22" s="17">
        <v>44764</v>
      </c>
      <c r="C22" s="58">
        <v>33</v>
      </c>
      <c r="D22" s="24">
        <v>2.3550000190734801</v>
      </c>
      <c r="F22" s="17">
        <v>44764</v>
      </c>
      <c r="G22" s="58">
        <v>33</v>
      </c>
      <c r="H22" s="3">
        <v>33</v>
      </c>
      <c r="I22" s="3">
        <v>33</v>
      </c>
      <c r="J22" s="23">
        <v>2.3550000190734801</v>
      </c>
      <c r="K22" s="23">
        <v>2.3550000190734801</v>
      </c>
      <c r="L22" s="24">
        <v>2.3550000190734801</v>
      </c>
    </row>
    <row r="23" spans="2:12" x14ac:dyDescent="0.25">
      <c r="B23" s="17">
        <v>44765</v>
      </c>
      <c r="C23" s="58">
        <v>31</v>
      </c>
      <c r="D23" s="24">
        <v>2.3550000190734801</v>
      </c>
      <c r="F23" s="17">
        <v>44765</v>
      </c>
      <c r="G23" s="58">
        <v>31</v>
      </c>
      <c r="H23" s="3">
        <v>31</v>
      </c>
      <c r="I23" s="3">
        <v>31</v>
      </c>
      <c r="J23" s="23">
        <v>2.3550000190734801</v>
      </c>
      <c r="K23" s="23">
        <v>2.3550000190734801</v>
      </c>
      <c r="L23" s="24">
        <v>2.3550000190734801</v>
      </c>
    </row>
    <row r="24" spans="2:12" x14ac:dyDescent="0.25">
      <c r="B24" s="17">
        <v>44766</v>
      </c>
      <c r="C24" s="58">
        <v>30</v>
      </c>
      <c r="D24" s="24">
        <v>2.3550000190734801</v>
      </c>
      <c r="F24" s="17">
        <v>44766</v>
      </c>
      <c r="G24" s="58">
        <v>30</v>
      </c>
      <c r="H24" s="3">
        <v>30</v>
      </c>
      <c r="I24" s="3">
        <v>30</v>
      </c>
      <c r="J24" s="23">
        <v>2.3550000190734801</v>
      </c>
      <c r="K24" s="23">
        <v>2.3550000190734801</v>
      </c>
      <c r="L24" s="24">
        <v>2.3550000190734801</v>
      </c>
    </row>
    <row r="25" spans="2:12" x14ac:dyDescent="0.25">
      <c r="B25" s="17">
        <v>44767</v>
      </c>
      <c r="C25" s="58">
        <v>30</v>
      </c>
      <c r="D25" s="24">
        <v>2.3929998874664302</v>
      </c>
      <c r="F25" s="17">
        <v>44767</v>
      </c>
      <c r="G25" s="58">
        <v>30</v>
      </c>
      <c r="H25" s="3">
        <v>30</v>
      </c>
      <c r="I25" s="3">
        <v>30</v>
      </c>
      <c r="J25" s="23">
        <v>2.3929998874664302</v>
      </c>
      <c r="K25" s="23">
        <v>2.3929998874664302</v>
      </c>
      <c r="L25" s="24">
        <v>2.3929998874664302</v>
      </c>
    </row>
    <row r="26" spans="2:12" x14ac:dyDescent="0.25">
      <c r="B26" s="17">
        <v>44768</v>
      </c>
      <c r="C26" s="58">
        <v>26</v>
      </c>
      <c r="D26" s="24">
        <v>2.4749999046325599</v>
      </c>
      <c r="F26" s="17">
        <v>44768</v>
      </c>
      <c r="G26" s="58">
        <v>26</v>
      </c>
      <c r="H26" s="3">
        <v>26</v>
      </c>
      <c r="I26" s="3">
        <v>26</v>
      </c>
      <c r="J26" s="23">
        <v>2.4749999046325599</v>
      </c>
      <c r="K26" s="23">
        <v>2.4749999046325599</v>
      </c>
      <c r="L26" s="24">
        <v>2.4749999046325599</v>
      </c>
    </row>
    <row r="27" spans="2:12" x14ac:dyDescent="0.25">
      <c r="B27" s="17">
        <v>44769</v>
      </c>
      <c r="C27" s="58">
        <v>28</v>
      </c>
      <c r="D27" s="24">
        <v>2.3829998970031698</v>
      </c>
      <c r="F27" s="17">
        <v>44769</v>
      </c>
      <c r="G27" s="58">
        <v>28</v>
      </c>
      <c r="H27" s="3">
        <v>28</v>
      </c>
      <c r="I27" s="3">
        <v>28</v>
      </c>
      <c r="J27" s="23">
        <v>2.3829998970031698</v>
      </c>
      <c r="K27" s="23">
        <v>2.3829998970031698</v>
      </c>
      <c r="L27" s="24">
        <v>2.3829998970031698</v>
      </c>
    </row>
    <row r="28" spans="2:12" x14ac:dyDescent="0.25">
      <c r="B28" s="17">
        <v>44770</v>
      </c>
      <c r="C28" s="58">
        <v>32</v>
      </c>
      <c r="D28" s="24">
        <v>2.30800008773803</v>
      </c>
      <c r="F28" s="17">
        <v>44770</v>
      </c>
      <c r="G28" s="58">
        <v>32</v>
      </c>
      <c r="H28" s="3">
        <v>32</v>
      </c>
      <c r="I28" s="3">
        <v>32</v>
      </c>
      <c r="J28" s="23">
        <v>2.30800008773803</v>
      </c>
      <c r="K28" s="23">
        <v>2.30800008773803</v>
      </c>
      <c r="L28" s="24">
        <v>2.30800008773803</v>
      </c>
    </row>
    <row r="29" spans="2:12" x14ac:dyDescent="0.25">
      <c r="B29" s="17">
        <v>44771</v>
      </c>
      <c r="C29" s="58">
        <v>39</v>
      </c>
      <c r="D29" s="24">
        <v>2.2980000972747798</v>
      </c>
      <c r="F29" s="17">
        <v>44771</v>
      </c>
      <c r="G29" s="58">
        <v>39</v>
      </c>
      <c r="H29" s="3">
        <v>39</v>
      </c>
      <c r="I29" s="3">
        <v>39</v>
      </c>
      <c r="J29" s="23">
        <v>2.2980000972747798</v>
      </c>
      <c r="K29" s="23">
        <v>2.2980000972747798</v>
      </c>
      <c r="L29" s="24">
        <v>2.2980000972747798</v>
      </c>
    </row>
    <row r="30" spans="2:12" x14ac:dyDescent="0.25">
      <c r="B30" s="17">
        <v>44772</v>
      </c>
      <c r="C30" s="58">
        <v>42</v>
      </c>
      <c r="D30" s="24">
        <v>2.2980000972747798</v>
      </c>
      <c r="F30" s="17">
        <v>44772</v>
      </c>
      <c r="G30" s="58">
        <v>42</v>
      </c>
      <c r="H30" s="3">
        <v>42</v>
      </c>
      <c r="I30" s="3">
        <v>42</v>
      </c>
      <c r="J30" s="23">
        <v>2.2980000972747798</v>
      </c>
      <c r="K30" s="23">
        <v>2.2980000972747798</v>
      </c>
      <c r="L30" s="24">
        <v>2.2980000972747798</v>
      </c>
    </row>
    <row r="31" spans="2:12" x14ac:dyDescent="0.25">
      <c r="B31" s="17">
        <v>44773</v>
      </c>
      <c r="C31" s="58">
        <v>39</v>
      </c>
      <c r="D31" s="24">
        <v>2.2980000972747798</v>
      </c>
      <c r="F31" s="17">
        <v>44773</v>
      </c>
      <c r="G31" s="58">
        <v>39</v>
      </c>
      <c r="H31" s="3">
        <v>39</v>
      </c>
      <c r="I31" s="3">
        <v>39</v>
      </c>
      <c r="J31" s="23">
        <v>2.2980000972747798</v>
      </c>
      <c r="K31" s="23">
        <v>2.2980000972747798</v>
      </c>
      <c r="L31" s="24">
        <v>2.2980000972747798</v>
      </c>
    </row>
    <row r="32" spans="2:12" x14ac:dyDescent="0.25">
      <c r="B32" s="17">
        <v>44774</v>
      </c>
      <c r="C32" s="58">
        <v>33</v>
      </c>
      <c r="D32" s="24">
        <v>2.2650001049041699</v>
      </c>
      <c r="F32" s="17">
        <v>44774</v>
      </c>
      <c r="G32" s="58">
        <v>33</v>
      </c>
      <c r="H32" s="3">
        <v>33</v>
      </c>
      <c r="I32" s="3">
        <v>33</v>
      </c>
      <c r="J32" s="23">
        <v>2.2650001049041699</v>
      </c>
      <c r="K32" s="23">
        <v>2.2650001049041699</v>
      </c>
      <c r="L32" s="24">
        <v>2.2650001049041699</v>
      </c>
    </row>
    <row r="33" spans="2:12" x14ac:dyDescent="0.25">
      <c r="B33" s="17">
        <v>44775</v>
      </c>
      <c r="C33" s="58">
        <v>31</v>
      </c>
      <c r="D33" s="24">
        <v>2.4630000591278001</v>
      </c>
      <c r="F33" s="17">
        <v>44775</v>
      </c>
      <c r="G33" s="58">
        <v>31</v>
      </c>
      <c r="H33" s="3">
        <v>31</v>
      </c>
      <c r="I33" s="3">
        <v>31</v>
      </c>
      <c r="J33" s="23">
        <v>2.4630000591278001</v>
      </c>
      <c r="K33" s="23">
        <v>2.4630000591278001</v>
      </c>
      <c r="L33" s="24">
        <v>2.4630000591278001</v>
      </c>
    </row>
    <row r="34" spans="2:12" x14ac:dyDescent="0.25">
      <c r="B34" s="17">
        <v>44776</v>
      </c>
      <c r="C34" s="58">
        <v>34</v>
      </c>
      <c r="D34" s="24">
        <v>2.4279999732971098</v>
      </c>
      <c r="F34" s="17">
        <v>44776</v>
      </c>
      <c r="G34" s="58">
        <v>34</v>
      </c>
      <c r="H34" s="3">
        <v>34</v>
      </c>
      <c r="I34" s="3">
        <v>34</v>
      </c>
      <c r="J34" s="23">
        <v>2.4279999732971098</v>
      </c>
      <c r="K34" s="23">
        <v>2.4279999732971098</v>
      </c>
      <c r="L34" s="24">
        <v>2.4279999732971098</v>
      </c>
    </row>
    <row r="35" spans="2:12" x14ac:dyDescent="0.25">
      <c r="B35" s="17">
        <v>44777</v>
      </c>
      <c r="C35" s="58">
        <v>30</v>
      </c>
      <c r="D35" s="24">
        <v>2.3780000209808301</v>
      </c>
      <c r="F35" s="17">
        <v>44777</v>
      </c>
      <c r="G35" s="58">
        <v>30</v>
      </c>
      <c r="H35" s="3">
        <v>30</v>
      </c>
      <c r="I35" s="3">
        <v>30</v>
      </c>
      <c r="J35" s="23">
        <v>2.3780000209808301</v>
      </c>
      <c r="K35" s="23">
        <v>2.3780000209808301</v>
      </c>
      <c r="L35" s="24">
        <v>2.3780000209808301</v>
      </c>
    </row>
    <row r="36" spans="2:12" x14ac:dyDescent="0.25">
      <c r="B36" s="17">
        <v>44778</v>
      </c>
      <c r="C36" s="58">
        <v>31</v>
      </c>
      <c r="D36" s="24">
        <v>2.41000008583068</v>
      </c>
      <c r="F36" s="17">
        <v>44778</v>
      </c>
      <c r="G36" s="58">
        <v>31</v>
      </c>
      <c r="H36" s="3">
        <v>31</v>
      </c>
      <c r="I36" s="3">
        <v>31</v>
      </c>
      <c r="J36" s="23">
        <v>2.41000008583068</v>
      </c>
      <c r="K36" s="23">
        <v>2.41000008583068</v>
      </c>
      <c r="L36" s="24">
        <v>2.41000008583068</v>
      </c>
    </row>
    <row r="37" spans="2:12" x14ac:dyDescent="0.25">
      <c r="B37" s="17">
        <v>44779</v>
      </c>
      <c r="C37" s="58">
        <v>31</v>
      </c>
      <c r="D37" s="24">
        <v>2.41000008583068</v>
      </c>
      <c r="F37" s="17">
        <v>44779</v>
      </c>
      <c r="G37" s="58">
        <v>31</v>
      </c>
      <c r="H37" s="3">
        <v>31</v>
      </c>
      <c r="I37" s="3">
        <v>31</v>
      </c>
      <c r="J37" s="23">
        <v>2.41000008583068</v>
      </c>
      <c r="K37" s="23">
        <v>2.41000008583068</v>
      </c>
      <c r="L37" s="24">
        <v>2.41000008583068</v>
      </c>
    </row>
    <row r="38" spans="2:12" x14ac:dyDescent="0.25">
      <c r="B38" s="17">
        <v>44780</v>
      </c>
      <c r="C38" s="58">
        <v>30</v>
      </c>
      <c r="D38" s="24">
        <v>2.41000008583068</v>
      </c>
      <c r="F38" s="17">
        <v>44780</v>
      </c>
      <c r="G38" s="58">
        <v>30</v>
      </c>
      <c r="H38" s="3">
        <v>30</v>
      </c>
      <c r="I38" s="3">
        <v>30</v>
      </c>
      <c r="J38" s="23">
        <v>2.41000008583068</v>
      </c>
      <c r="K38" s="23">
        <v>2.41000008583068</v>
      </c>
      <c r="L38" s="24">
        <v>2.41000008583068</v>
      </c>
    </row>
    <row r="39" spans="2:12" x14ac:dyDescent="0.25">
      <c r="B39" s="17">
        <v>44781</v>
      </c>
      <c r="C39" s="58">
        <v>30</v>
      </c>
      <c r="D39" s="24">
        <v>2.46000003814697</v>
      </c>
      <c r="F39" s="17">
        <v>44781</v>
      </c>
      <c r="G39" s="58">
        <v>30</v>
      </c>
      <c r="H39" s="3">
        <v>30</v>
      </c>
      <c r="I39" s="3">
        <v>30</v>
      </c>
      <c r="J39" s="23">
        <v>2.46000003814697</v>
      </c>
      <c r="K39" s="23">
        <v>2.46000003814697</v>
      </c>
      <c r="L39" s="24">
        <v>2.46000003814697</v>
      </c>
    </row>
    <row r="40" spans="2:12" x14ac:dyDescent="0.25">
      <c r="B40" s="17">
        <v>44782</v>
      </c>
      <c r="C40" s="58">
        <v>42</v>
      </c>
      <c r="D40" s="24">
        <v>2.5699999332427899</v>
      </c>
      <c r="F40" s="17">
        <v>44782</v>
      </c>
      <c r="G40" s="58">
        <v>42</v>
      </c>
      <c r="H40" s="3">
        <v>42</v>
      </c>
      <c r="I40" s="3">
        <v>42</v>
      </c>
      <c r="J40" s="23">
        <v>2.5699999332427899</v>
      </c>
      <c r="K40" s="23">
        <v>2.5699999332427899</v>
      </c>
      <c r="L40" s="24">
        <v>2.5699999332427899</v>
      </c>
    </row>
    <row r="41" spans="2:12" x14ac:dyDescent="0.25">
      <c r="B41" s="17">
        <v>44783</v>
      </c>
      <c r="C41" s="58">
        <v>31</v>
      </c>
      <c r="D41" s="24">
        <v>2.53500008583068</v>
      </c>
      <c r="F41" s="17">
        <v>44783</v>
      </c>
      <c r="G41" s="58">
        <v>31</v>
      </c>
      <c r="H41" s="3">
        <v>31</v>
      </c>
      <c r="I41" s="3">
        <v>31</v>
      </c>
      <c r="J41" s="23">
        <v>2.53500008583068</v>
      </c>
      <c r="K41" s="23">
        <v>2.53500008583068</v>
      </c>
      <c r="L41" s="24">
        <v>2.53500008583068</v>
      </c>
    </row>
    <row r="42" spans="2:12" x14ac:dyDescent="0.25">
      <c r="B42" s="17">
        <v>44784</v>
      </c>
      <c r="C42" s="58">
        <v>41</v>
      </c>
      <c r="D42" s="24">
        <v>2.4900000095367401</v>
      </c>
      <c r="F42" s="17">
        <v>44784</v>
      </c>
      <c r="G42" s="58">
        <v>41</v>
      </c>
      <c r="H42" s="3">
        <v>41</v>
      </c>
      <c r="I42" s="3">
        <v>41</v>
      </c>
      <c r="J42" s="23">
        <v>2.4900000095367401</v>
      </c>
      <c r="K42" s="23">
        <v>2.4900000095367401</v>
      </c>
      <c r="L42" s="24">
        <v>2.4900000095367401</v>
      </c>
    </row>
    <row r="43" spans="2:12" x14ac:dyDescent="0.25">
      <c r="B43" s="17">
        <v>44785</v>
      </c>
      <c r="C43" s="58">
        <v>42</v>
      </c>
      <c r="D43" s="24">
        <v>2.5</v>
      </c>
      <c r="F43" s="17">
        <v>44785</v>
      </c>
      <c r="G43" s="58">
        <v>42</v>
      </c>
      <c r="H43" s="3">
        <v>42</v>
      </c>
      <c r="I43" s="3">
        <v>42</v>
      </c>
      <c r="J43" s="23">
        <v>2.5</v>
      </c>
      <c r="K43" s="23">
        <v>2.5</v>
      </c>
      <c r="L43" s="24">
        <v>2.5</v>
      </c>
    </row>
    <row r="44" spans="2:12" x14ac:dyDescent="0.25">
      <c r="B44" s="17">
        <v>44786</v>
      </c>
      <c r="C44" s="58">
        <v>46</v>
      </c>
      <c r="D44" s="24">
        <v>2.5</v>
      </c>
      <c r="F44" s="17">
        <v>44786</v>
      </c>
      <c r="G44" s="58">
        <v>46</v>
      </c>
      <c r="H44" s="3">
        <v>46</v>
      </c>
      <c r="I44" s="3">
        <v>46</v>
      </c>
      <c r="J44" s="23">
        <v>2.5</v>
      </c>
      <c r="K44" s="23">
        <v>2.5</v>
      </c>
      <c r="L44" s="24">
        <v>2.5</v>
      </c>
    </row>
    <row r="45" spans="2:12" x14ac:dyDescent="0.25">
      <c r="B45" s="17">
        <v>44787</v>
      </c>
      <c r="C45" s="58">
        <v>47</v>
      </c>
      <c r="D45" s="24">
        <v>2.5</v>
      </c>
      <c r="F45" s="17">
        <v>44787</v>
      </c>
      <c r="G45" s="58">
        <v>47</v>
      </c>
      <c r="H45" s="3">
        <v>47</v>
      </c>
      <c r="I45" s="3">
        <v>47</v>
      </c>
      <c r="J45" s="23">
        <v>2.5</v>
      </c>
      <c r="K45" s="23">
        <v>2.5</v>
      </c>
      <c r="L45" s="24">
        <v>2.5</v>
      </c>
    </row>
    <row r="46" spans="2:12" x14ac:dyDescent="0.25">
      <c r="B46" s="17">
        <v>44788</v>
      </c>
      <c r="C46" s="58">
        <v>45</v>
      </c>
      <c r="D46" s="24">
        <v>2.51300001144409</v>
      </c>
      <c r="F46" s="17">
        <v>44788</v>
      </c>
      <c r="G46" s="58">
        <v>45</v>
      </c>
      <c r="H46" s="3">
        <v>45</v>
      </c>
      <c r="I46" s="3">
        <v>45</v>
      </c>
      <c r="J46" s="23">
        <v>2.51300001144409</v>
      </c>
      <c r="K46" s="23">
        <v>2.51300001144409</v>
      </c>
      <c r="L46" s="24">
        <v>2.51300001144409</v>
      </c>
    </row>
    <row r="47" spans="2:12" x14ac:dyDescent="0.25">
      <c r="B47" s="17">
        <v>44789</v>
      </c>
      <c r="C47" s="58">
        <v>44</v>
      </c>
      <c r="D47" s="24">
        <v>2.59800004959106</v>
      </c>
      <c r="F47" s="17">
        <v>44789</v>
      </c>
      <c r="G47" s="58">
        <v>44</v>
      </c>
      <c r="H47" s="3">
        <v>44</v>
      </c>
      <c r="I47" s="3">
        <v>44</v>
      </c>
      <c r="J47" s="23">
        <v>2.59800004959106</v>
      </c>
      <c r="K47" s="23">
        <v>2.59800004959106</v>
      </c>
      <c r="L47" s="24">
        <v>2.59800004959106</v>
      </c>
    </row>
    <row r="48" spans="2:12" x14ac:dyDescent="0.25">
      <c r="B48" s="17">
        <v>44790</v>
      </c>
      <c r="C48" s="58">
        <v>41</v>
      </c>
      <c r="D48" s="24">
        <v>2.5680000782012899</v>
      </c>
      <c r="F48" s="17">
        <v>44790</v>
      </c>
      <c r="G48" s="58">
        <v>41</v>
      </c>
      <c r="H48" s="3">
        <v>41</v>
      </c>
      <c r="I48" s="3">
        <v>41</v>
      </c>
      <c r="J48" s="23">
        <v>2.5680000782012899</v>
      </c>
      <c r="K48" s="23">
        <v>2.5680000782012899</v>
      </c>
      <c r="L48" s="24">
        <v>2.5680000782012899</v>
      </c>
    </row>
    <row r="49" spans="2:12" x14ac:dyDescent="0.25">
      <c r="B49" s="17">
        <v>44791</v>
      </c>
      <c r="C49" s="58">
        <v>30</v>
      </c>
      <c r="D49" s="24">
        <v>2.5650000572204501</v>
      </c>
      <c r="F49" s="17">
        <v>44791</v>
      </c>
      <c r="G49" s="58">
        <v>30</v>
      </c>
      <c r="H49" s="3">
        <v>30</v>
      </c>
      <c r="I49" s="3">
        <v>30</v>
      </c>
      <c r="J49" s="23">
        <v>2.5650000572204501</v>
      </c>
      <c r="K49" s="23">
        <v>2.5650000572204501</v>
      </c>
      <c r="L49" s="24">
        <v>2.5650000572204501</v>
      </c>
    </row>
    <row r="50" spans="2:12" x14ac:dyDescent="0.25">
      <c r="B50" s="17">
        <v>44792</v>
      </c>
      <c r="C50" s="58">
        <v>33</v>
      </c>
      <c r="D50" s="24">
        <v>2.5799999237060498</v>
      </c>
      <c r="F50" s="17">
        <v>44792</v>
      </c>
      <c r="G50" s="58">
        <v>33</v>
      </c>
      <c r="H50" s="3">
        <v>33</v>
      </c>
      <c r="I50" s="3">
        <v>33</v>
      </c>
      <c r="J50" s="23">
        <v>2.5799999237060498</v>
      </c>
      <c r="K50" s="23">
        <v>2.5799999237060498</v>
      </c>
      <c r="L50" s="24">
        <v>2.5799999237060498</v>
      </c>
    </row>
    <row r="51" spans="2:12" x14ac:dyDescent="0.25">
      <c r="B51" s="17">
        <v>44793</v>
      </c>
      <c r="C51" s="58">
        <v>29</v>
      </c>
      <c r="D51" s="24">
        <v>2.5799999237060498</v>
      </c>
      <c r="F51" s="17">
        <v>44793</v>
      </c>
      <c r="G51" s="58">
        <v>29</v>
      </c>
      <c r="H51" s="3">
        <v>29</v>
      </c>
      <c r="I51" s="3">
        <v>29</v>
      </c>
      <c r="J51" s="23">
        <v>2.5799999237060498</v>
      </c>
      <c r="K51" s="23">
        <v>2.5799999237060498</v>
      </c>
      <c r="L51" s="24">
        <v>2.5799999237060498</v>
      </c>
    </row>
    <row r="52" spans="2:12" x14ac:dyDescent="0.25">
      <c r="B52" s="17">
        <v>44794</v>
      </c>
      <c r="C52" s="58">
        <v>27</v>
      </c>
      <c r="D52" s="24">
        <v>2.5799999237060498</v>
      </c>
      <c r="F52" s="17">
        <v>44794</v>
      </c>
      <c r="G52" s="58">
        <v>27</v>
      </c>
      <c r="H52" s="3">
        <v>27</v>
      </c>
      <c r="I52" s="3">
        <v>27</v>
      </c>
      <c r="J52" s="23">
        <v>2.5799999237060498</v>
      </c>
      <c r="K52" s="23">
        <v>2.5799999237060498</v>
      </c>
      <c r="L52" s="24">
        <v>2.5799999237060498</v>
      </c>
    </row>
    <row r="53" spans="2:12" ht="15.75" thickBot="1" x14ac:dyDescent="0.3">
      <c r="B53" s="18">
        <v>44795</v>
      </c>
      <c r="C53" s="58">
        <v>29</v>
      </c>
      <c r="D53" s="24">
        <v>2.6480000019073402</v>
      </c>
      <c r="F53" s="18">
        <v>44795</v>
      </c>
      <c r="G53" s="58">
        <v>29</v>
      </c>
      <c r="H53" s="3">
        <v>29</v>
      </c>
      <c r="I53" s="3">
        <v>29</v>
      </c>
      <c r="J53" s="23">
        <v>2.6480000019073402</v>
      </c>
      <c r="K53" s="23">
        <v>2.6480000019073402</v>
      </c>
      <c r="L53" s="24">
        <v>2.6480000019073402</v>
      </c>
    </row>
    <row r="54" spans="2:12" x14ac:dyDescent="0.25">
      <c r="B54" s="16">
        <v>44796</v>
      </c>
      <c r="C54" s="58">
        <v>28</v>
      </c>
      <c r="D54" s="24">
        <v>2.7030000686645499</v>
      </c>
      <c r="F54" s="16">
        <v>44796</v>
      </c>
      <c r="G54" s="58">
        <v>28</v>
      </c>
      <c r="H54" s="3">
        <v>28</v>
      </c>
      <c r="I54" s="3">
        <v>28</v>
      </c>
      <c r="J54" s="23">
        <v>2.7030000686645499</v>
      </c>
      <c r="K54" s="23">
        <v>2.7030000686645499</v>
      </c>
      <c r="L54" s="24">
        <v>2.7030000686645499</v>
      </c>
    </row>
    <row r="55" spans="2:12" x14ac:dyDescent="0.25">
      <c r="B55" s="17">
        <v>44797</v>
      </c>
      <c r="C55" s="58">
        <v>25</v>
      </c>
      <c r="D55" s="24">
        <v>2.7130000591278001</v>
      </c>
      <c r="F55" s="17">
        <v>44797</v>
      </c>
      <c r="G55" s="58">
        <v>25</v>
      </c>
      <c r="H55" s="3">
        <v>25</v>
      </c>
      <c r="I55" s="3">
        <v>25</v>
      </c>
      <c r="J55" s="23">
        <v>2.7130000591278001</v>
      </c>
      <c r="K55" s="23">
        <v>2.7130000591278001</v>
      </c>
      <c r="L55" s="24">
        <v>2.7130000591278001</v>
      </c>
    </row>
    <row r="56" spans="2:12" x14ac:dyDescent="0.25">
      <c r="B56" s="17">
        <v>44798</v>
      </c>
      <c r="C56" s="58">
        <v>25</v>
      </c>
      <c r="D56" s="24">
        <v>2.7300000190734801</v>
      </c>
      <c r="F56" s="17">
        <v>44798</v>
      </c>
      <c r="G56" s="58">
        <v>25</v>
      </c>
      <c r="H56" s="3">
        <v>25</v>
      </c>
      <c r="I56" s="3">
        <v>25</v>
      </c>
      <c r="J56" s="23">
        <v>2.7300000190734801</v>
      </c>
      <c r="K56" s="23">
        <v>2.7300000190734801</v>
      </c>
      <c r="L56" s="24">
        <v>2.7300000190734801</v>
      </c>
    </row>
    <row r="57" spans="2:12" x14ac:dyDescent="0.25">
      <c r="B57" s="17">
        <v>44799</v>
      </c>
      <c r="C57" s="58">
        <v>27</v>
      </c>
      <c r="D57" s="24">
        <v>2.75500011444091</v>
      </c>
      <c r="F57" s="17">
        <v>44799</v>
      </c>
      <c r="G57" s="58">
        <v>27</v>
      </c>
      <c r="H57" s="3">
        <v>27</v>
      </c>
      <c r="I57" s="3">
        <v>27</v>
      </c>
      <c r="J57" s="23">
        <v>2.75500011444091</v>
      </c>
      <c r="K57" s="23">
        <v>2.75500011444091</v>
      </c>
      <c r="L57" s="24">
        <v>2.75500011444091</v>
      </c>
    </row>
    <row r="58" spans="2:12" x14ac:dyDescent="0.25">
      <c r="B58" s="17">
        <v>44800</v>
      </c>
      <c r="C58" s="58">
        <v>28</v>
      </c>
      <c r="D58" s="24">
        <v>2.75500011444091</v>
      </c>
      <c r="F58" s="17">
        <v>44800</v>
      </c>
      <c r="G58" s="58">
        <v>28</v>
      </c>
      <c r="H58" s="3">
        <v>28</v>
      </c>
      <c r="I58" s="3">
        <v>28</v>
      </c>
      <c r="J58" s="23">
        <v>2.75500011444091</v>
      </c>
      <c r="K58" s="23">
        <v>2.75500011444091</v>
      </c>
      <c r="L58" s="24">
        <v>2.75500011444091</v>
      </c>
    </row>
    <row r="59" spans="2:12" x14ac:dyDescent="0.25">
      <c r="B59" s="17">
        <v>44801</v>
      </c>
      <c r="C59" s="58">
        <v>28</v>
      </c>
      <c r="D59" s="24">
        <v>2.75500011444091</v>
      </c>
      <c r="F59" s="17">
        <v>44801</v>
      </c>
      <c r="G59" s="58">
        <v>28</v>
      </c>
      <c r="H59" s="3">
        <v>28</v>
      </c>
      <c r="I59" s="3">
        <v>28</v>
      </c>
      <c r="J59" s="23">
        <v>2.75500011444091</v>
      </c>
      <c r="K59" s="23">
        <v>2.75500011444091</v>
      </c>
      <c r="L59" s="24">
        <v>2.75500011444091</v>
      </c>
    </row>
    <row r="60" spans="2:12" x14ac:dyDescent="0.25">
      <c r="B60" s="17">
        <v>44802</v>
      </c>
      <c r="C60" s="58">
        <v>24</v>
      </c>
      <c r="D60" s="24">
        <v>2.7980000972747798</v>
      </c>
      <c r="F60" s="17">
        <v>44802</v>
      </c>
      <c r="G60" s="58">
        <v>24</v>
      </c>
      <c r="H60" s="3">
        <v>24</v>
      </c>
      <c r="I60" s="3">
        <v>24</v>
      </c>
      <c r="J60" s="23">
        <v>2.7980000972747798</v>
      </c>
      <c r="K60" s="23">
        <v>2.7980000972747798</v>
      </c>
      <c r="L60" s="24">
        <v>2.7980000972747798</v>
      </c>
    </row>
    <row r="61" spans="2:12" x14ac:dyDescent="0.25">
      <c r="B61" s="17">
        <v>44803</v>
      </c>
      <c r="C61" s="58">
        <v>27</v>
      </c>
      <c r="D61" s="24">
        <v>2.8729999065399099</v>
      </c>
      <c r="F61" s="17">
        <v>44803</v>
      </c>
      <c r="G61" s="58">
        <v>27</v>
      </c>
      <c r="H61" s="3">
        <v>27</v>
      </c>
      <c r="I61" s="3">
        <v>27</v>
      </c>
      <c r="J61" s="23">
        <v>2.8729999065399099</v>
      </c>
      <c r="K61" s="23">
        <v>2.8729999065399099</v>
      </c>
      <c r="L61" s="24">
        <v>2.8729999065399099</v>
      </c>
    </row>
    <row r="62" spans="2:12" x14ac:dyDescent="0.25">
      <c r="B62" s="17">
        <v>44804</v>
      </c>
      <c r="C62" s="58">
        <v>23</v>
      </c>
      <c r="D62" s="24">
        <v>2.8599998950958199</v>
      </c>
      <c r="F62" s="17">
        <v>44804</v>
      </c>
      <c r="G62" s="58">
        <v>23</v>
      </c>
      <c r="H62" s="3">
        <v>23</v>
      </c>
      <c r="I62" s="3">
        <v>23</v>
      </c>
      <c r="J62" s="23">
        <v>2.8599998950958199</v>
      </c>
      <c r="K62" s="23">
        <v>2.8599998950958199</v>
      </c>
      <c r="L62" s="24">
        <v>2.8599998950958199</v>
      </c>
    </row>
    <row r="63" spans="2:12" x14ac:dyDescent="0.25">
      <c r="B63" s="17">
        <v>44805</v>
      </c>
      <c r="C63" s="58">
        <v>20</v>
      </c>
      <c r="D63" s="24">
        <v>2.8629999160766602</v>
      </c>
      <c r="F63" s="17">
        <v>44805</v>
      </c>
      <c r="G63" s="58">
        <v>20</v>
      </c>
      <c r="H63" s="3">
        <v>20</v>
      </c>
      <c r="I63" s="3">
        <v>20</v>
      </c>
      <c r="J63" s="23">
        <v>2.8629999160766602</v>
      </c>
      <c r="K63" s="23">
        <v>2.8629999160766602</v>
      </c>
      <c r="L63" s="24">
        <v>2.8629999160766602</v>
      </c>
    </row>
    <row r="64" spans="2:12" x14ac:dyDescent="0.25">
      <c r="B64" s="17">
        <v>44806</v>
      </c>
      <c r="C64" s="58">
        <v>25</v>
      </c>
      <c r="D64" s="24">
        <v>2.8199999332427899</v>
      </c>
      <c r="F64" s="17">
        <v>44806</v>
      </c>
      <c r="G64" s="58">
        <v>25</v>
      </c>
      <c r="H64" s="3">
        <v>25</v>
      </c>
      <c r="I64" s="3">
        <v>25</v>
      </c>
      <c r="J64" s="23">
        <v>2.8199999332427899</v>
      </c>
      <c r="K64" s="23">
        <v>2.8199999332427899</v>
      </c>
      <c r="L64" s="24">
        <v>2.8199999332427899</v>
      </c>
    </row>
    <row r="65" spans="2:12" x14ac:dyDescent="0.25">
      <c r="B65" s="17">
        <v>44807</v>
      </c>
      <c r="C65" s="58">
        <v>21</v>
      </c>
      <c r="D65" s="24">
        <v>2.8199999332427899</v>
      </c>
      <c r="F65" s="17">
        <v>44807</v>
      </c>
      <c r="G65" s="58">
        <v>21</v>
      </c>
      <c r="H65" s="3">
        <v>21</v>
      </c>
      <c r="I65" s="3">
        <v>21</v>
      </c>
      <c r="J65" s="23">
        <v>2.8199999332427899</v>
      </c>
      <c r="K65" s="23">
        <v>2.8199999332427899</v>
      </c>
      <c r="L65" s="24">
        <v>2.8199999332427899</v>
      </c>
    </row>
    <row r="66" spans="2:12" x14ac:dyDescent="0.25">
      <c r="B66" s="17">
        <v>44808</v>
      </c>
      <c r="C66" s="58">
        <v>20</v>
      </c>
      <c r="D66" s="24">
        <v>2.8199999332427899</v>
      </c>
      <c r="F66" s="17">
        <v>44808</v>
      </c>
      <c r="G66" s="58">
        <v>20</v>
      </c>
      <c r="H66" s="3">
        <v>20</v>
      </c>
      <c r="I66" s="3">
        <v>20</v>
      </c>
      <c r="J66" s="23">
        <v>2.8199999332427899</v>
      </c>
      <c r="K66" s="23">
        <v>2.8199999332427899</v>
      </c>
      <c r="L66" s="24">
        <v>2.8199999332427899</v>
      </c>
    </row>
    <row r="67" spans="2:12" x14ac:dyDescent="0.25">
      <c r="B67" s="17">
        <v>44809</v>
      </c>
      <c r="C67" s="58">
        <v>23</v>
      </c>
      <c r="D67" s="24">
        <v>2.8199999332427899</v>
      </c>
      <c r="F67" s="17">
        <v>44809</v>
      </c>
      <c r="G67" s="58">
        <v>23</v>
      </c>
      <c r="H67" s="3">
        <v>23</v>
      </c>
      <c r="I67" s="3">
        <v>23</v>
      </c>
      <c r="J67" s="23">
        <v>2.8199999332427899</v>
      </c>
      <c r="K67" s="23">
        <v>2.8199999332427899</v>
      </c>
      <c r="L67" s="24">
        <v>2.8199999332427899</v>
      </c>
    </row>
    <row r="68" spans="2:12" x14ac:dyDescent="0.25">
      <c r="B68" s="17">
        <v>44810</v>
      </c>
      <c r="C68" s="58">
        <v>22</v>
      </c>
      <c r="D68" s="24">
        <v>2.8450000286102202</v>
      </c>
      <c r="F68" s="17">
        <v>44810</v>
      </c>
      <c r="G68" s="58">
        <v>22</v>
      </c>
      <c r="H68" s="3">
        <v>22</v>
      </c>
      <c r="I68" s="3">
        <v>22</v>
      </c>
      <c r="J68" s="23">
        <v>2.8450000286102202</v>
      </c>
      <c r="K68" s="23">
        <v>2.8450000286102202</v>
      </c>
      <c r="L68" s="24">
        <v>2.8450000286102202</v>
      </c>
    </row>
    <row r="69" spans="2:12" x14ac:dyDescent="0.25">
      <c r="B69" s="17">
        <v>44811</v>
      </c>
      <c r="C69" s="58">
        <v>24</v>
      </c>
      <c r="D69" s="24">
        <v>2.93300008773803</v>
      </c>
      <c r="F69" s="17">
        <v>44811</v>
      </c>
      <c r="G69" s="58">
        <v>24</v>
      </c>
      <c r="H69" s="3">
        <v>24</v>
      </c>
      <c r="I69" s="3">
        <v>24</v>
      </c>
      <c r="J69" s="23">
        <v>2.93300008773803</v>
      </c>
      <c r="K69" s="23">
        <v>2.93300008773803</v>
      </c>
      <c r="L69" s="24">
        <v>2.93300008773803</v>
      </c>
    </row>
    <row r="70" spans="2:12" x14ac:dyDescent="0.25">
      <c r="B70" s="17">
        <v>44812</v>
      </c>
      <c r="C70" s="58">
        <v>20</v>
      </c>
      <c r="D70" s="24">
        <v>2.95000004768371</v>
      </c>
      <c r="F70" s="17">
        <v>44812</v>
      </c>
      <c r="G70" s="58">
        <v>20</v>
      </c>
      <c r="H70" s="3">
        <v>20</v>
      </c>
      <c r="I70" s="3">
        <v>20</v>
      </c>
      <c r="J70" s="23">
        <v>2.95000004768371</v>
      </c>
      <c r="K70" s="23">
        <v>2.95000004768371</v>
      </c>
      <c r="L70" s="24">
        <v>2.95000004768371</v>
      </c>
    </row>
    <row r="71" spans="2:12" x14ac:dyDescent="0.25">
      <c r="B71" s="17">
        <v>44813</v>
      </c>
      <c r="C71" s="58">
        <v>22</v>
      </c>
      <c r="D71" s="24">
        <v>2.9679999351501398</v>
      </c>
      <c r="F71" s="17">
        <v>44813</v>
      </c>
      <c r="G71" s="58">
        <v>22</v>
      </c>
      <c r="H71" s="3">
        <v>22</v>
      </c>
      <c r="I71" s="3">
        <v>22</v>
      </c>
      <c r="J71" s="23">
        <v>2.9679999351501398</v>
      </c>
      <c r="K71" s="23">
        <v>2.9679999351501398</v>
      </c>
      <c r="L71" s="24">
        <v>2.9679999351501398</v>
      </c>
    </row>
    <row r="72" spans="2:12" x14ac:dyDescent="0.25">
      <c r="B72" s="17">
        <v>44814</v>
      </c>
      <c r="C72" s="58">
        <v>28</v>
      </c>
      <c r="D72" s="24">
        <v>2.9679999351501398</v>
      </c>
      <c r="F72" s="17">
        <v>44814</v>
      </c>
      <c r="G72" s="58">
        <v>28</v>
      </c>
      <c r="H72" s="3">
        <v>28</v>
      </c>
      <c r="I72" s="3">
        <v>28</v>
      </c>
      <c r="J72" s="23">
        <v>2.9679999351501398</v>
      </c>
      <c r="K72" s="23">
        <v>2.9679999351501398</v>
      </c>
      <c r="L72" s="24">
        <v>2.9679999351501398</v>
      </c>
    </row>
    <row r="73" spans="2:12" x14ac:dyDescent="0.25">
      <c r="B73" s="17">
        <v>44815</v>
      </c>
      <c r="C73" s="58">
        <v>26</v>
      </c>
      <c r="D73" s="24">
        <v>2.9679999351501398</v>
      </c>
      <c r="F73" s="17">
        <v>44815</v>
      </c>
      <c r="G73" s="58">
        <v>26</v>
      </c>
      <c r="H73" s="3">
        <v>26</v>
      </c>
      <c r="I73" s="3">
        <v>26</v>
      </c>
      <c r="J73" s="23">
        <v>2.9679999351501398</v>
      </c>
      <c r="K73" s="23">
        <v>2.9679999351501398</v>
      </c>
      <c r="L73" s="24">
        <v>2.9679999351501398</v>
      </c>
    </row>
    <row r="74" spans="2:12" x14ac:dyDescent="0.25">
      <c r="B74" s="17">
        <v>44816</v>
      </c>
      <c r="C74" s="58">
        <v>25</v>
      </c>
      <c r="D74" s="24">
        <v>2.9949998855590798</v>
      </c>
      <c r="F74" s="17">
        <v>44816</v>
      </c>
      <c r="G74" s="58">
        <v>25</v>
      </c>
      <c r="H74" s="3">
        <v>25</v>
      </c>
      <c r="I74" s="3">
        <v>25</v>
      </c>
      <c r="J74" s="23">
        <v>2.9949998855590798</v>
      </c>
      <c r="K74" s="23">
        <v>2.9949998855590798</v>
      </c>
      <c r="L74" s="24">
        <v>2.9949998855590798</v>
      </c>
    </row>
    <row r="75" spans="2:12" x14ac:dyDescent="0.25">
      <c r="B75" s="17">
        <v>44817</v>
      </c>
      <c r="C75" s="58">
        <v>34</v>
      </c>
      <c r="D75" s="24">
        <v>3.1530001163482599</v>
      </c>
      <c r="F75" s="17">
        <v>44817</v>
      </c>
      <c r="G75" s="58">
        <v>34</v>
      </c>
      <c r="H75" s="3">
        <v>34</v>
      </c>
      <c r="I75" s="3">
        <v>34</v>
      </c>
      <c r="J75" s="23">
        <v>3.1530001163482599</v>
      </c>
      <c r="K75" s="23">
        <v>3.1530001163482599</v>
      </c>
      <c r="L75" s="24">
        <v>3.1530001163482599</v>
      </c>
    </row>
    <row r="76" spans="2:12" x14ac:dyDescent="0.25">
      <c r="B76" s="17">
        <v>44818</v>
      </c>
      <c r="C76" s="58">
        <v>27</v>
      </c>
      <c r="D76" s="24">
        <v>3.1280000209808301</v>
      </c>
      <c r="F76" s="17">
        <v>44818</v>
      </c>
      <c r="G76" s="58">
        <v>27</v>
      </c>
      <c r="H76" s="3">
        <v>27</v>
      </c>
      <c r="I76" s="3">
        <v>27</v>
      </c>
      <c r="J76" s="23">
        <v>3.1280000209808301</v>
      </c>
      <c r="K76" s="23">
        <v>3.1280000209808301</v>
      </c>
      <c r="L76" s="24">
        <v>3.1280000209808301</v>
      </c>
    </row>
    <row r="77" spans="2:12" x14ac:dyDescent="0.25">
      <c r="B77" s="17">
        <v>44819</v>
      </c>
      <c r="C77" s="58">
        <v>28</v>
      </c>
      <c r="D77" s="24">
        <v>3.0950000286102202</v>
      </c>
      <c r="F77" s="17">
        <v>44819</v>
      </c>
      <c r="G77" s="58">
        <v>28</v>
      </c>
      <c r="H77" s="3">
        <v>28</v>
      </c>
      <c r="I77" s="3">
        <v>28</v>
      </c>
      <c r="J77" s="23">
        <v>3.0950000286102202</v>
      </c>
      <c r="K77" s="23">
        <v>3.0950000286102202</v>
      </c>
      <c r="L77" s="24">
        <v>3.0950000286102202</v>
      </c>
    </row>
    <row r="78" spans="2:12" x14ac:dyDescent="0.25">
      <c r="B78" s="17">
        <v>44820</v>
      </c>
      <c r="C78" s="58">
        <v>20</v>
      </c>
      <c r="D78" s="24">
        <v>3.0699999332427899</v>
      </c>
      <c r="F78" s="17">
        <v>44820</v>
      </c>
      <c r="G78" s="58">
        <v>20</v>
      </c>
      <c r="H78" s="3">
        <v>20</v>
      </c>
      <c r="I78" s="3">
        <v>20</v>
      </c>
      <c r="J78" s="23">
        <v>3.0699999332427899</v>
      </c>
      <c r="K78" s="23">
        <v>3.0699999332427899</v>
      </c>
      <c r="L78" s="24">
        <v>3.0699999332427899</v>
      </c>
    </row>
    <row r="79" spans="2:12" x14ac:dyDescent="0.25">
      <c r="B79" s="17">
        <v>44821</v>
      </c>
      <c r="C79" s="58">
        <v>22</v>
      </c>
      <c r="D79" s="24">
        <v>3.0699999332427899</v>
      </c>
      <c r="F79" s="17">
        <v>44821</v>
      </c>
      <c r="G79" s="58">
        <v>22</v>
      </c>
      <c r="H79" s="3">
        <v>22</v>
      </c>
      <c r="I79" s="3">
        <v>22</v>
      </c>
      <c r="J79" s="23">
        <v>3.0699999332427899</v>
      </c>
      <c r="K79" s="23">
        <v>3.0699999332427899</v>
      </c>
      <c r="L79" s="24">
        <v>3.0699999332427899</v>
      </c>
    </row>
    <row r="80" spans="2:12" x14ac:dyDescent="0.25">
      <c r="B80" s="17">
        <v>44822</v>
      </c>
      <c r="C80" s="58">
        <v>27</v>
      </c>
      <c r="D80" s="24">
        <v>3.0699999332427899</v>
      </c>
      <c r="F80" s="17">
        <v>44822</v>
      </c>
      <c r="G80" s="58">
        <v>27</v>
      </c>
      <c r="H80" s="3">
        <v>27</v>
      </c>
      <c r="I80" s="3">
        <v>27</v>
      </c>
      <c r="J80" s="23">
        <v>3.0699999332427899</v>
      </c>
      <c r="K80" s="23">
        <v>3.0699999332427899</v>
      </c>
      <c r="L80" s="24">
        <v>3.0699999332427899</v>
      </c>
    </row>
    <row r="81" spans="2:12" x14ac:dyDescent="0.25">
      <c r="B81" s="17">
        <v>44823</v>
      </c>
      <c r="C81" s="58">
        <v>21</v>
      </c>
      <c r="D81" s="24">
        <v>3.03500008583068</v>
      </c>
      <c r="F81" s="17">
        <v>44823</v>
      </c>
      <c r="G81" s="58">
        <v>21</v>
      </c>
      <c r="H81" s="3">
        <v>21</v>
      </c>
      <c r="I81" s="3">
        <v>21</v>
      </c>
      <c r="J81" s="23">
        <v>3.03500008583068</v>
      </c>
      <c r="K81" s="23">
        <v>3.03500008583068</v>
      </c>
      <c r="L81" s="24">
        <v>3.03500008583068</v>
      </c>
    </row>
    <row r="82" spans="2:12" x14ac:dyDescent="0.25">
      <c r="B82" s="17">
        <v>44824</v>
      </c>
      <c r="C82" s="58">
        <v>23</v>
      </c>
      <c r="D82" s="24">
        <v>3.2430000305175701</v>
      </c>
      <c r="F82" s="17">
        <v>44824</v>
      </c>
      <c r="G82" s="58">
        <v>23</v>
      </c>
      <c r="H82" s="3">
        <v>23</v>
      </c>
      <c r="I82" s="3">
        <v>23</v>
      </c>
      <c r="J82" s="23">
        <v>3.2430000305175701</v>
      </c>
      <c r="K82" s="23">
        <v>3.2430000305175701</v>
      </c>
      <c r="L82" s="24">
        <v>3.2430000305175701</v>
      </c>
    </row>
    <row r="83" spans="2:12" x14ac:dyDescent="0.25">
      <c r="B83" s="17">
        <v>44825</v>
      </c>
      <c r="C83" s="58">
        <v>23</v>
      </c>
      <c r="D83" s="24">
        <v>3.1900000572204501</v>
      </c>
      <c r="F83" s="17">
        <v>44825</v>
      </c>
      <c r="G83" s="58">
        <v>23</v>
      </c>
      <c r="H83" s="3">
        <v>23</v>
      </c>
      <c r="I83" s="3">
        <v>23</v>
      </c>
      <c r="J83" s="23">
        <v>3.1900000572204501</v>
      </c>
      <c r="K83" s="23">
        <v>3.1900000572204501</v>
      </c>
      <c r="L83" s="24">
        <v>3.1900000572204501</v>
      </c>
    </row>
    <row r="84" spans="2:12" x14ac:dyDescent="0.25">
      <c r="B84" s="17">
        <v>44826</v>
      </c>
      <c r="C84" s="58">
        <v>22</v>
      </c>
      <c r="D84" s="24">
        <v>3.13000011444091</v>
      </c>
      <c r="F84" s="17">
        <v>44826</v>
      </c>
      <c r="G84" s="58">
        <v>22</v>
      </c>
      <c r="H84" s="3">
        <v>22</v>
      </c>
      <c r="I84" s="3">
        <v>22</v>
      </c>
      <c r="J84" s="23">
        <v>3.13000011444091</v>
      </c>
      <c r="K84" s="23">
        <v>3.13000011444091</v>
      </c>
      <c r="L84" s="24">
        <v>3.13000011444091</v>
      </c>
    </row>
    <row r="85" spans="2:12" x14ac:dyDescent="0.25">
      <c r="B85" s="17">
        <v>44827</v>
      </c>
      <c r="C85" s="58">
        <v>20</v>
      </c>
      <c r="D85" s="24">
        <v>3.10800004005432</v>
      </c>
      <c r="F85" s="17">
        <v>44827</v>
      </c>
      <c r="G85" s="58">
        <v>20</v>
      </c>
      <c r="H85" s="3">
        <v>20</v>
      </c>
      <c r="I85" s="3">
        <v>20</v>
      </c>
      <c r="J85" s="23">
        <v>3.10800004005432</v>
      </c>
      <c r="K85" s="23">
        <v>3.10800004005432</v>
      </c>
      <c r="L85" s="24">
        <v>3.10800004005432</v>
      </c>
    </row>
    <row r="86" spans="2:12" x14ac:dyDescent="0.25">
      <c r="B86" s="17">
        <v>44828</v>
      </c>
      <c r="C86" s="58">
        <v>24</v>
      </c>
      <c r="D86" s="24">
        <v>3.10800004005432</v>
      </c>
      <c r="F86" s="17">
        <v>44828</v>
      </c>
      <c r="G86" s="58">
        <v>24</v>
      </c>
      <c r="H86" s="3">
        <v>24</v>
      </c>
      <c r="I86" s="3">
        <v>24</v>
      </c>
      <c r="J86" s="23">
        <v>3.10800004005432</v>
      </c>
      <c r="K86" s="23">
        <v>3.10800004005432</v>
      </c>
      <c r="L86" s="24">
        <v>3.10800004005432</v>
      </c>
    </row>
    <row r="87" spans="2:12" x14ac:dyDescent="0.25">
      <c r="B87" s="17">
        <v>44829</v>
      </c>
      <c r="C87" s="58">
        <v>24</v>
      </c>
      <c r="D87" s="24">
        <v>3.10800004005432</v>
      </c>
      <c r="F87" s="17">
        <v>44829</v>
      </c>
      <c r="G87" s="58">
        <v>24</v>
      </c>
      <c r="H87" s="3">
        <v>24</v>
      </c>
      <c r="I87" s="3">
        <v>24</v>
      </c>
      <c r="J87" s="23">
        <v>3.10800004005432</v>
      </c>
      <c r="K87" s="23">
        <v>3.10800004005432</v>
      </c>
      <c r="L87" s="24">
        <v>3.10800004005432</v>
      </c>
    </row>
    <row r="88" spans="2:12" x14ac:dyDescent="0.25">
      <c r="B88" s="17">
        <v>44830</v>
      </c>
      <c r="C88" s="58">
        <v>21</v>
      </c>
      <c r="D88" s="24">
        <v>3.1649999618530198</v>
      </c>
      <c r="F88" s="17">
        <v>44830</v>
      </c>
      <c r="G88" s="58">
        <v>21</v>
      </c>
      <c r="H88" s="3">
        <v>21</v>
      </c>
      <c r="I88" s="3">
        <v>21</v>
      </c>
      <c r="J88" s="23">
        <v>3.1649999618530198</v>
      </c>
      <c r="K88" s="23">
        <v>3.1649999618530198</v>
      </c>
      <c r="L88" s="24">
        <v>3.1649999618530198</v>
      </c>
    </row>
    <row r="89" spans="2:12" x14ac:dyDescent="0.25">
      <c r="B89" s="17">
        <v>44831</v>
      </c>
      <c r="C89" s="58">
        <v>20</v>
      </c>
      <c r="D89" s="24">
        <v>3.25</v>
      </c>
      <c r="F89" s="17">
        <v>44831</v>
      </c>
      <c r="G89" s="58">
        <v>20</v>
      </c>
      <c r="H89" s="3">
        <v>20</v>
      </c>
      <c r="I89" s="3">
        <v>20</v>
      </c>
      <c r="J89" s="23">
        <v>3.25</v>
      </c>
      <c r="K89" s="23">
        <v>3.25</v>
      </c>
      <c r="L89" s="24">
        <v>3.25</v>
      </c>
    </row>
    <row r="90" spans="2:12" x14ac:dyDescent="0.25">
      <c r="B90" s="17">
        <v>44832</v>
      </c>
      <c r="C90" s="58">
        <v>20</v>
      </c>
      <c r="D90" s="24">
        <v>3.2300000190734801</v>
      </c>
      <c r="F90" s="17">
        <v>44832</v>
      </c>
      <c r="G90" s="58">
        <v>20</v>
      </c>
      <c r="H90" s="3">
        <v>20</v>
      </c>
      <c r="I90" s="3">
        <v>20</v>
      </c>
      <c r="J90" s="23">
        <v>3.2300000190734801</v>
      </c>
      <c r="K90" s="23">
        <v>3.2300000190734801</v>
      </c>
      <c r="L90" s="24">
        <v>3.2300000190734801</v>
      </c>
    </row>
    <row r="91" spans="2:12" x14ac:dyDescent="0.25">
      <c r="B91" s="17">
        <v>44833</v>
      </c>
      <c r="C91" s="58">
        <v>22</v>
      </c>
      <c r="D91" s="24">
        <v>3.2179999351501398</v>
      </c>
      <c r="F91" s="17">
        <v>44833</v>
      </c>
      <c r="G91" s="58">
        <v>22</v>
      </c>
      <c r="H91" s="3">
        <v>22</v>
      </c>
      <c r="I91" s="3">
        <v>22</v>
      </c>
      <c r="J91" s="23">
        <v>3.2179999351501398</v>
      </c>
      <c r="K91" s="23">
        <v>3.2179999351501398</v>
      </c>
      <c r="L91" s="24">
        <v>3.2179999351501398</v>
      </c>
    </row>
    <row r="92" spans="2:12" x14ac:dyDescent="0.25">
      <c r="B92" s="17">
        <v>44834</v>
      </c>
      <c r="C92" s="58">
        <v>21</v>
      </c>
      <c r="D92" s="24">
        <v>3.1800000667571999</v>
      </c>
      <c r="F92" s="17">
        <v>44834</v>
      </c>
      <c r="G92" s="58">
        <v>21</v>
      </c>
      <c r="H92" s="3">
        <v>21</v>
      </c>
      <c r="I92" s="3">
        <v>21</v>
      </c>
      <c r="J92" s="23">
        <v>3.1800000667571999</v>
      </c>
      <c r="K92" s="23">
        <v>3.1800000667571999</v>
      </c>
      <c r="L92" s="24">
        <v>3.1800000667571999</v>
      </c>
    </row>
    <row r="93" spans="2:12" x14ac:dyDescent="0.25">
      <c r="B93" s="17">
        <v>44835</v>
      </c>
      <c r="C93" s="58">
        <v>20</v>
      </c>
      <c r="D93" s="24">
        <v>3.1800000667571999</v>
      </c>
      <c r="F93" s="17">
        <v>44835</v>
      </c>
      <c r="G93" s="58">
        <v>20</v>
      </c>
      <c r="H93" s="3">
        <v>20</v>
      </c>
      <c r="I93" s="3">
        <v>20</v>
      </c>
      <c r="J93" s="23">
        <v>3.1800000667571999</v>
      </c>
      <c r="K93" s="23">
        <v>3.1800000667571999</v>
      </c>
      <c r="L93" s="24">
        <v>3.1800000667571999</v>
      </c>
    </row>
    <row r="94" spans="2:12" x14ac:dyDescent="0.25">
      <c r="B94" s="17">
        <v>44836</v>
      </c>
      <c r="C94" s="58">
        <v>24</v>
      </c>
      <c r="D94" s="24">
        <v>3.1800000667571999</v>
      </c>
      <c r="F94" s="17">
        <v>44836</v>
      </c>
      <c r="G94" s="58">
        <v>24</v>
      </c>
      <c r="H94" s="3">
        <v>24</v>
      </c>
      <c r="I94" s="3">
        <v>24</v>
      </c>
      <c r="J94" s="23">
        <v>3.1800000667571999</v>
      </c>
      <c r="K94" s="23">
        <v>3.1800000667571999</v>
      </c>
      <c r="L94" s="24">
        <v>3.1800000667571999</v>
      </c>
    </row>
    <row r="95" spans="2:12" x14ac:dyDescent="0.25">
      <c r="B95" s="17">
        <v>44837</v>
      </c>
      <c r="C95" s="58">
        <v>24</v>
      </c>
      <c r="D95" s="24">
        <v>3.1500000953674299</v>
      </c>
      <c r="F95" s="17">
        <v>44837</v>
      </c>
      <c r="G95" s="58">
        <v>24</v>
      </c>
      <c r="H95" s="3">
        <v>24</v>
      </c>
      <c r="I95" s="3">
        <v>24</v>
      </c>
      <c r="J95" s="23">
        <v>3.1500000953674299</v>
      </c>
      <c r="K95" s="23">
        <v>3.1500000953674299</v>
      </c>
      <c r="L95" s="24">
        <v>3.1500000953674299</v>
      </c>
    </row>
    <row r="96" spans="2:12" x14ac:dyDescent="0.25">
      <c r="B96" s="17">
        <v>44838</v>
      </c>
      <c r="C96" s="58">
        <v>20</v>
      </c>
      <c r="D96" s="24">
        <v>3.3150000572204501</v>
      </c>
      <c r="F96" s="17">
        <v>44838</v>
      </c>
      <c r="G96" s="58">
        <v>20</v>
      </c>
      <c r="H96" s="3">
        <v>20</v>
      </c>
      <c r="I96" s="3">
        <v>20</v>
      </c>
      <c r="J96" s="23">
        <v>3.3150000572204501</v>
      </c>
      <c r="K96" s="23">
        <v>3.3150000572204501</v>
      </c>
      <c r="L96" s="24">
        <v>3.3150000572204501</v>
      </c>
    </row>
    <row r="97" spans="2:12" x14ac:dyDescent="0.25">
      <c r="B97" s="17">
        <v>44839</v>
      </c>
      <c r="C97" s="58">
        <v>25</v>
      </c>
      <c r="D97" s="24">
        <v>3.2929999828338601</v>
      </c>
      <c r="F97" s="17">
        <v>44839</v>
      </c>
      <c r="G97" s="58">
        <v>25</v>
      </c>
      <c r="H97" s="3">
        <v>25</v>
      </c>
      <c r="I97" s="3">
        <v>25</v>
      </c>
      <c r="J97" s="23">
        <v>3.2929999828338601</v>
      </c>
      <c r="K97" s="23">
        <v>3.2929999828338601</v>
      </c>
      <c r="L97" s="24">
        <v>3.2929999828338601</v>
      </c>
    </row>
    <row r="98" spans="2:12" x14ac:dyDescent="0.25">
      <c r="B98" s="17">
        <v>44840</v>
      </c>
      <c r="C98" s="58">
        <v>26</v>
      </c>
      <c r="D98" s="24">
        <v>3.2880001068115199</v>
      </c>
      <c r="F98" s="17">
        <v>44840</v>
      </c>
      <c r="G98" s="58">
        <v>26</v>
      </c>
      <c r="H98" s="3">
        <v>26</v>
      </c>
      <c r="I98" s="3">
        <v>26</v>
      </c>
      <c r="J98" s="23">
        <v>3.2880001068115199</v>
      </c>
      <c r="K98" s="23">
        <v>3.2880001068115199</v>
      </c>
      <c r="L98" s="24">
        <v>3.2880001068115199</v>
      </c>
    </row>
    <row r="99" spans="2:12" x14ac:dyDescent="0.25">
      <c r="B99" s="17">
        <v>44841</v>
      </c>
      <c r="C99" s="58">
        <v>23</v>
      </c>
      <c r="D99" s="24">
        <v>3.2929999828338601</v>
      </c>
      <c r="F99" s="17">
        <v>44841</v>
      </c>
      <c r="G99" s="58">
        <v>23</v>
      </c>
      <c r="H99" s="3">
        <v>23</v>
      </c>
      <c r="I99" s="3">
        <v>23</v>
      </c>
      <c r="J99" s="23">
        <v>3.2929999828338601</v>
      </c>
      <c r="K99" s="23">
        <v>3.2929999828338601</v>
      </c>
      <c r="L99" s="24">
        <v>3.2929999828338601</v>
      </c>
    </row>
    <row r="100" spans="2:12" x14ac:dyDescent="0.25">
      <c r="B100" s="17">
        <v>44842</v>
      </c>
      <c r="C100" s="58">
        <v>24</v>
      </c>
      <c r="D100" s="24">
        <v>3.2929999828338601</v>
      </c>
      <c r="F100" s="17">
        <v>44842</v>
      </c>
      <c r="G100" s="58">
        <v>24</v>
      </c>
      <c r="H100" s="3">
        <v>24</v>
      </c>
      <c r="I100" s="3">
        <v>24</v>
      </c>
      <c r="J100" s="23">
        <v>3.2929999828338601</v>
      </c>
      <c r="K100" s="23">
        <v>3.2929999828338601</v>
      </c>
      <c r="L100" s="24">
        <v>3.2929999828338601</v>
      </c>
    </row>
    <row r="101" spans="2:12" x14ac:dyDescent="0.25">
      <c r="B101" s="17">
        <v>44843</v>
      </c>
      <c r="C101" s="58">
        <v>22</v>
      </c>
      <c r="D101" s="24">
        <v>3.2929999828338601</v>
      </c>
      <c r="F101" s="17">
        <v>44843</v>
      </c>
      <c r="G101" s="58">
        <v>22</v>
      </c>
      <c r="H101" s="3">
        <v>22</v>
      </c>
      <c r="I101" s="3">
        <v>22</v>
      </c>
      <c r="J101" s="23">
        <v>3.2929999828338601</v>
      </c>
      <c r="K101" s="23">
        <v>3.2929999828338601</v>
      </c>
      <c r="L101" s="24">
        <v>3.2929999828338601</v>
      </c>
    </row>
    <row r="102" spans="2:12" x14ac:dyDescent="0.25">
      <c r="B102" s="17">
        <v>44844</v>
      </c>
      <c r="C102" s="58">
        <v>22</v>
      </c>
      <c r="D102" s="24">
        <v>3.28500008583068</v>
      </c>
      <c r="F102" s="17">
        <v>44844</v>
      </c>
      <c r="G102" s="58">
        <v>22</v>
      </c>
      <c r="H102" s="3">
        <v>22</v>
      </c>
      <c r="I102" s="3">
        <v>22</v>
      </c>
      <c r="J102" s="23">
        <v>3.28500008583068</v>
      </c>
      <c r="K102" s="23">
        <v>3.28500008583068</v>
      </c>
      <c r="L102" s="24">
        <v>3.28500008583068</v>
      </c>
    </row>
    <row r="103" spans="2:12" ht="15.75" thickBot="1" x14ac:dyDescent="0.3">
      <c r="B103" s="18">
        <v>44845</v>
      </c>
      <c r="C103" s="58">
        <v>24</v>
      </c>
      <c r="D103" s="24">
        <v>3.3399999141693102</v>
      </c>
      <c r="F103" s="18">
        <v>44845</v>
      </c>
      <c r="G103" s="58">
        <v>24</v>
      </c>
      <c r="H103" s="3">
        <v>24</v>
      </c>
      <c r="I103" s="3">
        <v>24</v>
      </c>
      <c r="J103" s="23">
        <v>3.3399999141693102</v>
      </c>
      <c r="K103" s="23">
        <v>3.3399999141693102</v>
      </c>
      <c r="L103" s="24">
        <v>3.3399999141693102</v>
      </c>
    </row>
    <row r="104" spans="2:12" x14ac:dyDescent="0.25">
      <c r="B104" s="16">
        <v>44846</v>
      </c>
      <c r="C104" s="58">
        <v>20</v>
      </c>
      <c r="D104" s="24">
        <v>3.5329999923706001</v>
      </c>
      <c r="F104" s="16">
        <v>44846</v>
      </c>
      <c r="G104" s="58">
        <v>20</v>
      </c>
      <c r="H104" s="3">
        <v>20</v>
      </c>
      <c r="I104" s="3">
        <v>20</v>
      </c>
      <c r="J104" s="23">
        <v>3.5329999923706001</v>
      </c>
      <c r="K104" s="23">
        <v>3.5329999923706001</v>
      </c>
      <c r="L104" s="24">
        <v>3.5329999923706001</v>
      </c>
    </row>
    <row r="105" spans="2:12" x14ac:dyDescent="0.25">
      <c r="B105" s="17">
        <v>44847</v>
      </c>
      <c r="C105" s="58">
        <v>20</v>
      </c>
      <c r="D105" s="24">
        <v>3.5829999446868799</v>
      </c>
      <c r="F105" s="17">
        <v>44847</v>
      </c>
      <c r="G105" s="58">
        <v>20</v>
      </c>
      <c r="H105" s="3">
        <v>20</v>
      </c>
      <c r="I105" s="3">
        <v>20</v>
      </c>
      <c r="J105" s="23">
        <v>3.5829999446868799</v>
      </c>
      <c r="K105" s="23">
        <v>3.5829999446868799</v>
      </c>
      <c r="L105" s="24">
        <v>3.5829999446868799</v>
      </c>
    </row>
    <row r="106" spans="2:12" x14ac:dyDescent="0.25">
      <c r="B106" s="17">
        <v>44848</v>
      </c>
      <c r="C106" s="58">
        <v>24</v>
      </c>
      <c r="D106" s="24">
        <v>3.6280000209808301</v>
      </c>
      <c r="F106" s="17">
        <v>44848</v>
      </c>
      <c r="G106" s="58">
        <v>24</v>
      </c>
      <c r="H106" s="3">
        <v>24</v>
      </c>
      <c r="I106" s="3">
        <v>24</v>
      </c>
      <c r="J106" s="23">
        <v>3.6280000209808301</v>
      </c>
      <c r="K106" s="23">
        <v>3.6280000209808301</v>
      </c>
      <c r="L106" s="24">
        <v>3.6280000209808301</v>
      </c>
    </row>
    <row r="107" spans="2:12" x14ac:dyDescent="0.25">
      <c r="B107" s="17">
        <v>44849</v>
      </c>
      <c r="C107" s="58">
        <v>24</v>
      </c>
      <c r="D107" s="24">
        <v>3.6280000209808301</v>
      </c>
      <c r="F107" s="17">
        <v>44849</v>
      </c>
      <c r="G107" s="58">
        <v>24</v>
      </c>
      <c r="H107" s="3">
        <v>24</v>
      </c>
      <c r="I107" s="3">
        <v>24</v>
      </c>
      <c r="J107" s="23">
        <v>3.6280000209808301</v>
      </c>
      <c r="K107" s="23">
        <v>3.6280000209808301</v>
      </c>
      <c r="L107" s="24">
        <v>3.6280000209808301</v>
      </c>
    </row>
    <row r="108" spans="2:12" x14ac:dyDescent="0.25">
      <c r="B108" s="17">
        <v>44850</v>
      </c>
      <c r="C108" s="58">
        <v>24</v>
      </c>
      <c r="D108" s="24">
        <v>3.6280000209808301</v>
      </c>
      <c r="F108" s="17">
        <v>44850</v>
      </c>
      <c r="G108" s="58">
        <v>24</v>
      </c>
      <c r="H108" s="3">
        <v>24</v>
      </c>
      <c r="I108" s="3">
        <v>24</v>
      </c>
      <c r="J108" s="23">
        <v>3.6280000209808301</v>
      </c>
      <c r="K108" s="23">
        <v>3.6280000209808301</v>
      </c>
      <c r="L108" s="24">
        <v>3.6280000209808301</v>
      </c>
    </row>
    <row r="109" spans="2:12" x14ac:dyDescent="0.25">
      <c r="B109" s="17">
        <v>44851</v>
      </c>
      <c r="C109" s="58">
        <v>20</v>
      </c>
      <c r="D109" s="24">
        <v>3.6879999637603702</v>
      </c>
      <c r="F109" s="17">
        <v>44851</v>
      </c>
      <c r="G109" s="58">
        <v>20</v>
      </c>
      <c r="H109" s="3">
        <v>20</v>
      </c>
      <c r="I109" s="3">
        <v>20</v>
      </c>
      <c r="J109" s="23">
        <v>3.6879999637603702</v>
      </c>
      <c r="K109" s="23">
        <v>3.6879999637603702</v>
      </c>
      <c r="L109" s="24">
        <v>3.6879999637603702</v>
      </c>
    </row>
    <row r="110" spans="2:12" x14ac:dyDescent="0.25">
      <c r="B110" s="17">
        <v>44852</v>
      </c>
      <c r="C110" s="58">
        <v>22</v>
      </c>
      <c r="D110" s="24">
        <v>3.8329999446868799</v>
      </c>
      <c r="F110" s="17">
        <v>44852</v>
      </c>
      <c r="G110" s="58">
        <v>22</v>
      </c>
      <c r="H110" s="3">
        <v>22</v>
      </c>
      <c r="I110" s="3">
        <v>22</v>
      </c>
      <c r="J110" s="23">
        <v>3.8329999446868799</v>
      </c>
      <c r="K110" s="23">
        <v>3.8329999446868799</v>
      </c>
      <c r="L110" s="24">
        <v>3.8329999446868799</v>
      </c>
    </row>
    <row r="111" spans="2:12" x14ac:dyDescent="0.25">
      <c r="B111" s="17">
        <v>44853</v>
      </c>
      <c r="C111" s="58">
        <v>23</v>
      </c>
      <c r="D111" s="24">
        <v>3.8929998874664302</v>
      </c>
      <c r="F111" s="17">
        <v>44853</v>
      </c>
      <c r="G111" s="58">
        <v>23</v>
      </c>
      <c r="H111" s="3">
        <v>23</v>
      </c>
      <c r="I111" s="3">
        <v>23</v>
      </c>
      <c r="J111" s="23">
        <v>3.8929998874664302</v>
      </c>
      <c r="K111" s="23">
        <v>3.8929998874664302</v>
      </c>
      <c r="L111" s="24">
        <v>3.8929998874664302</v>
      </c>
    </row>
    <row r="112" spans="2:12" x14ac:dyDescent="0.25">
      <c r="B112" s="17">
        <v>44854</v>
      </c>
      <c r="C112" s="58">
        <v>23</v>
      </c>
      <c r="D112" s="24">
        <v>3.8900001049041699</v>
      </c>
      <c r="F112" s="17">
        <v>44854</v>
      </c>
      <c r="G112" s="58">
        <v>23</v>
      </c>
      <c r="H112" s="3">
        <v>23</v>
      </c>
      <c r="I112" s="3">
        <v>23</v>
      </c>
      <c r="J112" s="23">
        <v>3.8900001049041699</v>
      </c>
      <c r="K112" s="23">
        <v>3.8900001049041699</v>
      </c>
      <c r="L112" s="24">
        <v>3.8900001049041699</v>
      </c>
    </row>
    <row r="113" spans="2:12" x14ac:dyDescent="0.25">
      <c r="B113" s="17">
        <v>44855</v>
      </c>
      <c r="C113" s="58">
        <v>23</v>
      </c>
      <c r="D113" s="24">
        <v>3.8849999904632502</v>
      </c>
      <c r="F113" s="17">
        <v>44855</v>
      </c>
      <c r="G113" s="58">
        <v>23</v>
      </c>
      <c r="H113" s="3">
        <v>23</v>
      </c>
      <c r="I113" s="3">
        <v>23</v>
      </c>
      <c r="J113" s="23">
        <v>3.8849999904632502</v>
      </c>
      <c r="K113" s="23">
        <v>3.8849999904632502</v>
      </c>
      <c r="L113" s="24">
        <v>3.8849999904632502</v>
      </c>
    </row>
    <row r="114" spans="2:12" x14ac:dyDescent="0.25">
      <c r="B114" s="17">
        <v>44856</v>
      </c>
      <c r="C114" s="58">
        <v>20</v>
      </c>
      <c r="D114" s="24">
        <v>3.8849999904632502</v>
      </c>
      <c r="F114" s="17">
        <v>44856</v>
      </c>
      <c r="G114" s="58">
        <v>20</v>
      </c>
      <c r="H114" s="3">
        <v>20</v>
      </c>
      <c r="I114" s="3">
        <v>20</v>
      </c>
      <c r="J114" s="23">
        <v>3.8849999904632502</v>
      </c>
      <c r="K114" s="23">
        <v>3.8849999904632502</v>
      </c>
      <c r="L114" s="24">
        <v>3.8849999904632502</v>
      </c>
    </row>
    <row r="115" spans="2:12" x14ac:dyDescent="0.25">
      <c r="B115" s="17">
        <v>44857</v>
      </c>
      <c r="C115" s="58">
        <v>23</v>
      </c>
      <c r="D115" s="24">
        <v>3.8849999904632502</v>
      </c>
      <c r="F115" s="17">
        <v>44857</v>
      </c>
      <c r="G115" s="58">
        <v>23</v>
      </c>
      <c r="H115" s="3">
        <v>23</v>
      </c>
      <c r="I115" s="3">
        <v>23</v>
      </c>
      <c r="J115" s="23">
        <v>3.8849999904632502</v>
      </c>
      <c r="K115" s="23">
        <v>3.8849999904632502</v>
      </c>
      <c r="L115" s="24">
        <v>3.8849999904632502</v>
      </c>
    </row>
    <row r="116" spans="2:12" x14ac:dyDescent="0.25">
      <c r="B116" s="17">
        <v>44858</v>
      </c>
      <c r="C116" s="58">
        <v>22</v>
      </c>
      <c r="D116" s="24">
        <v>3.9130001068115199</v>
      </c>
      <c r="F116" s="17">
        <v>44858</v>
      </c>
      <c r="G116" s="58">
        <v>22</v>
      </c>
      <c r="H116" s="3">
        <v>22</v>
      </c>
      <c r="I116" s="3">
        <v>22</v>
      </c>
      <c r="J116" s="23">
        <v>3.9130001068115199</v>
      </c>
      <c r="K116" s="23">
        <v>3.9130001068115199</v>
      </c>
      <c r="L116" s="24">
        <v>3.9130001068115199</v>
      </c>
    </row>
    <row r="117" spans="2:12" x14ac:dyDescent="0.25">
      <c r="B117" s="17">
        <v>44859</v>
      </c>
      <c r="C117" s="58">
        <v>20</v>
      </c>
      <c r="D117" s="24">
        <v>3.9649999141693102</v>
      </c>
      <c r="F117" s="17">
        <v>44859</v>
      </c>
      <c r="G117" s="58">
        <v>20</v>
      </c>
      <c r="H117" s="3">
        <v>20</v>
      </c>
      <c r="I117" s="3">
        <v>20</v>
      </c>
      <c r="J117" s="23">
        <v>3.9649999141693102</v>
      </c>
      <c r="K117" s="23">
        <v>3.9649999141693102</v>
      </c>
      <c r="L117" s="24">
        <v>3.9649999141693102</v>
      </c>
    </row>
    <row r="118" spans="2:12" x14ac:dyDescent="0.25">
      <c r="B118" s="17">
        <v>44860</v>
      </c>
      <c r="C118" s="58">
        <v>33</v>
      </c>
      <c r="D118" s="24">
        <v>3.9300000667571999</v>
      </c>
      <c r="F118" s="17">
        <v>44860</v>
      </c>
      <c r="G118" s="58">
        <v>33</v>
      </c>
      <c r="H118" s="3">
        <v>33</v>
      </c>
      <c r="I118" s="3">
        <v>33</v>
      </c>
      <c r="J118" s="23">
        <v>3.9300000667571999</v>
      </c>
      <c r="K118" s="23">
        <v>3.9300000667571999</v>
      </c>
      <c r="L118" s="24">
        <v>3.9300000667571999</v>
      </c>
    </row>
    <row r="119" spans="2:12" x14ac:dyDescent="0.25">
      <c r="B119" s="17">
        <v>44861</v>
      </c>
      <c r="C119" s="58">
        <v>32</v>
      </c>
      <c r="D119" s="24">
        <v>3.9300000667571999</v>
      </c>
      <c r="F119" s="17">
        <v>44861</v>
      </c>
      <c r="G119" s="58">
        <v>32</v>
      </c>
      <c r="H119" s="3">
        <v>32</v>
      </c>
      <c r="I119" s="3">
        <v>32</v>
      </c>
      <c r="J119" s="23">
        <v>3.9300000667571999</v>
      </c>
      <c r="K119" s="23">
        <v>3.9300000667571999</v>
      </c>
      <c r="L119" s="24">
        <v>3.9300000667571999</v>
      </c>
    </row>
    <row r="120" spans="2:12" x14ac:dyDescent="0.25">
      <c r="B120" s="17">
        <v>44862</v>
      </c>
      <c r="C120" s="58">
        <v>30</v>
      </c>
      <c r="D120" s="24">
        <v>3.9700000286102202</v>
      </c>
      <c r="F120" s="17">
        <v>44862</v>
      </c>
      <c r="G120" s="58">
        <v>30</v>
      </c>
      <c r="H120" s="3">
        <v>30</v>
      </c>
      <c r="I120" s="3">
        <v>30</v>
      </c>
      <c r="J120" s="23">
        <v>3.9700000286102202</v>
      </c>
      <c r="K120" s="23">
        <v>3.9700000286102202</v>
      </c>
      <c r="L120" s="24">
        <v>3.9700000286102202</v>
      </c>
    </row>
    <row r="121" spans="2:12" x14ac:dyDescent="0.25">
      <c r="B121" s="17">
        <v>44863</v>
      </c>
      <c r="C121" s="58">
        <v>34</v>
      </c>
      <c r="D121" s="24">
        <v>3.9700000286102202</v>
      </c>
      <c r="F121" s="17">
        <v>44863</v>
      </c>
      <c r="G121" s="58">
        <v>34</v>
      </c>
      <c r="H121" s="3">
        <v>34</v>
      </c>
      <c r="I121" s="3">
        <v>34</v>
      </c>
      <c r="J121" s="23">
        <v>3.9700000286102202</v>
      </c>
      <c r="K121" s="23">
        <v>3.9700000286102202</v>
      </c>
      <c r="L121" s="24">
        <v>3.9700000286102202</v>
      </c>
    </row>
    <row r="122" spans="2:12" x14ac:dyDescent="0.25">
      <c r="B122" s="17">
        <v>44864</v>
      </c>
      <c r="C122" s="58">
        <v>34</v>
      </c>
      <c r="D122" s="24">
        <v>3.9700000286102202</v>
      </c>
      <c r="F122" s="17">
        <v>44864</v>
      </c>
      <c r="G122" s="58">
        <v>34</v>
      </c>
      <c r="H122" s="3">
        <v>34</v>
      </c>
      <c r="I122" s="3">
        <v>34</v>
      </c>
      <c r="J122" s="23">
        <v>3.9700000286102202</v>
      </c>
      <c r="K122" s="23">
        <v>3.9700000286102202</v>
      </c>
      <c r="L122" s="24">
        <v>3.9700000286102202</v>
      </c>
    </row>
    <row r="123" spans="2:12" x14ac:dyDescent="0.25">
      <c r="B123" s="17">
        <v>44865</v>
      </c>
      <c r="C123" s="58">
        <v>31</v>
      </c>
      <c r="D123" s="24">
        <v>3.9749999046325599</v>
      </c>
      <c r="F123" s="17">
        <v>44865</v>
      </c>
      <c r="G123" s="58">
        <v>31</v>
      </c>
      <c r="H123" s="3">
        <v>31</v>
      </c>
      <c r="I123" s="3">
        <v>31</v>
      </c>
      <c r="J123" s="23">
        <v>3.9749999046325599</v>
      </c>
      <c r="K123" s="23">
        <v>3.9749999046325599</v>
      </c>
      <c r="L123" s="24">
        <v>3.9749999046325599</v>
      </c>
    </row>
    <row r="124" spans="2:12" x14ac:dyDescent="0.25">
      <c r="B124" s="17">
        <v>44866</v>
      </c>
      <c r="C124" s="58">
        <v>30</v>
      </c>
      <c r="D124" s="24">
        <v>4.0500001907348597</v>
      </c>
      <c r="F124" s="17">
        <v>44866</v>
      </c>
      <c r="G124" s="58">
        <v>30</v>
      </c>
      <c r="H124" s="3">
        <v>30</v>
      </c>
      <c r="I124" s="3">
        <v>30</v>
      </c>
      <c r="J124" s="23">
        <v>4.0500001907348597</v>
      </c>
      <c r="K124" s="23">
        <v>4.0500001907348597</v>
      </c>
      <c r="L124" s="24">
        <v>4.0500001907348597</v>
      </c>
    </row>
    <row r="125" spans="2:12" x14ac:dyDescent="0.25">
      <c r="B125" s="17">
        <v>44867</v>
      </c>
      <c r="C125" s="58">
        <v>30</v>
      </c>
      <c r="D125" s="24">
        <v>4.0250000953674299</v>
      </c>
      <c r="F125" s="17">
        <v>44867</v>
      </c>
      <c r="G125" s="58">
        <v>30</v>
      </c>
      <c r="H125" s="3">
        <v>30</v>
      </c>
      <c r="I125" s="3">
        <v>30</v>
      </c>
      <c r="J125" s="23">
        <v>4.0250000953674299</v>
      </c>
      <c r="K125" s="23">
        <v>4.0250000953674299</v>
      </c>
      <c r="L125" s="24">
        <v>4.0250000953674299</v>
      </c>
    </row>
    <row r="126" spans="2:12" x14ac:dyDescent="0.25">
      <c r="B126" s="17">
        <v>44868</v>
      </c>
      <c r="C126" s="58">
        <v>30</v>
      </c>
      <c r="D126" s="24">
        <v>4.0250000953674299</v>
      </c>
      <c r="F126" s="17">
        <v>44868</v>
      </c>
      <c r="G126" s="58">
        <v>30</v>
      </c>
      <c r="H126" s="3">
        <v>30</v>
      </c>
      <c r="I126" s="3">
        <v>30</v>
      </c>
      <c r="J126" s="23">
        <v>4.0250000953674299</v>
      </c>
      <c r="K126" s="23">
        <v>4.0250000953674299</v>
      </c>
      <c r="L126" s="24">
        <v>4.0250000953674299</v>
      </c>
    </row>
    <row r="127" spans="2:12" x14ac:dyDescent="0.25">
      <c r="B127" s="17">
        <v>44869</v>
      </c>
      <c r="C127" s="58">
        <v>30</v>
      </c>
      <c r="D127" s="24">
        <v>4.01300001144409</v>
      </c>
      <c r="F127" s="17">
        <v>44869</v>
      </c>
      <c r="G127" s="58">
        <v>30</v>
      </c>
      <c r="H127" s="3">
        <v>30</v>
      </c>
      <c r="I127" s="3">
        <v>30</v>
      </c>
      <c r="J127" s="23">
        <v>4.01300001144409</v>
      </c>
      <c r="K127" s="23">
        <v>4.01300001144409</v>
      </c>
      <c r="L127" s="24">
        <v>4.01300001144409</v>
      </c>
    </row>
    <row r="128" spans="2:12" x14ac:dyDescent="0.25">
      <c r="B128" s="17">
        <v>44870</v>
      </c>
      <c r="C128" s="58">
        <v>38</v>
      </c>
      <c r="D128" s="24">
        <v>4.01300001144409</v>
      </c>
      <c r="F128" s="17">
        <v>44870</v>
      </c>
      <c r="G128" s="58">
        <v>38</v>
      </c>
      <c r="H128" s="3">
        <v>38</v>
      </c>
      <c r="I128" s="3">
        <v>38</v>
      </c>
      <c r="J128" s="23">
        <v>4.01300001144409</v>
      </c>
      <c r="K128" s="23">
        <v>4.01300001144409</v>
      </c>
      <c r="L128" s="24">
        <v>4.01300001144409</v>
      </c>
    </row>
    <row r="129" spans="2:12" x14ac:dyDescent="0.25">
      <c r="B129" s="17">
        <v>44871</v>
      </c>
      <c r="C129" s="58">
        <v>40</v>
      </c>
      <c r="D129" s="24">
        <v>4.01300001144409</v>
      </c>
      <c r="F129" s="17">
        <v>44871</v>
      </c>
      <c r="G129" s="58">
        <v>40</v>
      </c>
      <c r="H129" s="3">
        <v>40</v>
      </c>
      <c r="I129" s="3">
        <v>40</v>
      </c>
      <c r="J129" s="23">
        <v>4.01300001144409</v>
      </c>
      <c r="K129" s="23">
        <v>4.01300001144409</v>
      </c>
      <c r="L129" s="24">
        <v>4.01300001144409</v>
      </c>
    </row>
    <row r="130" spans="2:12" x14ac:dyDescent="0.25">
      <c r="B130" s="17">
        <v>44872</v>
      </c>
      <c r="C130" s="58">
        <v>33</v>
      </c>
      <c r="D130" s="24">
        <v>3.98300004005432</v>
      </c>
      <c r="F130" s="17">
        <v>44872</v>
      </c>
      <c r="G130" s="58">
        <v>33</v>
      </c>
      <c r="H130" s="3">
        <v>33</v>
      </c>
      <c r="I130" s="3">
        <v>33</v>
      </c>
      <c r="J130" s="23">
        <v>3.98300004005432</v>
      </c>
      <c r="K130" s="23">
        <v>3.98300004005432</v>
      </c>
      <c r="L130" s="24">
        <v>3.98300004005432</v>
      </c>
    </row>
    <row r="131" spans="2:12" x14ac:dyDescent="0.25">
      <c r="B131" s="17">
        <v>44873</v>
      </c>
      <c r="C131" s="58">
        <v>31</v>
      </c>
      <c r="D131" s="24">
        <v>4.0900001525878897</v>
      </c>
      <c r="F131" s="17">
        <v>44873</v>
      </c>
      <c r="G131" s="58">
        <v>31</v>
      </c>
      <c r="H131" s="3">
        <v>31</v>
      </c>
      <c r="I131" s="3">
        <v>31</v>
      </c>
      <c r="J131" s="23">
        <v>4.0900001525878897</v>
      </c>
      <c r="K131" s="23">
        <v>4.0900001525878897</v>
      </c>
      <c r="L131" s="24">
        <v>4.0900001525878897</v>
      </c>
    </row>
    <row r="132" spans="2:12" x14ac:dyDescent="0.25">
      <c r="B132" s="17">
        <v>44874</v>
      </c>
      <c r="C132" s="58">
        <v>29</v>
      </c>
      <c r="D132" s="24">
        <v>4.0929999351501403</v>
      </c>
      <c r="F132" s="17">
        <v>44874</v>
      </c>
      <c r="G132" s="58">
        <v>29</v>
      </c>
      <c r="H132" s="3">
        <v>29</v>
      </c>
      <c r="I132" s="3">
        <v>29</v>
      </c>
      <c r="J132" s="23">
        <v>4.0929999351501403</v>
      </c>
      <c r="K132" s="23">
        <v>4.0929999351501403</v>
      </c>
      <c r="L132" s="24">
        <v>4.0929999351501403</v>
      </c>
    </row>
    <row r="133" spans="2:12" x14ac:dyDescent="0.25">
      <c r="B133" s="17">
        <v>44875</v>
      </c>
      <c r="C133" s="58">
        <v>22</v>
      </c>
      <c r="D133" s="24">
        <v>4.0549998283386204</v>
      </c>
      <c r="F133" s="17">
        <v>44875</v>
      </c>
      <c r="G133" s="58">
        <v>22</v>
      </c>
      <c r="H133" s="3">
        <v>22</v>
      </c>
      <c r="I133" s="3">
        <v>22</v>
      </c>
      <c r="J133" s="23">
        <v>4.0549998283386204</v>
      </c>
      <c r="K133" s="23">
        <v>4.0549998283386204</v>
      </c>
      <c r="L133" s="24">
        <v>4.0549998283386204</v>
      </c>
    </row>
    <row r="134" spans="2:12" x14ac:dyDescent="0.25">
      <c r="B134" s="17">
        <v>44876</v>
      </c>
      <c r="C134" s="58">
        <v>25</v>
      </c>
      <c r="D134" s="24">
        <v>4.0630002021789497</v>
      </c>
      <c r="F134" s="17">
        <v>44876</v>
      </c>
      <c r="G134" s="58">
        <v>25</v>
      </c>
      <c r="H134" s="3">
        <v>25</v>
      </c>
      <c r="I134" s="3">
        <v>25</v>
      </c>
      <c r="J134" s="23">
        <v>4.0630002021789497</v>
      </c>
      <c r="K134" s="23">
        <v>4.0630002021789497</v>
      </c>
      <c r="L134" s="24">
        <v>4.0630002021789497</v>
      </c>
    </row>
    <row r="135" spans="2:12" x14ac:dyDescent="0.25">
      <c r="B135" s="17">
        <v>44877</v>
      </c>
      <c r="C135" s="58">
        <v>21</v>
      </c>
      <c r="D135" s="24">
        <v>4.0630002021789497</v>
      </c>
      <c r="F135" s="17">
        <v>44877</v>
      </c>
      <c r="G135" s="58">
        <v>21</v>
      </c>
      <c r="H135" s="3">
        <v>21</v>
      </c>
      <c r="I135" s="3">
        <v>21</v>
      </c>
      <c r="J135" s="23">
        <v>4.0630002021789497</v>
      </c>
      <c r="K135" s="23">
        <v>4.0630002021789497</v>
      </c>
      <c r="L135" s="24">
        <v>4.0630002021789497</v>
      </c>
    </row>
    <row r="136" spans="2:12" x14ac:dyDescent="0.25">
      <c r="B136" s="17">
        <v>44878</v>
      </c>
      <c r="C136" s="58">
        <v>22</v>
      </c>
      <c r="D136" s="24">
        <v>4.0630002021789497</v>
      </c>
      <c r="F136" s="17">
        <v>44878</v>
      </c>
      <c r="G136" s="58">
        <v>22</v>
      </c>
      <c r="H136" s="3">
        <v>22</v>
      </c>
      <c r="I136" s="3">
        <v>22</v>
      </c>
      <c r="J136" s="23">
        <v>4.0630002021789497</v>
      </c>
      <c r="K136" s="23">
        <v>4.0630002021789497</v>
      </c>
      <c r="L136" s="24">
        <v>4.0630002021789497</v>
      </c>
    </row>
    <row r="137" spans="2:12" x14ac:dyDescent="0.25">
      <c r="B137" s="17">
        <v>44879</v>
      </c>
      <c r="C137" s="58">
        <v>24</v>
      </c>
      <c r="D137" s="24">
        <v>4.0679998397827104</v>
      </c>
      <c r="F137" s="17">
        <v>44879</v>
      </c>
      <c r="G137" s="58">
        <v>24</v>
      </c>
      <c r="H137" s="3">
        <v>24</v>
      </c>
      <c r="I137" s="3">
        <v>24</v>
      </c>
      <c r="J137" s="23">
        <v>4.0679998397827104</v>
      </c>
      <c r="K137" s="23">
        <v>4.0679998397827104</v>
      </c>
      <c r="L137" s="24">
        <v>4.0679998397827104</v>
      </c>
    </row>
    <row r="138" spans="2:12" x14ac:dyDescent="0.25">
      <c r="B138" s="17">
        <v>44880</v>
      </c>
      <c r="C138" s="58">
        <v>22</v>
      </c>
      <c r="D138" s="24">
        <v>4.13000011444091</v>
      </c>
      <c r="F138" s="17">
        <v>44880</v>
      </c>
      <c r="G138" s="58">
        <v>22</v>
      </c>
      <c r="H138" s="3">
        <v>22</v>
      </c>
      <c r="I138" s="3">
        <v>22</v>
      </c>
      <c r="J138" s="23">
        <v>4.13000011444091</v>
      </c>
      <c r="K138" s="23">
        <v>4.13000011444091</v>
      </c>
      <c r="L138" s="24">
        <v>4.13000011444091</v>
      </c>
    </row>
    <row r="139" spans="2:12" x14ac:dyDescent="0.25">
      <c r="B139" s="17">
        <v>44881</v>
      </c>
      <c r="C139" s="58">
        <v>23</v>
      </c>
      <c r="D139" s="24">
        <v>4.125</v>
      </c>
      <c r="F139" s="17">
        <v>44881</v>
      </c>
      <c r="G139" s="58">
        <v>23</v>
      </c>
      <c r="H139" s="3">
        <v>23</v>
      </c>
      <c r="I139" s="3">
        <v>23</v>
      </c>
      <c r="J139" s="23">
        <v>4.125</v>
      </c>
      <c r="K139" s="23">
        <v>4.125</v>
      </c>
      <c r="L139" s="24">
        <v>4.125</v>
      </c>
    </row>
    <row r="140" spans="2:12" x14ac:dyDescent="0.25">
      <c r="B140" s="17">
        <v>44882</v>
      </c>
      <c r="C140" s="58">
        <v>20</v>
      </c>
      <c r="D140" s="24">
        <v>4.1129999160766602</v>
      </c>
      <c r="F140" s="17">
        <v>44882</v>
      </c>
      <c r="G140" s="58">
        <v>20</v>
      </c>
      <c r="H140" s="3">
        <v>20</v>
      </c>
      <c r="I140" s="3">
        <v>20</v>
      </c>
      <c r="J140" s="23">
        <v>4.1129999160766602</v>
      </c>
      <c r="K140" s="23">
        <v>4.1129999160766602</v>
      </c>
      <c r="L140" s="24">
        <v>4.1129999160766602</v>
      </c>
    </row>
    <row r="141" spans="2:12" x14ac:dyDescent="0.25">
      <c r="B141" s="17">
        <v>44883</v>
      </c>
      <c r="C141" s="58">
        <v>23</v>
      </c>
      <c r="D141" s="24">
        <v>4.1350002288818297</v>
      </c>
      <c r="F141" s="17">
        <v>44883</v>
      </c>
      <c r="G141" s="58">
        <v>23</v>
      </c>
      <c r="H141" s="3">
        <v>23</v>
      </c>
      <c r="I141" s="3">
        <v>23</v>
      </c>
      <c r="J141" s="23">
        <v>4.1350002288818297</v>
      </c>
      <c r="K141" s="23">
        <v>4.1350002288818297</v>
      </c>
      <c r="L141" s="24">
        <v>4.1350002288818297</v>
      </c>
    </row>
    <row r="142" spans="2:12" x14ac:dyDescent="0.25">
      <c r="B142" s="17">
        <v>44884</v>
      </c>
      <c r="C142" s="58">
        <v>23</v>
      </c>
      <c r="D142" s="24">
        <v>4.1350002288818297</v>
      </c>
      <c r="F142" s="17">
        <v>44884</v>
      </c>
      <c r="G142" s="58">
        <v>23</v>
      </c>
      <c r="H142" s="3">
        <v>23</v>
      </c>
      <c r="I142" s="3">
        <v>23</v>
      </c>
      <c r="J142" s="23">
        <v>4.1350002288818297</v>
      </c>
      <c r="K142" s="23">
        <v>4.1350002288818297</v>
      </c>
      <c r="L142" s="24">
        <v>4.1350002288818297</v>
      </c>
    </row>
    <row r="143" spans="2:12" x14ac:dyDescent="0.25">
      <c r="B143" s="17">
        <v>44885</v>
      </c>
      <c r="C143" s="58">
        <v>24</v>
      </c>
      <c r="D143" s="24">
        <v>4.1350002288818297</v>
      </c>
      <c r="F143" s="17">
        <v>44885</v>
      </c>
      <c r="G143" s="58">
        <v>24</v>
      </c>
      <c r="H143" s="3">
        <v>24</v>
      </c>
      <c r="I143" s="3">
        <v>24</v>
      </c>
      <c r="J143" s="23">
        <v>4.1350002288818297</v>
      </c>
      <c r="K143" s="23">
        <v>4.1350002288818297</v>
      </c>
      <c r="L143" s="24">
        <v>4.1350002288818297</v>
      </c>
    </row>
    <row r="144" spans="2:12" x14ac:dyDescent="0.25">
      <c r="B144" s="17">
        <v>44886</v>
      </c>
      <c r="C144" s="58">
        <v>21</v>
      </c>
      <c r="D144" s="24">
        <v>4.09800004959106</v>
      </c>
      <c r="F144" s="17">
        <v>44886</v>
      </c>
      <c r="G144" s="58">
        <v>21</v>
      </c>
      <c r="H144" s="3">
        <v>21</v>
      </c>
      <c r="I144" s="3">
        <v>21</v>
      </c>
      <c r="J144" s="23">
        <v>4.09800004959106</v>
      </c>
      <c r="K144" s="23">
        <v>4.09800004959106</v>
      </c>
      <c r="L144" s="24">
        <v>4.09800004959106</v>
      </c>
    </row>
    <row r="145" spans="2:12" x14ac:dyDescent="0.25">
      <c r="B145" s="17">
        <v>44887</v>
      </c>
      <c r="C145" s="58">
        <v>22</v>
      </c>
      <c r="D145" s="24">
        <v>4.1979999542236301</v>
      </c>
      <c r="F145" s="17">
        <v>44887</v>
      </c>
      <c r="G145" s="58">
        <v>22</v>
      </c>
      <c r="H145" s="3">
        <v>22</v>
      </c>
      <c r="I145" s="3">
        <v>22</v>
      </c>
      <c r="J145" s="23">
        <v>4.1979999542236301</v>
      </c>
      <c r="K145" s="23">
        <v>4.1979999542236301</v>
      </c>
      <c r="L145" s="24">
        <v>4.1979999542236301</v>
      </c>
    </row>
    <row r="146" spans="2:12" x14ac:dyDescent="0.25">
      <c r="B146" s="17">
        <v>44888</v>
      </c>
      <c r="C146" s="58">
        <v>22</v>
      </c>
      <c r="D146" s="24">
        <v>4.1999998092651296</v>
      </c>
      <c r="F146" s="17">
        <v>44888</v>
      </c>
      <c r="G146" s="58">
        <v>22</v>
      </c>
      <c r="H146" s="3">
        <v>22</v>
      </c>
      <c r="I146" s="3">
        <v>22</v>
      </c>
      <c r="J146" s="23">
        <v>4.1999998092651296</v>
      </c>
      <c r="K146" s="23">
        <v>4.1999998092651296</v>
      </c>
      <c r="L146" s="24">
        <v>4.1999998092651296</v>
      </c>
    </row>
    <row r="147" spans="2:12" x14ac:dyDescent="0.25">
      <c r="B147" s="17">
        <v>44889</v>
      </c>
      <c r="C147" s="58">
        <v>20</v>
      </c>
      <c r="D147" s="24">
        <v>4.1999998092651296</v>
      </c>
      <c r="F147" s="17">
        <v>44889</v>
      </c>
      <c r="G147" s="58">
        <v>20</v>
      </c>
      <c r="H147" s="3">
        <v>20</v>
      </c>
      <c r="I147" s="3">
        <v>20</v>
      </c>
      <c r="J147" s="23">
        <v>4.1999998092651296</v>
      </c>
      <c r="K147" s="23">
        <v>4.1999998092651296</v>
      </c>
      <c r="L147" s="24">
        <v>4.1999998092651296</v>
      </c>
    </row>
    <row r="148" spans="2:12" x14ac:dyDescent="0.25">
      <c r="B148" s="17">
        <v>44890</v>
      </c>
      <c r="C148" s="58">
        <v>20</v>
      </c>
      <c r="D148" s="24">
        <v>4.1750001907348597</v>
      </c>
      <c r="F148" s="17">
        <v>44890</v>
      </c>
      <c r="G148" s="58">
        <v>20</v>
      </c>
      <c r="H148" s="3">
        <v>20</v>
      </c>
      <c r="I148" s="3">
        <v>20</v>
      </c>
      <c r="J148" s="23">
        <v>4.1750001907348597</v>
      </c>
      <c r="K148" s="23">
        <v>4.1750001907348597</v>
      </c>
      <c r="L148" s="24">
        <v>4.1750001907348597</v>
      </c>
    </row>
    <row r="149" spans="2:12" x14ac:dyDescent="0.25">
      <c r="B149" s="17">
        <v>44891</v>
      </c>
      <c r="C149" s="58">
        <v>22</v>
      </c>
      <c r="D149" s="24">
        <v>4.1750001907348597</v>
      </c>
      <c r="F149" s="17">
        <v>44891</v>
      </c>
      <c r="G149" s="58">
        <v>22</v>
      </c>
      <c r="H149" s="3">
        <v>22</v>
      </c>
      <c r="I149" s="3">
        <v>22</v>
      </c>
      <c r="J149" s="23">
        <v>4.1750001907348597</v>
      </c>
      <c r="K149" s="23">
        <v>4.1750001907348597</v>
      </c>
      <c r="L149" s="24">
        <v>4.1750001907348597</v>
      </c>
    </row>
    <row r="150" spans="2:12" x14ac:dyDescent="0.25">
      <c r="B150" s="17">
        <v>44892</v>
      </c>
      <c r="C150" s="58">
        <v>26</v>
      </c>
      <c r="D150" s="24">
        <v>4.1750001907348597</v>
      </c>
      <c r="F150" s="17">
        <v>44892</v>
      </c>
      <c r="G150" s="58">
        <v>26</v>
      </c>
      <c r="H150" s="3">
        <v>26</v>
      </c>
      <c r="I150" s="3">
        <v>26</v>
      </c>
      <c r="J150" s="23">
        <v>4.1750001907348597</v>
      </c>
      <c r="K150" s="23">
        <v>4.1750001907348597</v>
      </c>
      <c r="L150" s="24">
        <v>4.1750001907348597</v>
      </c>
    </row>
    <row r="151" spans="2:12" x14ac:dyDescent="0.25">
      <c r="B151" s="17">
        <v>44893</v>
      </c>
      <c r="C151" s="58">
        <v>28</v>
      </c>
      <c r="D151" s="24">
        <v>4.18300008773803</v>
      </c>
      <c r="F151" s="17">
        <v>44893</v>
      </c>
      <c r="G151" s="58">
        <v>28</v>
      </c>
      <c r="H151" s="3">
        <v>28</v>
      </c>
      <c r="I151" s="3">
        <v>28</v>
      </c>
      <c r="J151" s="23">
        <v>4.18300008773803</v>
      </c>
      <c r="K151" s="23">
        <v>4.18300008773803</v>
      </c>
      <c r="L151" s="24">
        <v>4.18300008773803</v>
      </c>
    </row>
    <row r="152" spans="2:12" x14ac:dyDescent="0.25">
      <c r="B152" s="17">
        <v>44894</v>
      </c>
      <c r="C152" s="58">
        <v>26</v>
      </c>
      <c r="D152" s="24">
        <v>4.2529997825622496</v>
      </c>
      <c r="F152" s="17">
        <v>44894</v>
      </c>
      <c r="G152" s="58">
        <v>26</v>
      </c>
      <c r="H152" s="3">
        <v>26</v>
      </c>
      <c r="I152" s="3">
        <v>26</v>
      </c>
      <c r="J152" s="23">
        <v>4.2529997825622496</v>
      </c>
      <c r="K152" s="23">
        <v>4.2529997825622496</v>
      </c>
      <c r="L152" s="24">
        <v>4.2529997825622496</v>
      </c>
    </row>
    <row r="153" spans="2:12" ht="15.75" thickBot="1" x14ac:dyDescent="0.3">
      <c r="B153" s="18">
        <v>44895</v>
      </c>
      <c r="C153" s="58">
        <v>29</v>
      </c>
      <c r="D153" s="24">
        <v>4.2529997825622496</v>
      </c>
      <c r="F153" s="18">
        <v>44895</v>
      </c>
      <c r="G153" s="58">
        <v>29</v>
      </c>
      <c r="H153" s="3">
        <v>29</v>
      </c>
      <c r="I153" s="3">
        <v>29</v>
      </c>
      <c r="J153" s="23">
        <v>4.2529997825622496</v>
      </c>
      <c r="K153" s="23">
        <v>4.2529997825622496</v>
      </c>
      <c r="L153" s="24">
        <v>4.2529997825622496</v>
      </c>
    </row>
    <row r="154" spans="2:12" x14ac:dyDescent="0.25">
      <c r="B154" s="16">
        <v>44896</v>
      </c>
      <c r="C154" s="58">
        <v>27</v>
      </c>
      <c r="D154" s="24">
        <v>4.1929998397827104</v>
      </c>
      <c r="F154" s="16">
        <v>44896</v>
      </c>
      <c r="G154" s="58">
        <v>27</v>
      </c>
      <c r="H154" s="3">
        <v>27</v>
      </c>
      <c r="I154" s="3">
        <v>27</v>
      </c>
      <c r="J154" s="23">
        <v>4.1929998397827104</v>
      </c>
      <c r="K154" s="23">
        <v>4.1929998397827104</v>
      </c>
      <c r="L154" s="24">
        <v>4.1929998397827104</v>
      </c>
    </row>
    <row r="155" spans="2:12" x14ac:dyDescent="0.25">
      <c r="B155" s="17">
        <v>44897</v>
      </c>
      <c r="C155" s="58">
        <v>27</v>
      </c>
      <c r="D155" s="24">
        <v>4.2080001831054599</v>
      </c>
      <c r="F155" s="17">
        <v>44897</v>
      </c>
      <c r="G155" s="58">
        <v>27</v>
      </c>
      <c r="H155" s="3">
        <v>27</v>
      </c>
      <c r="I155" s="3">
        <v>27</v>
      </c>
      <c r="J155" s="23">
        <v>4.2080001831054599</v>
      </c>
      <c r="K155" s="23">
        <v>4.2080001831054599</v>
      </c>
      <c r="L155" s="24">
        <v>4.2080001831054599</v>
      </c>
    </row>
    <row r="156" spans="2:12" x14ac:dyDescent="0.25">
      <c r="B156" s="17">
        <v>44898</v>
      </c>
      <c r="C156" s="58">
        <v>27</v>
      </c>
      <c r="D156" s="24">
        <v>4.2080001831054599</v>
      </c>
      <c r="F156" s="17">
        <v>44898</v>
      </c>
      <c r="G156" s="58">
        <v>27</v>
      </c>
      <c r="H156" s="3">
        <v>27</v>
      </c>
      <c r="I156" s="3">
        <v>27</v>
      </c>
      <c r="J156" s="23">
        <v>4.2080001831054599</v>
      </c>
      <c r="K156" s="23">
        <v>4.2080001831054599</v>
      </c>
      <c r="L156" s="24">
        <v>4.2080001831054599</v>
      </c>
    </row>
    <row r="157" spans="2:12" x14ac:dyDescent="0.25">
      <c r="B157" s="17">
        <v>44899</v>
      </c>
      <c r="C157" s="58">
        <v>26</v>
      </c>
      <c r="D157" s="24">
        <v>4.2080001831054599</v>
      </c>
      <c r="F157" s="17">
        <v>44899</v>
      </c>
      <c r="G157" s="58">
        <v>26</v>
      </c>
      <c r="H157" s="3">
        <v>26</v>
      </c>
      <c r="I157" s="3">
        <v>26</v>
      </c>
      <c r="J157" s="23">
        <v>4.2080001831054599</v>
      </c>
      <c r="K157" s="23">
        <v>4.2080001831054599</v>
      </c>
      <c r="L157" s="24">
        <v>4.2080001831054599</v>
      </c>
    </row>
    <row r="158" spans="2:12" x14ac:dyDescent="0.25">
      <c r="B158" s="17">
        <v>44900</v>
      </c>
      <c r="C158" s="58">
        <v>26</v>
      </c>
      <c r="D158" s="24">
        <v>4.1579999923706001</v>
      </c>
      <c r="F158" s="17">
        <v>44900</v>
      </c>
      <c r="G158" s="58">
        <v>26</v>
      </c>
      <c r="H158" s="3">
        <v>26</v>
      </c>
      <c r="I158" s="3">
        <v>26</v>
      </c>
      <c r="J158" s="23">
        <v>4.1579999923706001</v>
      </c>
      <c r="K158" s="23">
        <v>4.1579999923706001</v>
      </c>
      <c r="L158" s="24">
        <v>4.1579999923706001</v>
      </c>
    </row>
    <row r="159" spans="2:12" x14ac:dyDescent="0.25">
      <c r="B159" s="17">
        <v>44901</v>
      </c>
      <c r="C159" s="58">
        <v>25</v>
      </c>
      <c r="D159" s="24">
        <v>4.2199997901916504</v>
      </c>
      <c r="F159" s="17">
        <v>44901</v>
      </c>
      <c r="G159" s="58">
        <v>25</v>
      </c>
      <c r="H159" s="3">
        <v>25</v>
      </c>
      <c r="I159" s="3">
        <v>25</v>
      </c>
      <c r="J159" s="23">
        <v>4.2199997901916504</v>
      </c>
      <c r="K159" s="23">
        <v>4.2199997901916504</v>
      </c>
      <c r="L159" s="24">
        <v>4.2199997901916504</v>
      </c>
    </row>
    <row r="160" spans="2:12" x14ac:dyDescent="0.25">
      <c r="B160" s="17">
        <v>44902</v>
      </c>
      <c r="C160" s="58">
        <v>29</v>
      </c>
      <c r="D160" s="24">
        <v>4.18300008773803</v>
      </c>
      <c r="F160" s="17">
        <v>44902</v>
      </c>
      <c r="G160" s="58">
        <v>29</v>
      </c>
      <c r="H160" s="3">
        <v>29</v>
      </c>
      <c r="I160" s="3">
        <v>29</v>
      </c>
      <c r="J160" s="23">
        <v>4.18300008773803</v>
      </c>
      <c r="K160" s="23">
        <v>4.18300008773803</v>
      </c>
      <c r="L160" s="24">
        <v>4.18300008773803</v>
      </c>
    </row>
    <row r="161" spans="2:12" x14ac:dyDescent="0.25">
      <c r="B161" s="17">
        <v>44903</v>
      </c>
      <c r="C161" s="58">
        <v>25</v>
      </c>
      <c r="D161" s="24">
        <v>4.1500000953674299</v>
      </c>
      <c r="F161" s="17">
        <v>44903</v>
      </c>
      <c r="G161" s="58">
        <v>25</v>
      </c>
      <c r="H161" s="3">
        <v>25</v>
      </c>
      <c r="I161" s="3">
        <v>25</v>
      </c>
      <c r="J161" s="23">
        <v>4.1500000953674299</v>
      </c>
      <c r="K161" s="23">
        <v>4.1500000953674299</v>
      </c>
      <c r="L161" s="24">
        <v>4.1500000953674299</v>
      </c>
    </row>
    <row r="162" spans="2:12" x14ac:dyDescent="0.25">
      <c r="B162" s="17">
        <v>44904</v>
      </c>
      <c r="C162" s="58">
        <v>26</v>
      </c>
      <c r="D162" s="24">
        <v>4.1729998588562003</v>
      </c>
      <c r="F162" s="17">
        <v>44904</v>
      </c>
      <c r="G162" s="58">
        <v>26</v>
      </c>
      <c r="H162" s="3">
        <v>26</v>
      </c>
      <c r="I162" s="3">
        <v>26</v>
      </c>
      <c r="J162" s="23">
        <v>4.1729998588562003</v>
      </c>
      <c r="K162" s="23">
        <v>4.1729998588562003</v>
      </c>
      <c r="L162" s="24">
        <v>4.1729998588562003</v>
      </c>
    </row>
    <row r="163" spans="2:12" x14ac:dyDescent="0.25">
      <c r="B163" s="17">
        <v>44905</v>
      </c>
      <c r="C163" s="58">
        <v>27</v>
      </c>
      <c r="D163" s="24">
        <v>4.1729998588562003</v>
      </c>
      <c r="F163" s="17">
        <v>44905</v>
      </c>
      <c r="G163" s="58">
        <v>27</v>
      </c>
      <c r="H163" s="3">
        <v>27</v>
      </c>
      <c r="I163" s="3">
        <v>27</v>
      </c>
      <c r="J163" s="23">
        <v>4.1729998588562003</v>
      </c>
      <c r="K163" s="23">
        <v>4.1729998588562003</v>
      </c>
      <c r="L163" s="24">
        <v>4.1729998588562003</v>
      </c>
    </row>
    <row r="164" spans="2:12" x14ac:dyDescent="0.25">
      <c r="B164" s="17">
        <v>44906</v>
      </c>
      <c r="C164" s="58">
        <v>26</v>
      </c>
      <c r="D164" s="24">
        <v>4.1729998588562003</v>
      </c>
      <c r="F164" s="17">
        <v>44906</v>
      </c>
      <c r="G164" s="58">
        <v>26</v>
      </c>
      <c r="H164" s="3">
        <v>26</v>
      </c>
      <c r="I164" s="3">
        <v>26</v>
      </c>
      <c r="J164" s="23">
        <v>4.1729998588562003</v>
      </c>
      <c r="K164" s="23">
        <v>4.1729998588562003</v>
      </c>
      <c r="L164" s="24">
        <v>4.1729998588562003</v>
      </c>
    </row>
    <row r="165" spans="2:12" x14ac:dyDescent="0.25">
      <c r="B165" s="17">
        <v>44907</v>
      </c>
      <c r="C165" s="58">
        <v>27</v>
      </c>
      <c r="D165" s="24">
        <v>4.1680002212524396</v>
      </c>
      <c r="F165" s="17">
        <v>44907</v>
      </c>
      <c r="G165" s="58">
        <v>27</v>
      </c>
      <c r="H165" s="3">
        <v>27</v>
      </c>
      <c r="I165" s="3">
        <v>27</v>
      </c>
      <c r="J165" s="23">
        <v>4.1680002212524396</v>
      </c>
      <c r="K165" s="23">
        <v>4.1680002212524396</v>
      </c>
      <c r="L165" s="24">
        <v>4.1680002212524396</v>
      </c>
    </row>
    <row r="166" spans="2:12" x14ac:dyDescent="0.25">
      <c r="B166" s="17">
        <v>44908</v>
      </c>
      <c r="C166" s="58">
        <v>27</v>
      </c>
      <c r="D166" s="24">
        <v>4.2480001449584899</v>
      </c>
      <c r="F166" s="17">
        <v>44908</v>
      </c>
      <c r="G166" s="58">
        <v>27</v>
      </c>
      <c r="H166" s="3">
        <v>27</v>
      </c>
      <c r="I166" s="3">
        <v>27</v>
      </c>
      <c r="J166" s="23">
        <v>4.2480001449584899</v>
      </c>
      <c r="K166" s="23">
        <v>4.2480001449584899</v>
      </c>
      <c r="L166" s="24">
        <v>4.2480001449584899</v>
      </c>
    </row>
    <row r="167" spans="2:12" x14ac:dyDescent="0.25">
      <c r="B167" s="17">
        <v>44909</v>
      </c>
      <c r="C167" s="58">
        <v>30</v>
      </c>
      <c r="D167" s="24">
        <v>4.2199997901916504</v>
      </c>
      <c r="F167" s="17">
        <v>44909</v>
      </c>
      <c r="G167" s="58">
        <v>30</v>
      </c>
      <c r="H167" s="3">
        <v>30</v>
      </c>
      <c r="I167" s="3">
        <v>30</v>
      </c>
      <c r="J167" s="23">
        <v>4.2199997901916504</v>
      </c>
      <c r="K167" s="23">
        <v>4.2199997901916504</v>
      </c>
      <c r="L167" s="24">
        <v>4.2199997901916504</v>
      </c>
    </row>
    <row r="168" spans="2:12" x14ac:dyDescent="0.25">
      <c r="B168" s="17">
        <v>44910</v>
      </c>
      <c r="C168" s="58">
        <v>31</v>
      </c>
      <c r="D168" s="24">
        <v>4.2129998207092196</v>
      </c>
      <c r="F168" s="17">
        <v>44910</v>
      </c>
      <c r="G168" s="58">
        <v>31</v>
      </c>
      <c r="H168" s="3">
        <v>31</v>
      </c>
      <c r="I168" s="3">
        <v>31</v>
      </c>
      <c r="J168" s="23">
        <v>4.2129998207092196</v>
      </c>
      <c r="K168" s="23">
        <v>4.2129998207092196</v>
      </c>
      <c r="L168" s="24">
        <v>4.2129998207092196</v>
      </c>
    </row>
    <row r="169" spans="2:12" x14ac:dyDescent="0.25">
      <c r="B169" s="17">
        <v>44911</v>
      </c>
      <c r="C169" s="58">
        <v>29</v>
      </c>
      <c r="D169" s="24">
        <v>4.1630001068115199</v>
      </c>
      <c r="F169" s="17">
        <v>44911</v>
      </c>
      <c r="G169" s="58">
        <v>29</v>
      </c>
      <c r="H169" s="3">
        <v>29</v>
      </c>
      <c r="I169" s="3">
        <v>29</v>
      </c>
      <c r="J169" s="23">
        <v>4.1630001068115199</v>
      </c>
      <c r="K169" s="23">
        <v>4.1630001068115199</v>
      </c>
      <c r="L169" s="24">
        <v>4.1630001068115199</v>
      </c>
    </row>
    <row r="170" spans="2:12" x14ac:dyDescent="0.25">
      <c r="B170" s="17">
        <v>44912</v>
      </c>
      <c r="C170" s="58">
        <v>28</v>
      </c>
      <c r="D170" s="24">
        <v>4.1630001068115199</v>
      </c>
      <c r="F170" s="17">
        <v>44912</v>
      </c>
      <c r="G170" s="58">
        <v>28</v>
      </c>
      <c r="H170" s="3">
        <v>28</v>
      </c>
      <c r="I170" s="3">
        <v>28</v>
      </c>
      <c r="J170" s="23">
        <v>4.1630001068115199</v>
      </c>
      <c r="K170" s="23">
        <v>4.1630001068115199</v>
      </c>
      <c r="L170" s="24">
        <v>4.1630001068115199</v>
      </c>
    </row>
    <row r="171" spans="2:12" x14ac:dyDescent="0.25">
      <c r="B171" s="17">
        <v>44913</v>
      </c>
      <c r="C171" s="58">
        <v>26</v>
      </c>
      <c r="D171" s="24">
        <v>4.1630001068115199</v>
      </c>
      <c r="F171" s="17">
        <v>44913</v>
      </c>
      <c r="G171" s="58">
        <v>26</v>
      </c>
      <c r="H171" s="3">
        <v>26</v>
      </c>
      <c r="I171" s="3">
        <v>26</v>
      </c>
      <c r="J171" s="23">
        <v>4.1630001068115199</v>
      </c>
      <c r="K171" s="23">
        <v>4.1630001068115199</v>
      </c>
      <c r="L171" s="24">
        <v>4.1630001068115199</v>
      </c>
    </row>
    <row r="172" spans="2:12" x14ac:dyDescent="0.25">
      <c r="B172" s="17">
        <v>44914</v>
      </c>
      <c r="C172" s="58">
        <v>29</v>
      </c>
      <c r="D172" s="24">
        <v>4.1630001068115199</v>
      </c>
      <c r="F172" s="17">
        <v>44914</v>
      </c>
      <c r="G172" s="58">
        <v>29</v>
      </c>
      <c r="H172" s="3">
        <v>29</v>
      </c>
      <c r="I172" s="3">
        <v>29</v>
      </c>
      <c r="J172" s="23">
        <v>4.1630001068115199</v>
      </c>
      <c r="K172" s="23">
        <v>4.1630001068115199</v>
      </c>
      <c r="L172" s="24">
        <v>4.1630001068115199</v>
      </c>
    </row>
    <row r="173" spans="2:12" x14ac:dyDescent="0.25">
      <c r="B173" s="17">
        <v>44915</v>
      </c>
      <c r="C173" s="58">
        <v>29</v>
      </c>
      <c r="D173" s="24">
        <v>4.2300000190734801</v>
      </c>
      <c r="F173" s="17">
        <v>44915</v>
      </c>
      <c r="G173" s="58">
        <v>29</v>
      </c>
      <c r="H173" s="3">
        <v>29</v>
      </c>
      <c r="I173" s="3">
        <v>29</v>
      </c>
      <c r="J173" s="23">
        <v>4.2300000190734801</v>
      </c>
      <c r="K173" s="23">
        <v>4.2300000190734801</v>
      </c>
      <c r="L173" s="24">
        <v>4.2300000190734801</v>
      </c>
    </row>
    <row r="174" spans="2:12" x14ac:dyDescent="0.25">
      <c r="B174" s="17">
        <v>44916</v>
      </c>
      <c r="C174" s="58">
        <v>26</v>
      </c>
      <c r="D174" s="24">
        <v>4.2049999237060502</v>
      </c>
      <c r="F174" s="17">
        <v>44916</v>
      </c>
      <c r="G174" s="58">
        <v>26</v>
      </c>
      <c r="H174" s="3">
        <v>26</v>
      </c>
      <c r="I174" s="3">
        <v>26</v>
      </c>
      <c r="J174" s="23">
        <v>4.2049999237060502</v>
      </c>
      <c r="K174" s="23">
        <v>4.2049999237060502</v>
      </c>
      <c r="L174" s="24">
        <v>4.2049999237060502</v>
      </c>
    </row>
    <row r="175" spans="2:12" x14ac:dyDescent="0.25">
      <c r="B175" s="17">
        <v>44917</v>
      </c>
      <c r="C175" s="58">
        <v>28</v>
      </c>
      <c r="D175" s="24">
        <v>4.2080001831054599</v>
      </c>
      <c r="F175" s="17">
        <v>44917</v>
      </c>
      <c r="G175" s="58">
        <v>28</v>
      </c>
      <c r="H175" s="3">
        <v>28</v>
      </c>
      <c r="I175" s="3">
        <v>28</v>
      </c>
      <c r="J175" s="23">
        <v>4.2080001831054599</v>
      </c>
      <c r="K175" s="23">
        <v>4.2080001831054599</v>
      </c>
      <c r="L175" s="24">
        <v>4.2080001831054599</v>
      </c>
    </row>
    <row r="176" spans="2:12" x14ac:dyDescent="0.25">
      <c r="B176" s="17">
        <v>44918</v>
      </c>
      <c r="C176" s="58">
        <v>27</v>
      </c>
      <c r="D176" s="24">
        <v>4.1929998397827104</v>
      </c>
      <c r="F176" s="17">
        <v>44918</v>
      </c>
      <c r="G176" s="58">
        <v>27</v>
      </c>
      <c r="H176" s="3">
        <v>27</v>
      </c>
      <c r="I176" s="3">
        <v>27</v>
      </c>
      <c r="J176" s="23">
        <v>4.1929998397827104</v>
      </c>
      <c r="K176" s="23">
        <v>4.1929998397827104</v>
      </c>
      <c r="L176" s="24">
        <v>4.1929998397827104</v>
      </c>
    </row>
    <row r="177" spans="2:12" x14ac:dyDescent="0.25">
      <c r="B177" s="17">
        <v>44919</v>
      </c>
      <c r="C177" s="58">
        <v>29</v>
      </c>
      <c r="D177" s="24">
        <v>4.1929998397827104</v>
      </c>
      <c r="F177" s="17">
        <v>44919</v>
      </c>
      <c r="G177" s="58">
        <v>29</v>
      </c>
      <c r="H177" s="3">
        <v>29</v>
      </c>
      <c r="I177" s="3">
        <v>29</v>
      </c>
      <c r="J177" s="23">
        <v>4.1929998397827104</v>
      </c>
      <c r="K177" s="23">
        <v>4.1929998397827104</v>
      </c>
      <c r="L177" s="24">
        <v>4.1929998397827104</v>
      </c>
    </row>
    <row r="178" spans="2:12" x14ac:dyDescent="0.25">
      <c r="B178" s="17">
        <v>44920</v>
      </c>
      <c r="C178" s="58">
        <v>29</v>
      </c>
      <c r="D178" s="24">
        <v>4.1929998397827104</v>
      </c>
      <c r="F178" s="17">
        <v>44920</v>
      </c>
      <c r="G178" s="58">
        <v>29</v>
      </c>
      <c r="H178" s="3">
        <v>29</v>
      </c>
      <c r="I178" s="3">
        <v>29</v>
      </c>
      <c r="J178" s="23">
        <v>4.1929998397827104</v>
      </c>
      <c r="K178" s="23">
        <v>4.1929998397827104</v>
      </c>
      <c r="L178" s="24">
        <v>4.1929998397827104</v>
      </c>
    </row>
    <row r="179" spans="2:12" x14ac:dyDescent="0.25">
      <c r="B179" s="17">
        <v>44921</v>
      </c>
      <c r="C179" s="58">
        <v>28</v>
      </c>
      <c r="D179" s="24">
        <v>4.1929998397827104</v>
      </c>
      <c r="F179" s="17">
        <v>44921</v>
      </c>
      <c r="G179" s="58">
        <v>28</v>
      </c>
      <c r="H179" s="3">
        <v>28</v>
      </c>
      <c r="I179" s="3">
        <v>28</v>
      </c>
      <c r="J179" s="23">
        <v>4.1929998397827104</v>
      </c>
      <c r="K179" s="23">
        <v>4.1929998397827104</v>
      </c>
      <c r="L179" s="24">
        <v>4.1929998397827104</v>
      </c>
    </row>
    <row r="180" spans="2:12" x14ac:dyDescent="0.25">
      <c r="B180" s="17">
        <v>44922</v>
      </c>
      <c r="C180" s="58">
        <v>27</v>
      </c>
      <c r="D180" s="24">
        <v>4.1950001716613698</v>
      </c>
      <c r="F180" s="17">
        <v>44922</v>
      </c>
      <c r="G180" s="58">
        <v>27</v>
      </c>
      <c r="H180" s="3">
        <v>27</v>
      </c>
      <c r="I180" s="3">
        <v>27</v>
      </c>
      <c r="J180" s="23">
        <v>4.1950001716613698</v>
      </c>
      <c r="K180" s="23">
        <v>4.1950001716613698</v>
      </c>
      <c r="L180" s="24">
        <v>4.1950001716613698</v>
      </c>
    </row>
    <row r="181" spans="2:12" x14ac:dyDescent="0.25">
      <c r="B181" s="17">
        <v>44923</v>
      </c>
      <c r="C181" s="58">
        <v>28</v>
      </c>
      <c r="D181" s="24">
        <v>4.3379998207092196</v>
      </c>
      <c r="F181" s="17">
        <v>44923</v>
      </c>
      <c r="G181" s="58">
        <v>28</v>
      </c>
      <c r="H181" s="3">
        <v>28</v>
      </c>
      <c r="I181" s="3">
        <v>28</v>
      </c>
      <c r="J181" s="23">
        <v>4.3379998207092196</v>
      </c>
      <c r="K181" s="23">
        <v>4.3379998207092196</v>
      </c>
      <c r="L181" s="24">
        <v>4.3379998207092196</v>
      </c>
    </row>
    <row r="182" spans="2:12" x14ac:dyDescent="0.25">
      <c r="B182" s="17">
        <v>44924</v>
      </c>
      <c r="C182" s="58">
        <v>28</v>
      </c>
      <c r="D182" s="24">
        <v>4.29500007629394</v>
      </c>
      <c r="F182" s="17">
        <v>44924</v>
      </c>
      <c r="G182" s="58">
        <v>28</v>
      </c>
      <c r="H182" s="3">
        <v>28</v>
      </c>
      <c r="I182" s="3">
        <v>28</v>
      </c>
      <c r="J182" s="23">
        <v>4.29500007629394</v>
      </c>
      <c r="K182" s="23">
        <v>4.29500007629394</v>
      </c>
      <c r="L182" s="24">
        <v>4.29500007629394</v>
      </c>
    </row>
    <row r="183" spans="2:12" x14ac:dyDescent="0.25">
      <c r="B183" s="17">
        <v>44925</v>
      </c>
      <c r="C183" s="58">
        <v>28</v>
      </c>
      <c r="D183" s="24">
        <v>4.2600002288818297</v>
      </c>
      <c r="F183" s="17">
        <v>44925</v>
      </c>
      <c r="G183" s="58">
        <v>28</v>
      </c>
      <c r="H183" s="3">
        <v>28</v>
      </c>
      <c r="I183" s="3">
        <v>28</v>
      </c>
      <c r="J183" s="23">
        <v>4.2600002288818297</v>
      </c>
      <c r="K183" s="23">
        <v>4.2600002288818297</v>
      </c>
      <c r="L183" s="24">
        <v>4.2600002288818297</v>
      </c>
    </row>
    <row r="184" spans="2:12" x14ac:dyDescent="0.25">
      <c r="B184" s="17">
        <v>44926</v>
      </c>
      <c r="C184" s="58">
        <v>25</v>
      </c>
      <c r="D184" s="24">
        <v>4.2600002288818297</v>
      </c>
      <c r="F184" s="17">
        <v>44926</v>
      </c>
      <c r="G184" s="58">
        <v>25</v>
      </c>
      <c r="H184" s="3">
        <v>25</v>
      </c>
      <c r="I184" s="3">
        <v>25</v>
      </c>
      <c r="J184" s="23">
        <v>4.2600002288818297</v>
      </c>
      <c r="K184" s="23">
        <v>4.2600002288818297</v>
      </c>
      <c r="L184" s="24">
        <v>4.2600002288818297</v>
      </c>
    </row>
    <row r="185" spans="2:12" x14ac:dyDescent="0.25">
      <c r="B185" s="17">
        <v>44927</v>
      </c>
      <c r="C185" s="58">
        <v>26</v>
      </c>
      <c r="D185" s="24">
        <v>4.2600002288818297</v>
      </c>
      <c r="F185" s="17">
        <v>44927</v>
      </c>
      <c r="G185" s="58">
        <v>26</v>
      </c>
      <c r="H185" s="3">
        <v>26</v>
      </c>
      <c r="I185" s="3">
        <v>26</v>
      </c>
      <c r="J185" s="23">
        <v>4.2600002288818297</v>
      </c>
      <c r="K185" s="23">
        <v>4.2600002288818297</v>
      </c>
      <c r="L185" s="24">
        <v>4.2600002288818297</v>
      </c>
    </row>
    <row r="186" spans="2:12" x14ac:dyDescent="0.25">
      <c r="B186" s="17">
        <v>44928</v>
      </c>
      <c r="C186" s="58">
        <v>27</v>
      </c>
      <c r="D186" s="24">
        <v>4.2600002288818297</v>
      </c>
      <c r="F186" s="17">
        <v>44928</v>
      </c>
      <c r="G186" s="58">
        <v>27</v>
      </c>
      <c r="H186" s="3">
        <v>27</v>
      </c>
      <c r="I186" s="3">
        <v>27</v>
      </c>
      <c r="J186" s="23">
        <v>4.2600002288818297</v>
      </c>
      <c r="K186" s="23">
        <v>4.2600002288818297</v>
      </c>
      <c r="L186" s="24">
        <v>4.2600002288818297</v>
      </c>
    </row>
    <row r="187" spans="2:12" x14ac:dyDescent="0.25">
      <c r="B187" s="17">
        <v>44929</v>
      </c>
      <c r="C187" s="58">
        <v>26</v>
      </c>
      <c r="D187" s="24">
        <v>4.25500011444091</v>
      </c>
      <c r="F187" s="17">
        <v>44929</v>
      </c>
      <c r="G187" s="58">
        <v>26</v>
      </c>
      <c r="H187" s="3">
        <v>26</v>
      </c>
      <c r="I187" s="3">
        <v>26</v>
      </c>
      <c r="J187" s="23">
        <v>4.25500011444091</v>
      </c>
      <c r="K187" s="23">
        <v>4.25500011444091</v>
      </c>
      <c r="L187" s="24">
        <v>4.25500011444091</v>
      </c>
    </row>
    <row r="188" spans="2:12" x14ac:dyDescent="0.25">
      <c r="B188" s="17">
        <v>44930</v>
      </c>
      <c r="C188" s="58">
        <v>29</v>
      </c>
      <c r="D188" s="24">
        <v>4.4000000953674299</v>
      </c>
      <c r="F188" s="17">
        <v>44930</v>
      </c>
      <c r="G188" s="58">
        <v>29</v>
      </c>
      <c r="H188" s="3">
        <v>29</v>
      </c>
      <c r="I188" s="3">
        <v>29</v>
      </c>
      <c r="J188" s="23">
        <v>4.4000000953674299</v>
      </c>
      <c r="K188" s="23">
        <v>4.4000000953674299</v>
      </c>
      <c r="L188" s="24">
        <v>4.4000000953674299</v>
      </c>
    </row>
    <row r="189" spans="2:12" x14ac:dyDescent="0.25">
      <c r="B189" s="17">
        <v>44931</v>
      </c>
      <c r="C189" s="58">
        <v>29</v>
      </c>
      <c r="D189" s="24">
        <v>4.4980001449584899</v>
      </c>
      <c r="F189" s="17">
        <v>44931</v>
      </c>
      <c r="G189" s="58">
        <v>29</v>
      </c>
      <c r="H189" s="3">
        <v>29</v>
      </c>
      <c r="I189" s="3">
        <v>29</v>
      </c>
      <c r="J189" s="23">
        <v>4.4980001449584899</v>
      </c>
      <c r="K189" s="23">
        <v>4.4980001449584899</v>
      </c>
      <c r="L189" s="24">
        <v>4.4980001449584899</v>
      </c>
    </row>
    <row r="190" spans="2:12" x14ac:dyDescent="0.25">
      <c r="B190" s="17">
        <v>44932</v>
      </c>
      <c r="C190" s="58">
        <v>26</v>
      </c>
      <c r="D190" s="24">
        <v>4.4930000305175701</v>
      </c>
      <c r="F190" s="17">
        <v>44932</v>
      </c>
      <c r="G190" s="58">
        <v>26</v>
      </c>
      <c r="H190" s="3">
        <v>26</v>
      </c>
      <c r="I190" s="3">
        <v>26</v>
      </c>
      <c r="J190" s="23">
        <v>4.4930000305175701</v>
      </c>
      <c r="K190" s="23">
        <v>4.4930000305175701</v>
      </c>
      <c r="L190" s="24">
        <v>4.4930000305175701</v>
      </c>
    </row>
    <row r="191" spans="2:12" x14ac:dyDescent="0.25">
      <c r="B191" s="17">
        <v>44933</v>
      </c>
      <c r="C191" s="58">
        <v>25</v>
      </c>
      <c r="D191" s="24">
        <v>4.4930000305175701</v>
      </c>
      <c r="F191" s="17">
        <v>44933</v>
      </c>
      <c r="G191" s="58">
        <v>25</v>
      </c>
      <c r="H191" s="3">
        <v>25</v>
      </c>
      <c r="I191" s="3">
        <v>25</v>
      </c>
      <c r="J191" s="23">
        <v>4.4930000305175701</v>
      </c>
      <c r="K191" s="23">
        <v>4.4930000305175701</v>
      </c>
      <c r="L191" s="24">
        <v>4.4930000305175701</v>
      </c>
    </row>
    <row r="192" spans="2:12" x14ac:dyDescent="0.25">
      <c r="B192" s="17">
        <v>44934</v>
      </c>
      <c r="C192" s="58">
        <v>25</v>
      </c>
      <c r="D192" s="24">
        <v>4.4930000305175701</v>
      </c>
      <c r="F192" s="17">
        <v>44934</v>
      </c>
      <c r="G192" s="58">
        <v>25</v>
      </c>
      <c r="H192" s="3">
        <v>25</v>
      </c>
      <c r="I192" s="3">
        <v>25</v>
      </c>
      <c r="J192" s="23">
        <v>4.4930000305175701</v>
      </c>
      <c r="K192" s="23">
        <v>4.4930000305175701</v>
      </c>
      <c r="L192" s="24">
        <v>4.4930000305175701</v>
      </c>
    </row>
    <row r="193" spans="2:12" x14ac:dyDescent="0.25">
      <c r="B193" s="17">
        <v>44935</v>
      </c>
      <c r="C193" s="58">
        <v>25</v>
      </c>
      <c r="D193" s="24">
        <v>4.4829998016357404</v>
      </c>
      <c r="F193" s="17">
        <v>44935</v>
      </c>
      <c r="G193" s="58">
        <v>25</v>
      </c>
      <c r="H193" s="3">
        <v>25</v>
      </c>
      <c r="I193" s="3">
        <v>25</v>
      </c>
      <c r="J193" s="23">
        <v>4.4829998016357404</v>
      </c>
      <c r="K193" s="23">
        <v>4.4829998016357404</v>
      </c>
      <c r="L193" s="24">
        <v>4.4829998016357404</v>
      </c>
    </row>
    <row r="194" spans="2:12" x14ac:dyDescent="0.25">
      <c r="B194" s="17">
        <v>44936</v>
      </c>
      <c r="C194" s="58">
        <v>26</v>
      </c>
      <c r="D194" s="24">
        <v>4.5650000572204501</v>
      </c>
      <c r="F194" s="17">
        <v>44936</v>
      </c>
      <c r="G194" s="58">
        <v>26</v>
      </c>
      <c r="H194" s="3">
        <v>26</v>
      </c>
      <c r="I194" s="3">
        <v>26</v>
      </c>
      <c r="J194" s="23">
        <v>4.5650000572204501</v>
      </c>
      <c r="K194" s="23">
        <v>4.5650000572204501</v>
      </c>
      <c r="L194" s="24">
        <v>4.5650000572204501</v>
      </c>
    </row>
    <row r="195" spans="2:12" x14ac:dyDescent="0.25">
      <c r="B195" s="17">
        <v>44937</v>
      </c>
      <c r="C195" s="58">
        <v>26</v>
      </c>
      <c r="D195" s="24">
        <v>4.5549998283386204</v>
      </c>
      <c r="F195" s="17">
        <v>44937</v>
      </c>
      <c r="G195" s="58">
        <v>26</v>
      </c>
      <c r="H195" s="3">
        <v>26</v>
      </c>
      <c r="I195" s="3">
        <v>26</v>
      </c>
      <c r="J195" s="23">
        <v>4.5549998283386204</v>
      </c>
      <c r="K195" s="23">
        <v>4.5549998283386204</v>
      </c>
      <c r="L195" s="24">
        <v>4.5549998283386204</v>
      </c>
    </row>
    <row r="196" spans="2:12" x14ac:dyDescent="0.25">
      <c r="B196" s="17">
        <v>44938</v>
      </c>
      <c r="C196" s="58">
        <v>30</v>
      </c>
      <c r="D196" s="24">
        <v>4.4749999046325604</v>
      </c>
      <c r="F196" s="17">
        <v>44938</v>
      </c>
      <c r="G196" s="58">
        <v>30</v>
      </c>
      <c r="H196" s="3">
        <v>30</v>
      </c>
      <c r="I196" s="3">
        <v>30</v>
      </c>
      <c r="J196" s="23">
        <v>4.4749999046325604</v>
      </c>
      <c r="K196" s="23">
        <v>4.4749999046325604</v>
      </c>
      <c r="L196" s="24">
        <v>4.4749999046325604</v>
      </c>
    </row>
    <row r="197" spans="2:12" x14ac:dyDescent="0.25">
      <c r="B197" s="17">
        <v>44939</v>
      </c>
      <c r="C197" s="58">
        <v>31</v>
      </c>
      <c r="D197" s="24">
        <v>4.4879999160766602</v>
      </c>
      <c r="F197" s="17">
        <v>44939</v>
      </c>
      <c r="G197" s="58">
        <v>31</v>
      </c>
      <c r="H197" s="3">
        <v>31</v>
      </c>
      <c r="I197" s="3">
        <v>31</v>
      </c>
      <c r="J197" s="23">
        <v>4.4879999160766602</v>
      </c>
      <c r="K197" s="23">
        <v>4.4879999160766602</v>
      </c>
      <c r="L197" s="24">
        <v>4.4879999160766602</v>
      </c>
    </row>
    <row r="198" spans="2:12" x14ac:dyDescent="0.25">
      <c r="B198" s="17">
        <v>44940</v>
      </c>
      <c r="C198" s="58">
        <v>46</v>
      </c>
      <c r="D198" s="24">
        <v>4.4879999160766602</v>
      </c>
      <c r="F198" s="17">
        <v>44940</v>
      </c>
      <c r="G198" s="58">
        <v>46</v>
      </c>
      <c r="H198" s="3">
        <v>46</v>
      </c>
      <c r="I198" s="3">
        <v>46</v>
      </c>
      <c r="J198" s="23">
        <v>4.4879999160766602</v>
      </c>
      <c r="K198" s="23">
        <v>4.4879999160766602</v>
      </c>
      <c r="L198" s="24">
        <v>4.4879999160766602</v>
      </c>
    </row>
    <row r="199" spans="2:12" x14ac:dyDescent="0.25">
      <c r="B199" s="17">
        <v>44941</v>
      </c>
      <c r="C199" s="58">
        <v>52</v>
      </c>
      <c r="D199" s="24">
        <v>4.4879999160766602</v>
      </c>
      <c r="F199" s="17">
        <v>44941</v>
      </c>
      <c r="G199" s="58">
        <v>52</v>
      </c>
      <c r="H199" s="3">
        <v>52</v>
      </c>
      <c r="I199" s="3">
        <v>52</v>
      </c>
      <c r="J199" s="23">
        <v>4.4879999160766602</v>
      </c>
      <c r="K199" s="23">
        <v>4.4879999160766602</v>
      </c>
      <c r="L199" s="24">
        <v>4.4879999160766602</v>
      </c>
    </row>
    <row r="200" spans="2:12" x14ac:dyDescent="0.25">
      <c r="B200" s="17">
        <v>44942</v>
      </c>
      <c r="C200" s="58">
        <v>45</v>
      </c>
      <c r="D200" s="24">
        <v>4.4879999160766602</v>
      </c>
      <c r="F200" s="17">
        <v>44942</v>
      </c>
      <c r="G200" s="58">
        <v>45</v>
      </c>
      <c r="H200" s="3">
        <v>45</v>
      </c>
      <c r="I200" s="3">
        <v>45</v>
      </c>
      <c r="J200" s="23">
        <v>4.4879999160766602</v>
      </c>
      <c r="K200" s="23">
        <v>4.4879999160766602</v>
      </c>
      <c r="L200" s="24">
        <v>4.4879999160766602</v>
      </c>
    </row>
    <row r="201" spans="2:12" x14ac:dyDescent="0.25">
      <c r="B201" s="17">
        <v>44943</v>
      </c>
      <c r="C201" s="58">
        <v>51</v>
      </c>
      <c r="D201" s="24">
        <v>4.4930000305175701</v>
      </c>
      <c r="F201" s="17">
        <v>44943</v>
      </c>
      <c r="G201" s="58">
        <v>51</v>
      </c>
      <c r="H201" s="3">
        <v>51</v>
      </c>
      <c r="I201" s="3">
        <v>51</v>
      </c>
      <c r="J201" s="23">
        <v>4.4930000305175701</v>
      </c>
      <c r="K201" s="23">
        <v>4.4930000305175701</v>
      </c>
      <c r="L201" s="24">
        <v>4.4930000305175701</v>
      </c>
    </row>
    <row r="202" spans="2:12" x14ac:dyDescent="0.25">
      <c r="B202" s="17">
        <v>44944</v>
      </c>
      <c r="C202" s="58">
        <v>52</v>
      </c>
      <c r="D202" s="24">
        <v>4.5300002098083496</v>
      </c>
      <c r="F202" s="17">
        <v>44944</v>
      </c>
      <c r="G202" s="58">
        <v>52</v>
      </c>
      <c r="H202" s="3">
        <v>52</v>
      </c>
      <c r="I202" s="3">
        <v>52</v>
      </c>
      <c r="J202" s="23">
        <v>4.5300002098083496</v>
      </c>
      <c r="K202" s="23">
        <v>4.5300002098083496</v>
      </c>
      <c r="L202" s="24">
        <v>4.5300002098083496</v>
      </c>
    </row>
    <row r="203" spans="2:12" ht="15.75" thickBot="1" x14ac:dyDescent="0.3">
      <c r="B203" s="18">
        <v>44945</v>
      </c>
      <c r="C203" s="58">
        <v>45</v>
      </c>
      <c r="D203" s="24">
        <v>4.5250000953674299</v>
      </c>
      <c r="F203" s="18">
        <v>44945</v>
      </c>
      <c r="G203" s="58">
        <v>45</v>
      </c>
      <c r="H203" s="3">
        <v>45</v>
      </c>
      <c r="I203" s="3">
        <v>45</v>
      </c>
      <c r="J203" s="23">
        <v>4.5250000953674299</v>
      </c>
      <c r="K203" s="23">
        <v>4.5250000953674299</v>
      </c>
      <c r="L203" s="24">
        <v>4.5250000953674299</v>
      </c>
    </row>
    <row r="204" spans="2:12" x14ac:dyDescent="0.25">
      <c r="B204" s="16">
        <v>44946</v>
      </c>
      <c r="C204" s="58">
        <v>51</v>
      </c>
      <c r="D204" s="24">
        <v>4.5380001068115199</v>
      </c>
      <c r="F204" s="16">
        <v>44946</v>
      </c>
      <c r="G204" s="58">
        <v>51</v>
      </c>
      <c r="H204" s="3">
        <v>51</v>
      </c>
      <c r="I204" s="3">
        <v>51</v>
      </c>
      <c r="J204" s="23">
        <v>4.5380001068115199</v>
      </c>
      <c r="K204" s="23">
        <v>4.5380001068115199</v>
      </c>
      <c r="L204" s="24">
        <v>4.5380001068115199</v>
      </c>
    </row>
    <row r="205" spans="2:12" x14ac:dyDescent="0.25">
      <c r="B205" s="17">
        <v>44947</v>
      </c>
      <c r="C205" s="58">
        <v>53</v>
      </c>
      <c r="D205" s="24">
        <v>4.5380001068115199</v>
      </c>
      <c r="F205" s="17">
        <v>44947</v>
      </c>
      <c r="G205" s="58">
        <v>53</v>
      </c>
      <c r="H205" s="3">
        <v>53</v>
      </c>
      <c r="I205" s="3">
        <v>53</v>
      </c>
      <c r="J205" s="23">
        <v>4.5380001068115199</v>
      </c>
      <c r="K205" s="23">
        <v>4.5380001068115199</v>
      </c>
      <c r="L205" s="24">
        <v>4.5380001068115199</v>
      </c>
    </row>
    <row r="206" spans="2:12" x14ac:dyDescent="0.25">
      <c r="B206" s="17">
        <v>44948</v>
      </c>
      <c r="C206" s="58">
        <v>53</v>
      </c>
      <c r="D206" s="24">
        <v>4.5380001068115199</v>
      </c>
      <c r="F206" s="17">
        <v>44948</v>
      </c>
      <c r="G206" s="58">
        <v>53</v>
      </c>
      <c r="H206" s="3">
        <v>53</v>
      </c>
      <c r="I206" s="3">
        <v>53</v>
      </c>
      <c r="J206" s="23">
        <v>4.5380001068115199</v>
      </c>
      <c r="K206" s="23">
        <v>4.5380001068115199</v>
      </c>
      <c r="L206" s="24">
        <v>4.5380001068115199</v>
      </c>
    </row>
    <row r="207" spans="2:12" x14ac:dyDescent="0.25">
      <c r="B207" s="17">
        <v>44949</v>
      </c>
      <c r="C207" s="58">
        <v>50</v>
      </c>
      <c r="D207" s="24">
        <v>4.5349998474120996</v>
      </c>
      <c r="F207" s="17">
        <v>44949</v>
      </c>
      <c r="G207" s="58">
        <v>50</v>
      </c>
      <c r="H207" s="3">
        <v>50</v>
      </c>
      <c r="I207" s="3">
        <v>50</v>
      </c>
      <c r="J207" s="23">
        <v>4.5349998474120996</v>
      </c>
      <c r="K207" s="23">
        <v>4.5349998474120996</v>
      </c>
      <c r="L207" s="24">
        <v>4.5349998474120996</v>
      </c>
    </row>
    <row r="208" spans="2:12" x14ac:dyDescent="0.25">
      <c r="B208" s="17">
        <v>44950</v>
      </c>
      <c r="C208" s="58">
        <v>52</v>
      </c>
      <c r="D208" s="24">
        <v>4.5729999542236301</v>
      </c>
      <c r="F208" s="17">
        <v>44950</v>
      </c>
      <c r="G208" s="58">
        <v>52</v>
      </c>
      <c r="H208" s="3">
        <v>52</v>
      </c>
      <c r="I208" s="3">
        <v>52</v>
      </c>
      <c r="J208" s="23">
        <v>4.5729999542236301</v>
      </c>
      <c r="K208" s="23">
        <v>4.5729999542236301</v>
      </c>
      <c r="L208" s="24">
        <v>4.5729999542236301</v>
      </c>
    </row>
    <row r="209" spans="2:12" x14ac:dyDescent="0.25">
      <c r="B209" s="17">
        <v>44951</v>
      </c>
      <c r="C209" s="58">
        <v>51</v>
      </c>
      <c r="D209" s="24">
        <v>4.54500007629394</v>
      </c>
      <c r="F209" s="17">
        <v>44951</v>
      </c>
      <c r="G209" s="58">
        <v>51</v>
      </c>
      <c r="H209" s="3">
        <v>51</v>
      </c>
      <c r="I209" s="3">
        <v>51</v>
      </c>
      <c r="J209" s="23">
        <v>4.54500007629394</v>
      </c>
      <c r="K209" s="23">
        <v>4.54500007629394</v>
      </c>
      <c r="L209" s="24">
        <v>4.54500007629394</v>
      </c>
    </row>
    <row r="210" spans="2:12" x14ac:dyDescent="0.25">
      <c r="B210" s="17">
        <v>44952</v>
      </c>
      <c r="C210" s="58">
        <v>54</v>
      </c>
      <c r="D210" s="24">
        <v>4.5430002212524396</v>
      </c>
      <c r="F210" s="17">
        <v>44952</v>
      </c>
      <c r="G210" s="58">
        <v>54</v>
      </c>
      <c r="H210" s="3">
        <v>54</v>
      </c>
      <c r="I210" s="3">
        <v>54</v>
      </c>
      <c r="J210" s="23">
        <v>4.5430002212524396</v>
      </c>
      <c r="K210" s="23">
        <v>4.5430002212524396</v>
      </c>
      <c r="L210" s="24">
        <v>4.5430002212524396</v>
      </c>
    </row>
    <row r="211" spans="2:12" x14ac:dyDescent="0.25">
      <c r="B211" s="17">
        <v>44953</v>
      </c>
      <c r="C211" s="58">
        <v>55</v>
      </c>
      <c r="D211" s="24">
        <v>4.5479998588562003</v>
      </c>
      <c r="F211" s="17">
        <v>44953</v>
      </c>
      <c r="G211" s="58">
        <v>55</v>
      </c>
      <c r="H211" s="3">
        <v>55</v>
      </c>
      <c r="I211" s="3">
        <v>55</v>
      </c>
      <c r="J211" s="23">
        <v>4.5479998588562003</v>
      </c>
      <c r="K211" s="23">
        <v>4.5479998588562003</v>
      </c>
      <c r="L211" s="24">
        <v>4.5479998588562003</v>
      </c>
    </row>
    <row r="212" spans="2:12" x14ac:dyDescent="0.25">
      <c r="B212" s="17">
        <v>44954</v>
      </c>
      <c r="C212" s="58">
        <v>52</v>
      </c>
      <c r="D212" s="24">
        <v>4.5479998588562003</v>
      </c>
      <c r="F212" s="17">
        <v>44954</v>
      </c>
      <c r="G212" s="58">
        <v>52</v>
      </c>
      <c r="H212" s="3">
        <v>52</v>
      </c>
      <c r="I212" s="3">
        <v>52</v>
      </c>
      <c r="J212" s="23">
        <v>4.5479998588562003</v>
      </c>
      <c r="K212" s="23">
        <v>4.5479998588562003</v>
      </c>
      <c r="L212" s="24">
        <v>4.5479998588562003</v>
      </c>
    </row>
    <row r="213" spans="2:12" x14ac:dyDescent="0.25">
      <c r="B213" s="17">
        <v>44955</v>
      </c>
      <c r="C213" s="58">
        <v>55</v>
      </c>
      <c r="D213" s="24">
        <v>4.5479998588562003</v>
      </c>
      <c r="F213" s="17">
        <v>44955</v>
      </c>
      <c r="G213" s="58">
        <v>55</v>
      </c>
      <c r="H213" s="3">
        <v>55</v>
      </c>
      <c r="I213" s="3">
        <v>55</v>
      </c>
      <c r="J213" s="23">
        <v>4.5479998588562003</v>
      </c>
      <c r="K213" s="23">
        <v>4.5479998588562003</v>
      </c>
      <c r="L213" s="24">
        <v>4.5479998588562003</v>
      </c>
    </row>
    <row r="214" spans="2:12" x14ac:dyDescent="0.25">
      <c r="B214" s="17">
        <v>44956</v>
      </c>
      <c r="C214" s="58">
        <v>61</v>
      </c>
      <c r="D214" s="24">
        <v>4.5349998474120996</v>
      </c>
      <c r="F214" s="17">
        <v>44956</v>
      </c>
      <c r="G214" s="58">
        <v>61</v>
      </c>
      <c r="H214" s="3">
        <v>61</v>
      </c>
      <c r="I214" s="3">
        <v>61</v>
      </c>
      <c r="J214" s="23">
        <v>4.5349998474120996</v>
      </c>
      <c r="K214" s="23">
        <v>4.5349998474120996</v>
      </c>
      <c r="L214" s="24">
        <v>4.5349998474120996</v>
      </c>
    </row>
    <row r="215" spans="2:12" x14ac:dyDescent="0.25">
      <c r="B215" s="17">
        <v>44957</v>
      </c>
      <c r="C215" s="58">
        <v>51</v>
      </c>
      <c r="D215" s="24">
        <v>4.5700001716613698</v>
      </c>
      <c r="F215" s="17">
        <v>44957</v>
      </c>
      <c r="G215" s="58">
        <v>51</v>
      </c>
      <c r="H215" s="3">
        <v>51</v>
      </c>
      <c r="I215" s="3">
        <v>51</v>
      </c>
      <c r="J215" s="23">
        <v>4.5700001716613698</v>
      </c>
      <c r="K215" s="23">
        <v>4.5700001716613698</v>
      </c>
      <c r="L215" s="24">
        <v>4.5700001716613698</v>
      </c>
    </row>
    <row r="216" spans="2:12" x14ac:dyDescent="0.25">
      <c r="B216" s="17">
        <v>44958</v>
      </c>
      <c r="C216" s="58">
        <v>56</v>
      </c>
      <c r="D216" s="24">
        <v>4.5199999809265101</v>
      </c>
      <c r="F216" s="17">
        <v>44958</v>
      </c>
      <c r="G216" s="58">
        <v>56</v>
      </c>
      <c r="H216" s="3">
        <v>56</v>
      </c>
      <c r="I216" s="3">
        <v>56</v>
      </c>
      <c r="J216" s="23">
        <v>4.5199999809265101</v>
      </c>
      <c r="K216" s="23">
        <v>4.5199999809265101</v>
      </c>
      <c r="L216" s="24">
        <v>4.5199999809265101</v>
      </c>
    </row>
    <row r="217" spans="2:12" x14ac:dyDescent="0.25">
      <c r="B217" s="17">
        <v>44959</v>
      </c>
      <c r="C217" s="58">
        <v>60</v>
      </c>
      <c r="D217" s="24">
        <v>4.5100002288818297</v>
      </c>
      <c r="F217" s="17">
        <v>44959</v>
      </c>
      <c r="G217" s="58">
        <v>60</v>
      </c>
      <c r="H217" s="3">
        <v>60</v>
      </c>
      <c r="I217" s="3">
        <v>60</v>
      </c>
      <c r="J217" s="23">
        <v>4.5100002288818297</v>
      </c>
      <c r="K217" s="23">
        <v>4.5100002288818297</v>
      </c>
      <c r="L217" s="24">
        <v>4.5100002288818297</v>
      </c>
    </row>
    <row r="218" spans="2:12" x14ac:dyDescent="0.25">
      <c r="B218" s="17">
        <v>44960</v>
      </c>
      <c r="C218" s="58">
        <v>60</v>
      </c>
      <c r="D218" s="24">
        <v>4.5229997634887598</v>
      </c>
      <c r="F218" s="17">
        <v>44960</v>
      </c>
      <c r="G218" s="58">
        <v>60</v>
      </c>
      <c r="H218" s="3">
        <v>60</v>
      </c>
      <c r="I218" s="3">
        <v>60</v>
      </c>
      <c r="J218" s="23">
        <v>4.5229997634887598</v>
      </c>
      <c r="K218" s="23">
        <v>4.5229997634887598</v>
      </c>
      <c r="L218" s="24">
        <v>4.5229997634887598</v>
      </c>
    </row>
    <row r="219" spans="2:12" x14ac:dyDescent="0.25">
      <c r="B219" s="17">
        <v>44961</v>
      </c>
      <c r="C219" s="58">
        <v>58</v>
      </c>
      <c r="D219" s="24">
        <v>4.5229997634887598</v>
      </c>
      <c r="F219" s="17">
        <v>44961</v>
      </c>
      <c r="G219" s="58">
        <v>58</v>
      </c>
      <c r="H219" s="3">
        <v>58</v>
      </c>
      <c r="I219" s="3">
        <v>58</v>
      </c>
      <c r="J219" s="23">
        <v>4.5229997634887598</v>
      </c>
      <c r="K219" s="23">
        <v>4.5229997634887598</v>
      </c>
      <c r="L219" s="24">
        <v>4.5229997634887598</v>
      </c>
    </row>
    <row r="220" spans="2:12" x14ac:dyDescent="0.25">
      <c r="B220" s="17">
        <v>44962</v>
      </c>
      <c r="C220" s="58">
        <v>58</v>
      </c>
      <c r="D220" s="24">
        <v>4.5229997634887598</v>
      </c>
      <c r="F220" s="17">
        <v>44962</v>
      </c>
      <c r="G220" s="58">
        <v>58</v>
      </c>
      <c r="H220" s="3">
        <v>58</v>
      </c>
      <c r="I220" s="3">
        <v>58</v>
      </c>
      <c r="J220" s="23">
        <v>4.5229997634887598</v>
      </c>
      <c r="K220" s="23">
        <v>4.5229997634887598</v>
      </c>
      <c r="L220" s="24">
        <v>4.5229997634887598</v>
      </c>
    </row>
    <row r="221" spans="2:12" x14ac:dyDescent="0.25">
      <c r="B221" s="17">
        <v>44963</v>
      </c>
      <c r="C221" s="58">
        <v>56</v>
      </c>
      <c r="D221" s="24">
        <v>4.5329999923706001</v>
      </c>
      <c r="F221" s="17">
        <v>44963</v>
      </c>
      <c r="G221" s="58">
        <v>56</v>
      </c>
      <c r="H221" s="3">
        <v>56</v>
      </c>
      <c r="I221" s="3">
        <v>56</v>
      </c>
      <c r="J221" s="23">
        <v>4.5329999923706001</v>
      </c>
      <c r="K221" s="23">
        <v>4.5329999923706001</v>
      </c>
      <c r="L221" s="24">
        <v>4.5329999923706001</v>
      </c>
    </row>
    <row r="222" spans="2:12" x14ac:dyDescent="0.25">
      <c r="B222" s="17">
        <v>44964</v>
      </c>
      <c r="C222" s="58">
        <v>54</v>
      </c>
      <c r="D222" s="24">
        <v>4.5700001716613698</v>
      </c>
      <c r="F222" s="17">
        <v>44964</v>
      </c>
      <c r="G222" s="58">
        <v>54</v>
      </c>
      <c r="H222" s="3">
        <v>54</v>
      </c>
      <c r="I222" s="3">
        <v>54</v>
      </c>
      <c r="J222" s="23">
        <v>4.5700001716613698</v>
      </c>
      <c r="K222" s="23">
        <v>4.5700001716613698</v>
      </c>
      <c r="L222" s="24">
        <v>4.5700001716613698</v>
      </c>
    </row>
    <row r="223" spans="2:12" x14ac:dyDescent="0.25">
      <c r="B223" s="17">
        <v>44965</v>
      </c>
      <c r="C223" s="58">
        <v>58</v>
      </c>
      <c r="D223" s="24">
        <v>4.58500003814697</v>
      </c>
      <c r="F223" s="17">
        <v>44965</v>
      </c>
      <c r="G223" s="58">
        <v>58</v>
      </c>
      <c r="H223" s="3">
        <v>58</v>
      </c>
      <c r="I223" s="3">
        <v>58</v>
      </c>
      <c r="J223" s="23">
        <v>4.58500003814697</v>
      </c>
      <c r="K223" s="23">
        <v>4.58500003814697</v>
      </c>
      <c r="L223" s="24">
        <v>4.58500003814697</v>
      </c>
    </row>
    <row r="224" spans="2:12" x14ac:dyDescent="0.25">
      <c r="B224" s="17">
        <v>44966</v>
      </c>
      <c r="C224" s="58">
        <v>55</v>
      </c>
      <c r="D224" s="24">
        <v>4.6129999160766602</v>
      </c>
      <c r="F224" s="17">
        <v>44966</v>
      </c>
      <c r="G224" s="58">
        <v>55</v>
      </c>
      <c r="H224" s="3">
        <v>55</v>
      </c>
      <c r="I224" s="3">
        <v>55</v>
      </c>
      <c r="J224" s="23">
        <v>4.6129999160766602</v>
      </c>
      <c r="K224" s="23">
        <v>4.6129999160766602</v>
      </c>
      <c r="L224" s="24">
        <v>4.6129999160766602</v>
      </c>
    </row>
    <row r="225" spans="2:12" x14ac:dyDescent="0.25">
      <c r="B225" s="17">
        <v>44967</v>
      </c>
      <c r="C225" s="58">
        <v>48</v>
      </c>
      <c r="D225" s="24">
        <v>4.6350002288818297</v>
      </c>
      <c r="F225" s="17">
        <v>44967</v>
      </c>
      <c r="G225" s="58">
        <v>48</v>
      </c>
      <c r="H225" s="3">
        <v>48</v>
      </c>
      <c r="I225" s="3">
        <v>48</v>
      </c>
      <c r="J225" s="23">
        <v>4.6350002288818297</v>
      </c>
      <c r="K225" s="23">
        <v>4.6350002288818297</v>
      </c>
      <c r="L225" s="24">
        <v>4.6350002288818297</v>
      </c>
    </row>
    <row r="226" spans="2:12" x14ac:dyDescent="0.25">
      <c r="B226" s="17">
        <v>44968</v>
      </c>
      <c r="C226" s="58">
        <v>49</v>
      </c>
      <c r="D226" s="24">
        <v>4.6350002288818297</v>
      </c>
      <c r="F226" s="17">
        <v>44968</v>
      </c>
      <c r="G226" s="58">
        <v>49</v>
      </c>
      <c r="H226" s="3">
        <v>49</v>
      </c>
      <c r="I226" s="3">
        <v>49</v>
      </c>
      <c r="J226" s="23">
        <v>4.6350002288818297</v>
      </c>
      <c r="K226" s="23">
        <v>4.6350002288818297</v>
      </c>
      <c r="L226" s="24">
        <v>4.6350002288818297</v>
      </c>
    </row>
    <row r="227" spans="2:12" x14ac:dyDescent="0.25">
      <c r="B227" s="17">
        <v>44969</v>
      </c>
      <c r="C227" s="58">
        <v>50</v>
      </c>
      <c r="D227" s="24">
        <v>4.6350002288818297</v>
      </c>
      <c r="F227" s="17">
        <v>44969</v>
      </c>
      <c r="G227" s="58">
        <v>50</v>
      </c>
      <c r="H227" s="3">
        <v>50</v>
      </c>
      <c r="I227" s="3">
        <v>50</v>
      </c>
      <c r="J227" s="23">
        <v>4.6350002288818297</v>
      </c>
      <c r="K227" s="23">
        <v>4.6350002288818297</v>
      </c>
      <c r="L227" s="24">
        <v>4.6350002288818297</v>
      </c>
    </row>
    <row r="228" spans="2:12" x14ac:dyDescent="0.25">
      <c r="B228" s="17">
        <v>44970</v>
      </c>
      <c r="C228" s="58">
        <v>48</v>
      </c>
      <c r="D228" s="24">
        <v>4.6449999809265101</v>
      </c>
      <c r="F228" s="17">
        <v>44970</v>
      </c>
      <c r="G228" s="58">
        <v>48</v>
      </c>
      <c r="H228" s="3">
        <v>48</v>
      </c>
      <c r="I228" s="3">
        <v>48</v>
      </c>
      <c r="J228" s="23">
        <v>4.6449999809265101</v>
      </c>
      <c r="K228" s="23">
        <v>4.6449999809265101</v>
      </c>
      <c r="L228" s="24">
        <v>4.6449999809265101</v>
      </c>
    </row>
    <row r="229" spans="2:12" x14ac:dyDescent="0.25">
      <c r="B229" s="17">
        <v>44971</v>
      </c>
      <c r="C229" s="58">
        <v>50</v>
      </c>
      <c r="D229" s="24">
        <v>4.6599998474120996</v>
      </c>
      <c r="F229" s="17">
        <v>44971</v>
      </c>
      <c r="G229" s="58">
        <v>50</v>
      </c>
      <c r="H229" s="3">
        <v>50</v>
      </c>
      <c r="I229" s="3">
        <v>50</v>
      </c>
      <c r="J229" s="23">
        <v>4.6599998474120996</v>
      </c>
      <c r="K229" s="23">
        <v>4.6599998474120996</v>
      </c>
      <c r="L229" s="24">
        <v>4.6599998474120996</v>
      </c>
    </row>
    <row r="230" spans="2:12" x14ac:dyDescent="0.25">
      <c r="B230" s="17">
        <v>44972</v>
      </c>
      <c r="C230" s="58">
        <v>53</v>
      </c>
      <c r="D230" s="24">
        <v>4.6430001258850098</v>
      </c>
      <c r="F230" s="17">
        <v>44972</v>
      </c>
      <c r="G230" s="58">
        <v>53</v>
      </c>
      <c r="H230" s="3">
        <v>53</v>
      </c>
      <c r="I230" s="3">
        <v>53</v>
      </c>
      <c r="J230" s="23">
        <v>4.6430001258850098</v>
      </c>
      <c r="K230" s="23">
        <v>4.6430001258850098</v>
      </c>
      <c r="L230" s="24">
        <v>4.6430001258850098</v>
      </c>
    </row>
    <row r="231" spans="2:12" x14ac:dyDescent="0.25">
      <c r="B231" s="17">
        <v>44973</v>
      </c>
      <c r="C231" s="58">
        <v>62</v>
      </c>
      <c r="D231" s="24">
        <v>4.6649999618530202</v>
      </c>
      <c r="F231" s="17">
        <v>44973</v>
      </c>
      <c r="G231" s="58">
        <v>62</v>
      </c>
      <c r="H231" s="3">
        <v>62</v>
      </c>
      <c r="I231" s="3">
        <v>62</v>
      </c>
      <c r="J231" s="23">
        <v>4.6649999618530202</v>
      </c>
      <c r="K231" s="23">
        <v>4.6649999618530202</v>
      </c>
      <c r="L231" s="24">
        <v>4.6649999618530202</v>
      </c>
    </row>
    <row r="232" spans="2:12" x14ac:dyDescent="0.25">
      <c r="B232" s="17">
        <v>44974</v>
      </c>
      <c r="C232" s="58">
        <v>61</v>
      </c>
      <c r="D232" s="24">
        <v>4.6799998283386204</v>
      </c>
      <c r="F232" s="17">
        <v>44974</v>
      </c>
      <c r="G232" s="58">
        <v>61</v>
      </c>
      <c r="H232" s="3">
        <v>61</v>
      </c>
      <c r="I232" s="3">
        <v>61</v>
      </c>
      <c r="J232" s="23">
        <v>4.6799998283386204</v>
      </c>
      <c r="K232" s="23">
        <v>4.6799998283386204</v>
      </c>
      <c r="L232" s="24">
        <v>4.6799998283386204</v>
      </c>
    </row>
    <row r="233" spans="2:12" x14ac:dyDescent="0.25">
      <c r="B233" s="17">
        <v>44975</v>
      </c>
      <c r="C233" s="58">
        <v>60</v>
      </c>
      <c r="D233" s="24">
        <v>4.6799998283386204</v>
      </c>
      <c r="F233" s="17">
        <v>44975</v>
      </c>
      <c r="G233" s="58">
        <v>60</v>
      </c>
      <c r="H233" s="3">
        <v>60</v>
      </c>
      <c r="I233" s="3">
        <v>60</v>
      </c>
      <c r="J233" s="23">
        <v>4.6799998283386204</v>
      </c>
      <c r="K233" s="23">
        <v>4.6799998283386204</v>
      </c>
      <c r="L233" s="24">
        <v>4.6799998283386204</v>
      </c>
    </row>
    <row r="234" spans="2:12" x14ac:dyDescent="0.25">
      <c r="B234" s="17">
        <v>44976</v>
      </c>
      <c r="C234" s="58">
        <v>60</v>
      </c>
      <c r="D234" s="24">
        <v>4.6799998283386204</v>
      </c>
      <c r="F234" s="17">
        <v>44976</v>
      </c>
      <c r="G234" s="58">
        <v>60</v>
      </c>
      <c r="H234" s="3">
        <v>60</v>
      </c>
      <c r="I234" s="3">
        <v>60</v>
      </c>
      <c r="J234" s="23">
        <v>4.6799998283386204</v>
      </c>
      <c r="K234" s="23">
        <v>4.6799998283386204</v>
      </c>
      <c r="L234" s="24">
        <v>4.6799998283386204</v>
      </c>
    </row>
    <row r="235" spans="2:12" x14ac:dyDescent="0.25">
      <c r="B235" s="17">
        <v>44977</v>
      </c>
      <c r="C235" s="58">
        <v>58</v>
      </c>
      <c r="D235" s="24">
        <v>4.6799998283386204</v>
      </c>
      <c r="F235" s="17">
        <v>44977</v>
      </c>
      <c r="G235" s="58">
        <v>58</v>
      </c>
      <c r="H235" s="3">
        <v>58</v>
      </c>
      <c r="I235" s="3">
        <v>58</v>
      </c>
      <c r="J235" s="23">
        <v>4.6799998283386204</v>
      </c>
      <c r="K235" s="23">
        <v>4.6799998283386204</v>
      </c>
      <c r="L235" s="24">
        <v>4.6799998283386204</v>
      </c>
    </row>
    <row r="236" spans="2:12" x14ac:dyDescent="0.25">
      <c r="B236" s="17">
        <v>44978</v>
      </c>
      <c r="C236" s="58">
        <v>60</v>
      </c>
      <c r="D236" s="24">
        <v>4.6880002021789497</v>
      </c>
      <c r="F236" s="17">
        <v>44978</v>
      </c>
      <c r="G236" s="58">
        <v>60</v>
      </c>
      <c r="H236" s="3">
        <v>60</v>
      </c>
      <c r="I236" s="3">
        <v>60</v>
      </c>
      <c r="J236" s="23">
        <v>4.6880002021789497</v>
      </c>
      <c r="K236" s="23">
        <v>4.6880002021789497</v>
      </c>
      <c r="L236" s="24">
        <v>4.6880002021789497</v>
      </c>
    </row>
    <row r="237" spans="2:12" x14ac:dyDescent="0.25">
      <c r="B237" s="17">
        <v>44979</v>
      </c>
      <c r="C237" s="58">
        <v>59</v>
      </c>
      <c r="D237" s="24">
        <v>4.6950001716613698</v>
      </c>
      <c r="F237" s="17">
        <v>44979</v>
      </c>
      <c r="G237" s="58">
        <v>59</v>
      </c>
      <c r="H237" s="3">
        <v>59</v>
      </c>
      <c r="I237" s="3">
        <v>59</v>
      </c>
      <c r="J237" s="23">
        <v>4.6950001716613698</v>
      </c>
      <c r="K237" s="23">
        <v>4.6950001716613698</v>
      </c>
      <c r="L237" s="24">
        <v>4.6950001716613698</v>
      </c>
    </row>
    <row r="238" spans="2:12" x14ac:dyDescent="0.25">
      <c r="B238" s="17">
        <v>44980</v>
      </c>
      <c r="C238" s="58">
        <v>56</v>
      </c>
      <c r="D238" s="24">
        <v>4.6900000572204501</v>
      </c>
      <c r="F238" s="17">
        <v>44980</v>
      </c>
      <c r="G238" s="58">
        <v>56</v>
      </c>
      <c r="H238" s="3">
        <v>56</v>
      </c>
      <c r="I238" s="3">
        <v>56</v>
      </c>
      <c r="J238" s="23">
        <v>4.6900000572204501</v>
      </c>
      <c r="K238" s="23">
        <v>4.6900000572204501</v>
      </c>
      <c r="L238" s="24">
        <v>4.6900000572204501</v>
      </c>
    </row>
    <row r="239" spans="2:12" x14ac:dyDescent="0.25">
      <c r="B239" s="17">
        <v>44981</v>
      </c>
      <c r="C239" s="58">
        <v>53</v>
      </c>
      <c r="D239" s="24">
        <v>4.7030000686645499</v>
      </c>
      <c r="F239" s="17">
        <v>44981</v>
      </c>
      <c r="G239" s="58">
        <v>53</v>
      </c>
      <c r="H239" s="3">
        <v>53</v>
      </c>
      <c r="I239" s="3">
        <v>53</v>
      </c>
      <c r="J239" s="23">
        <v>4.7030000686645499</v>
      </c>
      <c r="K239" s="23">
        <v>4.7030000686645499</v>
      </c>
      <c r="L239" s="24">
        <v>4.7030000686645499</v>
      </c>
    </row>
    <row r="240" spans="2:12" x14ac:dyDescent="0.25">
      <c r="B240" s="17">
        <v>44982</v>
      </c>
      <c r="C240" s="58">
        <v>52</v>
      </c>
      <c r="D240" s="24">
        <v>4.7030000686645499</v>
      </c>
      <c r="F240" s="17">
        <v>44982</v>
      </c>
      <c r="G240" s="58">
        <v>52</v>
      </c>
      <c r="H240" s="3">
        <v>52</v>
      </c>
      <c r="I240" s="3">
        <v>52</v>
      </c>
      <c r="J240" s="23">
        <v>4.7030000686645499</v>
      </c>
      <c r="K240" s="23">
        <v>4.7030000686645499</v>
      </c>
      <c r="L240" s="24">
        <v>4.7030000686645499</v>
      </c>
    </row>
    <row r="241" spans="2:12" x14ac:dyDescent="0.25">
      <c r="B241" s="17">
        <v>44983</v>
      </c>
      <c r="C241" s="58">
        <v>51</v>
      </c>
      <c r="D241" s="24">
        <v>4.7030000686645499</v>
      </c>
      <c r="F241" s="17">
        <v>44983</v>
      </c>
      <c r="G241" s="58">
        <v>51</v>
      </c>
      <c r="H241" s="3">
        <v>51</v>
      </c>
      <c r="I241" s="3">
        <v>51</v>
      </c>
      <c r="J241" s="23">
        <v>4.7030000686645499</v>
      </c>
      <c r="K241" s="23">
        <v>4.7030000686645499</v>
      </c>
      <c r="L241" s="24">
        <v>4.7030000686645499</v>
      </c>
    </row>
    <row r="242" spans="2:12" x14ac:dyDescent="0.25">
      <c r="B242" s="17">
        <v>44984</v>
      </c>
      <c r="C242" s="58">
        <v>50</v>
      </c>
      <c r="D242" s="24">
        <v>4.6649999618530202</v>
      </c>
      <c r="F242" s="17">
        <v>44984</v>
      </c>
      <c r="G242" s="58">
        <v>50</v>
      </c>
      <c r="H242" s="3">
        <v>50</v>
      </c>
      <c r="I242" s="3">
        <v>50</v>
      </c>
      <c r="J242" s="23">
        <v>4.6649999618530202</v>
      </c>
      <c r="K242" s="23">
        <v>4.6649999618530202</v>
      </c>
      <c r="L242" s="24">
        <v>4.6649999618530202</v>
      </c>
    </row>
    <row r="243" spans="2:12" x14ac:dyDescent="0.25">
      <c r="B243" s="17">
        <v>44985</v>
      </c>
      <c r="C243" s="58">
        <v>53</v>
      </c>
      <c r="D243" s="24">
        <v>4.71000003814697</v>
      </c>
      <c r="F243" s="17">
        <v>44985</v>
      </c>
      <c r="G243" s="58">
        <v>53</v>
      </c>
      <c r="H243" s="3">
        <v>53</v>
      </c>
      <c r="I243" s="3">
        <v>53</v>
      </c>
      <c r="J243" s="23">
        <v>4.71000003814697</v>
      </c>
      <c r="K243" s="23">
        <v>4.71000003814697</v>
      </c>
      <c r="L243" s="24">
        <v>4.71000003814697</v>
      </c>
    </row>
    <row r="244" spans="2:12" x14ac:dyDescent="0.25">
      <c r="B244" s="17">
        <v>44986</v>
      </c>
      <c r="C244" s="58">
        <v>50</v>
      </c>
      <c r="D244" s="24">
        <v>4.7249999046325604</v>
      </c>
      <c r="F244" s="17">
        <v>44986</v>
      </c>
      <c r="G244" s="58">
        <v>50</v>
      </c>
      <c r="H244" s="3">
        <v>50</v>
      </c>
      <c r="I244" s="3">
        <v>50</v>
      </c>
      <c r="J244" s="23">
        <v>4.7249999046325604</v>
      </c>
      <c r="K244" s="23">
        <v>4.7249999046325604</v>
      </c>
      <c r="L244" s="24">
        <v>4.7249999046325604</v>
      </c>
    </row>
    <row r="245" spans="2:12" x14ac:dyDescent="0.25">
      <c r="B245" s="17">
        <v>44987</v>
      </c>
      <c r="C245" s="58">
        <v>51</v>
      </c>
      <c r="D245" s="24">
        <v>4.72300004959106</v>
      </c>
      <c r="F245" s="17">
        <v>44987</v>
      </c>
      <c r="G245" s="58">
        <v>51</v>
      </c>
      <c r="H245" s="3">
        <v>51</v>
      </c>
      <c r="I245" s="3">
        <v>51</v>
      </c>
      <c r="J245" s="23">
        <v>4.72300004959106</v>
      </c>
      <c r="K245" s="23">
        <v>4.72300004959106</v>
      </c>
      <c r="L245" s="24">
        <v>4.72300004959106</v>
      </c>
    </row>
    <row r="246" spans="2:12" x14ac:dyDescent="0.25">
      <c r="B246" s="17">
        <v>44988</v>
      </c>
      <c r="C246" s="58">
        <v>50</v>
      </c>
      <c r="D246" s="24">
        <v>4.7179999351501403</v>
      </c>
      <c r="F246" s="17">
        <v>44988</v>
      </c>
      <c r="G246" s="58">
        <v>50</v>
      </c>
      <c r="H246" s="3">
        <v>50</v>
      </c>
      <c r="I246" s="3">
        <v>50</v>
      </c>
      <c r="J246" s="23">
        <v>4.7179999351501403</v>
      </c>
      <c r="K246" s="23">
        <v>4.7179999351501403</v>
      </c>
      <c r="L246" s="24">
        <v>4.7179999351501403</v>
      </c>
    </row>
    <row r="247" spans="2:12" x14ac:dyDescent="0.25">
      <c r="B247" s="17">
        <v>44989</v>
      </c>
      <c r="C247" s="58">
        <v>50</v>
      </c>
      <c r="D247" s="24">
        <v>4.7179999351501403</v>
      </c>
      <c r="F247" s="17">
        <v>44989</v>
      </c>
      <c r="G247" s="58">
        <v>50</v>
      </c>
      <c r="H247" s="3">
        <v>50</v>
      </c>
      <c r="I247" s="3">
        <v>50</v>
      </c>
      <c r="J247" s="23">
        <v>4.7179999351501403</v>
      </c>
      <c r="K247" s="23">
        <v>4.7179999351501403</v>
      </c>
      <c r="L247" s="24">
        <v>4.7179999351501403</v>
      </c>
    </row>
    <row r="248" spans="2:12" x14ac:dyDescent="0.25">
      <c r="B248" s="17">
        <v>44990</v>
      </c>
      <c r="C248" s="58">
        <v>47</v>
      </c>
      <c r="D248" s="24">
        <v>4.7179999351501403</v>
      </c>
      <c r="F248" s="17">
        <v>44990</v>
      </c>
      <c r="G248" s="58">
        <v>47</v>
      </c>
      <c r="H248" s="3">
        <v>47</v>
      </c>
      <c r="I248" s="3">
        <v>47</v>
      </c>
      <c r="J248" s="23">
        <v>4.7179999351501403</v>
      </c>
      <c r="K248" s="23">
        <v>4.7179999351501403</v>
      </c>
      <c r="L248" s="24">
        <v>4.7179999351501403</v>
      </c>
    </row>
    <row r="249" spans="2:12" x14ac:dyDescent="0.25">
      <c r="B249" s="17">
        <v>44991</v>
      </c>
      <c r="C249" s="58">
        <v>48</v>
      </c>
      <c r="D249" s="24">
        <v>4.7280001640319798</v>
      </c>
      <c r="F249" s="17">
        <v>44991</v>
      </c>
      <c r="G249" s="58">
        <v>48</v>
      </c>
      <c r="H249" s="3">
        <v>48</v>
      </c>
      <c r="I249" s="3">
        <v>48</v>
      </c>
      <c r="J249" s="23">
        <v>4.7280001640319798</v>
      </c>
      <c r="K249" s="23">
        <v>4.7280001640319798</v>
      </c>
      <c r="L249" s="24">
        <v>4.7280001640319798</v>
      </c>
    </row>
    <row r="250" spans="2:12" x14ac:dyDescent="0.25">
      <c r="B250" s="17">
        <v>44992</v>
      </c>
      <c r="C250" s="58">
        <v>49</v>
      </c>
      <c r="D250" s="24">
        <v>4.8449997901916504</v>
      </c>
      <c r="F250" s="17">
        <v>44992</v>
      </c>
      <c r="G250" s="58">
        <v>49</v>
      </c>
      <c r="H250" s="3">
        <v>49</v>
      </c>
      <c r="I250" s="3">
        <v>49</v>
      </c>
      <c r="J250" s="23">
        <v>4.8449997901916504</v>
      </c>
      <c r="K250" s="23">
        <v>4.8449997901916504</v>
      </c>
      <c r="L250" s="24">
        <v>4.8449997901916504</v>
      </c>
    </row>
    <row r="251" spans="2:12" x14ac:dyDescent="0.25">
      <c r="B251" s="17">
        <v>44993</v>
      </c>
      <c r="C251" s="58">
        <v>50</v>
      </c>
      <c r="D251" s="24">
        <v>4.8829998970031703</v>
      </c>
      <c r="F251" s="17">
        <v>44993</v>
      </c>
      <c r="G251" s="58">
        <v>50</v>
      </c>
      <c r="H251" s="3">
        <v>50</v>
      </c>
      <c r="I251" s="3">
        <v>50</v>
      </c>
      <c r="J251" s="23">
        <v>4.8829998970031703</v>
      </c>
      <c r="K251" s="23">
        <v>4.8829998970031703</v>
      </c>
      <c r="L251" s="24">
        <v>4.8829998970031703</v>
      </c>
    </row>
    <row r="252" spans="2:12" x14ac:dyDescent="0.25">
      <c r="B252" s="17">
        <v>44994</v>
      </c>
      <c r="C252" s="58">
        <v>44</v>
      </c>
      <c r="D252" s="24">
        <v>4.84800004959106</v>
      </c>
      <c r="F252" s="17">
        <v>44994</v>
      </c>
      <c r="G252" s="58">
        <v>44</v>
      </c>
      <c r="H252" s="3">
        <v>44</v>
      </c>
      <c r="I252" s="3">
        <v>44</v>
      </c>
      <c r="J252" s="23">
        <v>4.84800004959106</v>
      </c>
      <c r="K252" s="23">
        <v>4.84800004959106</v>
      </c>
      <c r="L252" s="24">
        <v>4.84800004959106</v>
      </c>
    </row>
    <row r="253" spans="2:12" ht="15.75" thickBot="1" x14ac:dyDescent="0.3">
      <c r="B253" s="18">
        <v>44995</v>
      </c>
      <c r="C253" s="58">
        <v>34</v>
      </c>
      <c r="D253" s="24">
        <v>4.8029999732971103</v>
      </c>
      <c r="F253" s="18">
        <v>44995</v>
      </c>
      <c r="G253" s="58">
        <v>34</v>
      </c>
      <c r="H253" s="3">
        <v>34</v>
      </c>
      <c r="I253" s="3">
        <v>34</v>
      </c>
      <c r="J253" s="23">
        <v>4.8029999732971103</v>
      </c>
      <c r="K253" s="23">
        <v>4.8029999732971103</v>
      </c>
      <c r="L253" s="24">
        <v>4.8029999732971103</v>
      </c>
    </row>
    <row r="254" spans="2:12" x14ac:dyDescent="0.25">
      <c r="B254" s="16">
        <v>44996</v>
      </c>
      <c r="C254" s="58">
        <v>33</v>
      </c>
      <c r="D254" s="24">
        <v>4.8029999732971103</v>
      </c>
      <c r="F254" s="16">
        <v>44996</v>
      </c>
      <c r="G254" s="58">
        <v>33</v>
      </c>
      <c r="H254" s="3">
        <v>33</v>
      </c>
      <c r="I254" s="3">
        <v>33</v>
      </c>
      <c r="J254" s="23">
        <v>4.8029999732971103</v>
      </c>
      <c r="K254" s="23">
        <v>4.8029999732971103</v>
      </c>
      <c r="L254" s="24">
        <v>4.8029999732971103</v>
      </c>
    </row>
    <row r="255" spans="2:12" x14ac:dyDescent="0.25">
      <c r="B255" s="17">
        <v>44997</v>
      </c>
      <c r="C255" s="58">
        <v>33</v>
      </c>
      <c r="D255" s="24">
        <v>4.8029999732971103</v>
      </c>
      <c r="F255" s="17">
        <v>44997</v>
      </c>
      <c r="G255" s="58">
        <v>33</v>
      </c>
      <c r="H255" s="3">
        <v>33</v>
      </c>
      <c r="I255" s="3">
        <v>33</v>
      </c>
      <c r="J255" s="23">
        <v>4.8029999732971103</v>
      </c>
      <c r="K255" s="23">
        <v>4.8029999732971103</v>
      </c>
      <c r="L255" s="24">
        <v>4.8029999732971103</v>
      </c>
    </row>
    <row r="256" spans="2:12" x14ac:dyDescent="0.25">
      <c r="B256" s="17">
        <v>44998</v>
      </c>
      <c r="C256" s="58">
        <v>49</v>
      </c>
      <c r="D256" s="24">
        <v>4.6579999923706001</v>
      </c>
      <c r="F256" s="17">
        <v>44998</v>
      </c>
      <c r="G256" s="58">
        <v>49</v>
      </c>
      <c r="H256" s="3">
        <v>49</v>
      </c>
      <c r="I256" s="3">
        <v>49</v>
      </c>
      <c r="J256" s="23">
        <v>4.6579999923706001</v>
      </c>
      <c r="K256" s="23">
        <v>4.6579999923706001</v>
      </c>
      <c r="L256" s="24">
        <v>4.6579999923706001</v>
      </c>
    </row>
    <row r="257" spans="2:12" x14ac:dyDescent="0.25">
      <c r="B257" s="17">
        <v>44999</v>
      </c>
      <c r="C257" s="58">
        <v>56</v>
      </c>
      <c r="D257" s="24">
        <v>4.6799998283386204</v>
      </c>
      <c r="F257" s="17">
        <v>44999</v>
      </c>
      <c r="G257" s="58">
        <v>56</v>
      </c>
      <c r="H257" s="3">
        <v>56</v>
      </c>
      <c r="I257" s="3">
        <v>56</v>
      </c>
      <c r="J257" s="23">
        <v>4.6799998283386204</v>
      </c>
      <c r="K257" s="23">
        <v>4.6799998283386204</v>
      </c>
      <c r="L257" s="24">
        <v>4.6799998283386204</v>
      </c>
    </row>
    <row r="258" spans="2:12" x14ac:dyDescent="0.25">
      <c r="B258" s="17">
        <v>45000</v>
      </c>
      <c r="C258" s="58">
        <v>50</v>
      </c>
      <c r="D258" s="24">
        <v>4.55800008773803</v>
      </c>
      <c r="F258" s="17">
        <v>45000</v>
      </c>
      <c r="G258" s="58">
        <v>50</v>
      </c>
      <c r="H258" s="3">
        <v>50</v>
      </c>
      <c r="I258" s="3">
        <v>50</v>
      </c>
      <c r="J258" s="23">
        <v>4.55800008773803</v>
      </c>
      <c r="K258" s="23">
        <v>4.55800008773803</v>
      </c>
      <c r="L258" s="24">
        <v>4.55800008773803</v>
      </c>
    </row>
    <row r="259" spans="2:12" x14ac:dyDescent="0.25">
      <c r="B259" s="17">
        <v>45001</v>
      </c>
      <c r="C259" s="58">
        <v>52</v>
      </c>
      <c r="D259" s="24">
        <v>4.5300002098083496</v>
      </c>
      <c r="F259" s="17">
        <v>45001</v>
      </c>
      <c r="G259" s="58">
        <v>52</v>
      </c>
      <c r="H259" s="3">
        <v>52</v>
      </c>
      <c r="I259" s="3">
        <v>52</v>
      </c>
      <c r="J259" s="23">
        <v>4.5300002098083496</v>
      </c>
      <c r="K259" s="23">
        <v>4.5300002098083496</v>
      </c>
      <c r="L259" s="24">
        <v>4.5300002098083496</v>
      </c>
    </row>
    <row r="260" spans="2:12" x14ac:dyDescent="0.25">
      <c r="B260" s="17">
        <v>45002</v>
      </c>
      <c r="C260" s="58">
        <v>51</v>
      </c>
      <c r="D260" s="24">
        <v>4.2930002212524396</v>
      </c>
      <c r="F260" s="17">
        <v>45002</v>
      </c>
      <c r="G260" s="58">
        <v>51</v>
      </c>
      <c r="H260" s="3">
        <v>51</v>
      </c>
      <c r="I260" s="3">
        <v>51</v>
      </c>
      <c r="J260" s="23">
        <v>4.2930002212524396</v>
      </c>
      <c r="K260" s="23">
        <v>4.2930002212524396</v>
      </c>
      <c r="L260" s="24">
        <v>4.2930002212524396</v>
      </c>
    </row>
    <row r="261" spans="2:12" x14ac:dyDescent="0.25">
      <c r="B261" s="17">
        <v>45003</v>
      </c>
      <c r="C261" s="58">
        <v>64</v>
      </c>
      <c r="D261" s="24">
        <v>4.2930002212524396</v>
      </c>
      <c r="F261" s="17">
        <v>45003</v>
      </c>
      <c r="G261" s="58">
        <v>64</v>
      </c>
      <c r="H261" s="3">
        <v>64</v>
      </c>
      <c r="I261" s="3">
        <v>64</v>
      </c>
      <c r="J261" s="23">
        <v>4.2930002212524396</v>
      </c>
      <c r="K261" s="23">
        <v>4.2930002212524396</v>
      </c>
      <c r="L261" s="24">
        <v>4.2930002212524396</v>
      </c>
    </row>
    <row r="262" spans="2:12" x14ac:dyDescent="0.25">
      <c r="B262" s="17">
        <v>45004</v>
      </c>
      <c r="C262" s="58">
        <v>63</v>
      </c>
      <c r="D262" s="24">
        <v>4.2930002212524396</v>
      </c>
      <c r="F262" s="17">
        <v>45004</v>
      </c>
      <c r="G262" s="58">
        <v>63</v>
      </c>
      <c r="H262" s="3">
        <v>63</v>
      </c>
      <c r="I262" s="3">
        <v>63</v>
      </c>
      <c r="J262" s="23">
        <v>4.2930002212524396</v>
      </c>
      <c r="K262" s="23">
        <v>4.2930002212524396</v>
      </c>
      <c r="L262" s="24">
        <v>4.2930002212524396</v>
      </c>
    </row>
    <row r="263" spans="2:12" x14ac:dyDescent="0.25">
      <c r="B263" s="17">
        <v>45005</v>
      </c>
      <c r="C263" s="58">
        <v>66</v>
      </c>
      <c r="D263" s="24">
        <v>4.4650001525878897</v>
      </c>
      <c r="F263" s="17">
        <v>45005</v>
      </c>
      <c r="G263" s="58">
        <v>66</v>
      </c>
      <c r="H263" s="3">
        <v>66</v>
      </c>
      <c r="I263" s="3">
        <v>66</v>
      </c>
      <c r="J263" s="23">
        <v>4.4650001525878897</v>
      </c>
      <c r="K263" s="23">
        <v>4.4650001525878897</v>
      </c>
      <c r="L263" s="24">
        <v>4.4650001525878897</v>
      </c>
    </row>
    <row r="264" spans="2:12" x14ac:dyDescent="0.25">
      <c r="B264" s="17">
        <v>45006</v>
      </c>
      <c r="C264" s="58">
        <v>68</v>
      </c>
      <c r="D264" s="24">
        <v>4.6050000190734801</v>
      </c>
      <c r="F264" s="17">
        <v>45006</v>
      </c>
      <c r="G264" s="58">
        <v>68</v>
      </c>
      <c r="H264" s="3">
        <v>68</v>
      </c>
      <c r="I264" s="3">
        <v>68</v>
      </c>
      <c r="J264" s="23">
        <v>4.6050000190734801</v>
      </c>
      <c r="K264" s="23">
        <v>4.6050000190734801</v>
      </c>
      <c r="L264" s="24">
        <v>4.6050000190734801</v>
      </c>
    </row>
    <row r="265" spans="2:12" x14ac:dyDescent="0.25">
      <c r="B265" s="17">
        <v>45007</v>
      </c>
      <c r="C265" s="58">
        <v>62</v>
      </c>
      <c r="D265" s="24">
        <v>4.5630002021789497</v>
      </c>
      <c r="F265" s="17">
        <v>45007</v>
      </c>
      <c r="G265" s="58">
        <v>62</v>
      </c>
      <c r="H265" s="3">
        <v>62</v>
      </c>
      <c r="I265" s="3">
        <v>62</v>
      </c>
      <c r="J265" s="23">
        <v>4.5630002021789497</v>
      </c>
      <c r="K265" s="23">
        <v>4.5630002021789497</v>
      </c>
      <c r="L265" s="24">
        <v>4.5630002021789497</v>
      </c>
    </row>
    <row r="266" spans="2:12" x14ac:dyDescent="0.25">
      <c r="B266" s="17">
        <v>45008</v>
      </c>
      <c r="C266" s="58">
        <v>57</v>
      </c>
      <c r="D266" s="24">
        <v>4.5029997825622496</v>
      </c>
      <c r="F266" s="17">
        <v>45008</v>
      </c>
      <c r="G266" s="58">
        <v>57</v>
      </c>
      <c r="H266" s="3">
        <v>57</v>
      </c>
      <c r="I266" s="3">
        <v>57</v>
      </c>
      <c r="J266" s="23">
        <v>4.5029997825622496</v>
      </c>
      <c r="K266" s="23">
        <v>4.5029997825622496</v>
      </c>
      <c r="L266" s="24">
        <v>4.5029997825622496</v>
      </c>
    </row>
    <row r="267" spans="2:12" x14ac:dyDescent="0.25">
      <c r="B267" s="17">
        <v>45009</v>
      </c>
      <c r="C267" s="58">
        <v>61</v>
      </c>
      <c r="D267" s="24">
        <v>4.5029997825622496</v>
      </c>
      <c r="F267" s="17">
        <v>45009</v>
      </c>
      <c r="G267" s="58">
        <v>61</v>
      </c>
      <c r="H267" s="3">
        <v>61</v>
      </c>
      <c r="I267" s="3">
        <v>61</v>
      </c>
      <c r="J267" s="23">
        <v>4.5029997825622496</v>
      </c>
      <c r="K267" s="23">
        <v>4.5029997825622496</v>
      </c>
      <c r="L267" s="24">
        <v>4.5029997825622496</v>
      </c>
    </row>
    <row r="268" spans="2:12" x14ac:dyDescent="0.25">
      <c r="B268" s="17">
        <v>45010</v>
      </c>
      <c r="C268" s="58">
        <v>64</v>
      </c>
      <c r="D268" s="24">
        <v>4.5029997825622496</v>
      </c>
      <c r="F268" s="17">
        <v>45010</v>
      </c>
      <c r="G268" s="58">
        <v>64</v>
      </c>
      <c r="H268" s="3">
        <v>64</v>
      </c>
      <c r="I268" s="3">
        <v>64</v>
      </c>
      <c r="J268" s="23">
        <v>4.5029997825622496</v>
      </c>
      <c r="K268" s="23">
        <v>4.5029997825622496</v>
      </c>
      <c r="L268" s="24">
        <v>4.5029997825622496</v>
      </c>
    </row>
    <row r="269" spans="2:12" x14ac:dyDescent="0.25">
      <c r="B269" s="17">
        <v>45011</v>
      </c>
      <c r="C269" s="58">
        <v>64</v>
      </c>
      <c r="D269" s="24">
        <v>4.5029997825622496</v>
      </c>
      <c r="F269" s="17">
        <v>45011</v>
      </c>
      <c r="G269" s="58">
        <v>64</v>
      </c>
      <c r="H269" s="3">
        <v>64</v>
      </c>
      <c r="I269" s="3">
        <v>64</v>
      </c>
      <c r="J269" s="23">
        <v>4.5029997825622496</v>
      </c>
      <c r="K269" s="23">
        <v>4.5029997825622496</v>
      </c>
      <c r="L269" s="24">
        <v>4.5029997825622496</v>
      </c>
    </row>
    <row r="270" spans="2:12" x14ac:dyDescent="0.25">
      <c r="B270" s="17">
        <v>45012</v>
      </c>
      <c r="C270" s="58">
        <v>64</v>
      </c>
      <c r="D270" s="24">
        <v>4.5830001831054599</v>
      </c>
      <c r="F270" s="17">
        <v>45012</v>
      </c>
      <c r="G270" s="58">
        <v>64</v>
      </c>
      <c r="H270" s="3">
        <v>64</v>
      </c>
      <c r="I270" s="3">
        <v>64</v>
      </c>
      <c r="J270" s="23">
        <v>4.5830001831054599</v>
      </c>
      <c r="K270" s="23">
        <v>4.5830001831054599</v>
      </c>
      <c r="L270" s="24">
        <v>4.5830001831054599</v>
      </c>
    </row>
    <row r="271" spans="2:12" x14ac:dyDescent="0.25">
      <c r="B271" s="17">
        <v>45013</v>
      </c>
      <c r="C271" s="58">
        <v>59</v>
      </c>
      <c r="D271" s="24">
        <v>4.6279997825622496</v>
      </c>
      <c r="F271" s="17">
        <v>45013</v>
      </c>
      <c r="G271" s="58">
        <v>59</v>
      </c>
      <c r="H271" s="3">
        <v>59</v>
      </c>
      <c r="I271" s="3">
        <v>59</v>
      </c>
      <c r="J271" s="23">
        <v>4.6279997825622496</v>
      </c>
      <c r="K271" s="23">
        <v>4.6279997825622496</v>
      </c>
      <c r="L271" s="24">
        <v>4.6279997825622496</v>
      </c>
    </row>
    <row r="272" spans="2:12" x14ac:dyDescent="0.25">
      <c r="B272" s="17">
        <v>45014</v>
      </c>
      <c r="C272" s="58">
        <v>57</v>
      </c>
      <c r="D272" s="24">
        <v>4.63000011444091</v>
      </c>
      <c r="F272" s="17">
        <v>45014</v>
      </c>
      <c r="G272" s="58">
        <v>57</v>
      </c>
      <c r="H272" s="3">
        <v>57</v>
      </c>
      <c r="I272" s="3">
        <v>57</v>
      </c>
      <c r="J272" s="23">
        <v>4.63000011444091</v>
      </c>
      <c r="K272" s="23">
        <v>4.63000011444091</v>
      </c>
      <c r="L272" s="24">
        <v>4.63000011444091</v>
      </c>
    </row>
    <row r="273" spans="2:12" x14ac:dyDescent="0.25">
      <c r="B273" s="17">
        <v>45015</v>
      </c>
      <c r="C273" s="58">
        <v>60</v>
      </c>
      <c r="D273" s="24">
        <v>4.6649999618530202</v>
      </c>
      <c r="F273" s="17">
        <v>45015</v>
      </c>
      <c r="G273" s="58">
        <v>60</v>
      </c>
      <c r="H273" s="3">
        <v>60</v>
      </c>
      <c r="I273" s="3">
        <v>60</v>
      </c>
      <c r="J273" s="23">
        <v>4.6649999618530202</v>
      </c>
      <c r="K273" s="23">
        <v>4.6649999618530202</v>
      </c>
      <c r="L273" s="24">
        <v>4.6649999618530202</v>
      </c>
    </row>
    <row r="274" spans="2:12" x14ac:dyDescent="0.25">
      <c r="B274" s="17">
        <v>45016</v>
      </c>
      <c r="C274" s="58">
        <v>63</v>
      </c>
      <c r="D274" s="24">
        <v>4.58500003814697</v>
      </c>
      <c r="F274" s="17">
        <v>45016</v>
      </c>
      <c r="G274" s="58">
        <v>63</v>
      </c>
      <c r="H274" s="3">
        <v>63</v>
      </c>
      <c r="I274" s="3">
        <v>63</v>
      </c>
      <c r="J274" s="23">
        <v>4.58500003814697</v>
      </c>
      <c r="K274" s="23">
        <v>4.58500003814697</v>
      </c>
      <c r="L274" s="24">
        <v>4.58500003814697</v>
      </c>
    </row>
    <row r="275" spans="2:12" x14ac:dyDescent="0.25">
      <c r="B275" s="17">
        <v>45017</v>
      </c>
      <c r="C275" s="58">
        <v>61</v>
      </c>
      <c r="D275" s="24">
        <v>4.58500003814697</v>
      </c>
      <c r="F275" s="17">
        <v>45017</v>
      </c>
      <c r="G275" s="58">
        <v>61</v>
      </c>
      <c r="H275" s="3">
        <v>61</v>
      </c>
      <c r="I275" s="3">
        <v>61</v>
      </c>
      <c r="J275" s="23">
        <v>4.58500003814697</v>
      </c>
      <c r="K275" s="23">
        <v>4.58500003814697</v>
      </c>
      <c r="L275" s="24">
        <v>4.58500003814697</v>
      </c>
    </row>
    <row r="276" spans="2:12" x14ac:dyDescent="0.25">
      <c r="B276" s="17">
        <v>45018</v>
      </c>
      <c r="C276" s="58">
        <v>63</v>
      </c>
      <c r="D276" s="24">
        <v>4.58500003814697</v>
      </c>
      <c r="F276" s="17">
        <v>45018</v>
      </c>
      <c r="G276" s="58">
        <v>63</v>
      </c>
      <c r="H276" s="3">
        <v>63</v>
      </c>
      <c r="I276" s="3">
        <v>63</v>
      </c>
      <c r="J276" s="23">
        <v>4.58500003814697</v>
      </c>
      <c r="K276" s="23">
        <v>4.58500003814697</v>
      </c>
      <c r="L276" s="24">
        <v>4.58500003814697</v>
      </c>
    </row>
    <row r="277" spans="2:12" x14ac:dyDescent="0.25">
      <c r="B277" s="17">
        <v>45019</v>
      </c>
      <c r="C277" s="58">
        <v>63</v>
      </c>
      <c r="D277" s="24">
        <v>4.5700001716613698</v>
      </c>
      <c r="F277" s="17">
        <v>45019</v>
      </c>
      <c r="G277" s="58">
        <v>63</v>
      </c>
      <c r="H277" s="3">
        <v>63</v>
      </c>
      <c r="I277" s="3">
        <v>63</v>
      </c>
      <c r="J277" s="23">
        <v>4.5700001716613698</v>
      </c>
      <c r="K277" s="23">
        <v>4.5700001716613698</v>
      </c>
      <c r="L277" s="24">
        <v>4.5700001716613698</v>
      </c>
    </row>
    <row r="278" spans="2:12" x14ac:dyDescent="0.25">
      <c r="B278" s="17">
        <v>45020</v>
      </c>
      <c r="C278" s="58">
        <v>62</v>
      </c>
      <c r="D278" s="24">
        <v>4.7280001640319798</v>
      </c>
      <c r="F278" s="17">
        <v>45020</v>
      </c>
      <c r="G278" s="58">
        <v>62</v>
      </c>
      <c r="H278" s="3">
        <v>62</v>
      </c>
      <c r="I278" s="3">
        <v>62</v>
      </c>
      <c r="J278" s="23">
        <v>4.7280001640319798</v>
      </c>
      <c r="K278" s="23">
        <v>4.7280001640319798</v>
      </c>
      <c r="L278" s="24">
        <v>4.7280001640319798</v>
      </c>
    </row>
    <row r="279" spans="2:12" x14ac:dyDescent="0.25">
      <c r="B279" s="17">
        <v>45021</v>
      </c>
      <c r="C279" s="58">
        <v>62</v>
      </c>
      <c r="D279" s="24">
        <v>4.7049999237060502</v>
      </c>
      <c r="F279" s="17">
        <v>45021</v>
      </c>
      <c r="G279" s="58">
        <v>62</v>
      </c>
      <c r="H279" s="3">
        <v>62</v>
      </c>
      <c r="I279" s="3">
        <v>62</v>
      </c>
      <c r="J279" s="23">
        <v>4.7049999237060502</v>
      </c>
      <c r="K279" s="23">
        <v>4.7049999237060502</v>
      </c>
      <c r="L279" s="24">
        <v>4.7049999237060502</v>
      </c>
    </row>
    <row r="280" spans="2:12" x14ac:dyDescent="0.25">
      <c r="B280" s="17">
        <v>45022</v>
      </c>
      <c r="C280" s="58">
        <v>63</v>
      </c>
      <c r="D280" s="24">
        <v>4.71000003814697</v>
      </c>
      <c r="F280" s="17">
        <v>45022</v>
      </c>
      <c r="G280" s="58">
        <v>63</v>
      </c>
      <c r="H280" s="3">
        <v>63</v>
      </c>
      <c r="I280" s="3">
        <v>63</v>
      </c>
      <c r="J280" s="23">
        <v>4.71000003814697</v>
      </c>
      <c r="K280" s="23">
        <v>4.71000003814697</v>
      </c>
      <c r="L280" s="24">
        <v>4.71000003814697</v>
      </c>
    </row>
    <row r="281" spans="2:12" x14ac:dyDescent="0.25">
      <c r="B281" s="17">
        <v>45023</v>
      </c>
      <c r="C281" s="58">
        <v>64</v>
      </c>
      <c r="D281" s="24">
        <v>4.71000003814697</v>
      </c>
      <c r="F281" s="17">
        <v>45023</v>
      </c>
      <c r="G281" s="58">
        <v>64</v>
      </c>
      <c r="H281" s="3">
        <v>64</v>
      </c>
      <c r="I281" s="3">
        <v>64</v>
      </c>
      <c r="J281" s="23">
        <v>4.71000003814697</v>
      </c>
      <c r="K281" s="23">
        <v>4.71000003814697</v>
      </c>
      <c r="L281" s="24">
        <v>4.71000003814697</v>
      </c>
    </row>
    <row r="282" spans="2:12" x14ac:dyDescent="0.25">
      <c r="B282" s="17">
        <v>45024</v>
      </c>
      <c r="C282" s="58">
        <v>61</v>
      </c>
      <c r="D282" s="24">
        <v>4.71000003814697</v>
      </c>
      <c r="F282" s="17">
        <v>45024</v>
      </c>
      <c r="G282" s="58">
        <v>61</v>
      </c>
      <c r="H282" s="3">
        <v>61</v>
      </c>
      <c r="I282" s="3">
        <v>61</v>
      </c>
      <c r="J282" s="23">
        <v>4.71000003814697</v>
      </c>
      <c r="K282" s="23">
        <v>4.71000003814697</v>
      </c>
      <c r="L282" s="24">
        <v>4.71000003814697</v>
      </c>
    </row>
    <row r="283" spans="2:12" x14ac:dyDescent="0.25">
      <c r="B283" s="17">
        <v>45025</v>
      </c>
      <c r="C283" s="58">
        <v>61</v>
      </c>
      <c r="D283" s="24">
        <v>4.71000003814697</v>
      </c>
      <c r="F283" s="17">
        <v>45025</v>
      </c>
      <c r="G283" s="58">
        <v>61</v>
      </c>
      <c r="H283" s="3">
        <v>61</v>
      </c>
      <c r="I283" s="3">
        <v>61</v>
      </c>
      <c r="J283" s="23">
        <v>4.71000003814697</v>
      </c>
      <c r="K283" s="23">
        <v>4.71000003814697</v>
      </c>
      <c r="L283" s="24">
        <v>4.71000003814697</v>
      </c>
    </row>
    <row r="284" spans="2:12" x14ac:dyDescent="0.25">
      <c r="B284" s="17">
        <v>45026</v>
      </c>
      <c r="C284" s="58">
        <v>62</v>
      </c>
      <c r="D284" s="24">
        <v>4.8379998207092196</v>
      </c>
      <c r="F284" s="17">
        <v>45026</v>
      </c>
      <c r="G284" s="58">
        <v>62</v>
      </c>
      <c r="H284" s="3">
        <v>62</v>
      </c>
      <c r="I284" s="3">
        <v>62</v>
      </c>
      <c r="J284" s="23">
        <v>4.8379998207092196</v>
      </c>
      <c r="K284" s="23">
        <v>4.8379998207092196</v>
      </c>
      <c r="L284" s="24">
        <v>4.8379998207092196</v>
      </c>
    </row>
    <row r="285" spans="2:12" x14ac:dyDescent="0.25">
      <c r="B285" s="17">
        <v>45027</v>
      </c>
      <c r="C285" s="58">
        <v>68</v>
      </c>
      <c r="D285" s="24">
        <v>4.88000011444091</v>
      </c>
      <c r="F285" s="17">
        <v>45027</v>
      </c>
      <c r="G285" s="58">
        <v>68</v>
      </c>
      <c r="H285" s="3">
        <v>68</v>
      </c>
      <c r="I285" s="3">
        <v>68</v>
      </c>
      <c r="J285" s="23">
        <v>4.88000011444091</v>
      </c>
      <c r="K285" s="23">
        <v>4.88000011444091</v>
      </c>
      <c r="L285" s="24">
        <v>4.88000011444091</v>
      </c>
    </row>
    <row r="286" spans="2:12" x14ac:dyDescent="0.25">
      <c r="B286" s="17">
        <v>45028</v>
      </c>
      <c r="C286" s="58">
        <v>65</v>
      </c>
      <c r="D286" s="24">
        <v>4.8600001335143999</v>
      </c>
      <c r="F286" s="17">
        <v>45028</v>
      </c>
      <c r="G286" s="58">
        <v>65</v>
      </c>
      <c r="H286" s="3">
        <v>65</v>
      </c>
      <c r="I286" s="3">
        <v>65</v>
      </c>
      <c r="J286" s="23">
        <v>4.8600001335143999</v>
      </c>
      <c r="K286" s="23">
        <v>4.8600001335143999</v>
      </c>
      <c r="L286" s="24">
        <v>4.8600001335143999</v>
      </c>
    </row>
    <row r="287" spans="2:12" x14ac:dyDescent="0.25">
      <c r="B287" s="17">
        <v>45029</v>
      </c>
      <c r="C287" s="58">
        <v>61</v>
      </c>
      <c r="D287" s="24">
        <v>4.8550000190734801</v>
      </c>
      <c r="F287" s="17">
        <v>45029</v>
      </c>
      <c r="G287" s="58">
        <v>61</v>
      </c>
      <c r="H287" s="3">
        <v>61</v>
      </c>
      <c r="I287" s="3">
        <v>61</v>
      </c>
      <c r="J287" s="23">
        <v>4.8550000190734801</v>
      </c>
      <c r="K287" s="23">
        <v>4.8550000190734801</v>
      </c>
      <c r="L287" s="24">
        <v>4.8550000190734801</v>
      </c>
    </row>
    <row r="288" spans="2:12" x14ac:dyDescent="0.25">
      <c r="B288" s="17">
        <v>45030</v>
      </c>
      <c r="C288" s="58">
        <v>68</v>
      </c>
      <c r="D288" s="24">
        <v>4.9029998779296804</v>
      </c>
      <c r="F288" s="17">
        <v>45030</v>
      </c>
      <c r="G288" s="58">
        <v>68</v>
      </c>
      <c r="H288" s="3">
        <v>68</v>
      </c>
      <c r="I288" s="3">
        <v>68</v>
      </c>
      <c r="J288" s="23">
        <v>4.9029998779296804</v>
      </c>
      <c r="K288" s="23">
        <v>4.9029998779296804</v>
      </c>
      <c r="L288" s="24">
        <v>4.9029998779296804</v>
      </c>
    </row>
    <row r="289" spans="2:12" x14ac:dyDescent="0.25">
      <c r="B289" s="17">
        <v>45031</v>
      </c>
      <c r="C289" s="58">
        <v>68</v>
      </c>
      <c r="D289" s="24">
        <v>4.9029998779296804</v>
      </c>
      <c r="F289" s="17">
        <v>45031</v>
      </c>
      <c r="G289" s="58">
        <v>68</v>
      </c>
      <c r="H289" s="3">
        <v>68</v>
      </c>
      <c r="I289" s="3">
        <v>68</v>
      </c>
      <c r="J289" s="23">
        <v>4.9029998779296804</v>
      </c>
      <c r="K289" s="23">
        <v>4.9029998779296804</v>
      </c>
      <c r="L289" s="24">
        <v>4.9029998779296804</v>
      </c>
    </row>
    <row r="290" spans="2:12" x14ac:dyDescent="0.25">
      <c r="B290" s="17">
        <v>45032</v>
      </c>
      <c r="C290" s="58">
        <v>68</v>
      </c>
      <c r="D290" s="24">
        <v>4.9029998779296804</v>
      </c>
      <c r="F290" s="17">
        <v>45032</v>
      </c>
      <c r="G290" s="58">
        <v>68</v>
      </c>
      <c r="H290" s="3">
        <v>68</v>
      </c>
      <c r="I290" s="3">
        <v>68</v>
      </c>
      <c r="J290" s="23">
        <v>4.9029998779296804</v>
      </c>
      <c r="K290" s="23">
        <v>4.9029998779296804</v>
      </c>
      <c r="L290" s="24">
        <v>4.9029998779296804</v>
      </c>
    </row>
    <row r="291" spans="2:12" x14ac:dyDescent="0.25">
      <c r="B291" s="17">
        <v>45033</v>
      </c>
      <c r="C291" s="58">
        <v>69</v>
      </c>
      <c r="D291" s="24">
        <v>4.9229998588562003</v>
      </c>
      <c r="F291" s="17">
        <v>45033</v>
      </c>
      <c r="G291" s="58">
        <v>69</v>
      </c>
      <c r="H291" s="3">
        <v>69</v>
      </c>
      <c r="I291" s="3">
        <v>69</v>
      </c>
      <c r="J291" s="23">
        <v>4.9229998588562003</v>
      </c>
      <c r="K291" s="23">
        <v>4.9229998588562003</v>
      </c>
      <c r="L291" s="24">
        <v>4.9229998588562003</v>
      </c>
    </row>
    <row r="292" spans="2:12" x14ac:dyDescent="0.25">
      <c r="B292" s="17">
        <v>45034</v>
      </c>
      <c r="C292" s="58">
        <v>58</v>
      </c>
      <c r="D292" s="24">
        <v>5.0300002098083496</v>
      </c>
      <c r="F292" s="17">
        <v>45034</v>
      </c>
      <c r="G292" s="58">
        <v>58</v>
      </c>
      <c r="H292" s="3">
        <v>58</v>
      </c>
      <c r="I292" s="3">
        <v>58</v>
      </c>
      <c r="J292" s="23">
        <v>5.0300002098083496</v>
      </c>
      <c r="K292" s="23">
        <v>5.0300002098083496</v>
      </c>
      <c r="L292" s="24">
        <v>5.0300002098083496</v>
      </c>
    </row>
    <row r="293" spans="2:12" x14ac:dyDescent="0.25">
      <c r="B293" s="17">
        <v>45035</v>
      </c>
      <c r="C293" s="58">
        <v>63</v>
      </c>
      <c r="D293" s="24">
        <v>4.9949998855590803</v>
      </c>
      <c r="F293" s="17">
        <v>45035</v>
      </c>
      <c r="G293" s="58">
        <v>63</v>
      </c>
      <c r="H293" s="3">
        <v>63</v>
      </c>
      <c r="I293" s="3">
        <v>63</v>
      </c>
      <c r="J293" s="23">
        <v>4.9949998855590803</v>
      </c>
      <c r="K293" s="23">
        <v>4.9949998855590803</v>
      </c>
      <c r="L293" s="24">
        <v>4.9949998855590803</v>
      </c>
    </row>
    <row r="294" spans="2:12" x14ac:dyDescent="0.25">
      <c r="B294" s="17">
        <v>45036</v>
      </c>
      <c r="C294" s="58">
        <v>52</v>
      </c>
      <c r="D294" s="24">
        <v>4.9450001716613698</v>
      </c>
      <c r="F294" s="17">
        <v>45036</v>
      </c>
      <c r="G294" s="58">
        <v>52</v>
      </c>
      <c r="H294" s="3">
        <v>52</v>
      </c>
      <c r="I294" s="3">
        <v>52</v>
      </c>
      <c r="J294" s="23">
        <v>4.9450001716613698</v>
      </c>
      <c r="K294" s="23">
        <v>4.9450001716613698</v>
      </c>
      <c r="L294" s="24">
        <v>4.9450001716613698</v>
      </c>
    </row>
    <row r="295" spans="2:12" x14ac:dyDescent="0.25">
      <c r="B295" s="17">
        <v>45037</v>
      </c>
      <c r="C295" s="58">
        <v>50</v>
      </c>
      <c r="D295" s="24">
        <v>4.9499998092651296</v>
      </c>
      <c r="F295" s="17">
        <v>45037</v>
      </c>
      <c r="G295" s="58">
        <v>50</v>
      </c>
      <c r="H295" s="3">
        <v>50</v>
      </c>
      <c r="I295" s="3">
        <v>50</v>
      </c>
      <c r="J295" s="23">
        <v>4.9499998092651296</v>
      </c>
      <c r="K295" s="23">
        <v>4.9499998092651296</v>
      </c>
      <c r="L295" s="24">
        <v>4.9499998092651296</v>
      </c>
    </row>
    <row r="296" spans="2:12" x14ac:dyDescent="0.25">
      <c r="B296" s="17">
        <v>45038</v>
      </c>
      <c r="C296" s="58">
        <v>53</v>
      </c>
      <c r="D296" s="24">
        <v>4.9499998092651296</v>
      </c>
      <c r="F296" s="17">
        <v>45038</v>
      </c>
      <c r="G296" s="58">
        <v>53</v>
      </c>
      <c r="H296" s="3">
        <v>53</v>
      </c>
      <c r="I296" s="3">
        <v>53</v>
      </c>
      <c r="J296" s="23">
        <v>4.9499998092651296</v>
      </c>
      <c r="K296" s="23">
        <v>4.9499998092651296</v>
      </c>
      <c r="L296" s="24">
        <v>4.9499998092651296</v>
      </c>
    </row>
    <row r="297" spans="2:12" x14ac:dyDescent="0.25">
      <c r="B297" s="17">
        <v>45039</v>
      </c>
      <c r="C297" s="58">
        <v>56</v>
      </c>
      <c r="D297" s="24">
        <v>4.9499998092651296</v>
      </c>
      <c r="F297" s="17">
        <v>45039</v>
      </c>
      <c r="G297" s="58">
        <v>56</v>
      </c>
      <c r="H297" s="3">
        <v>56</v>
      </c>
      <c r="I297" s="3">
        <v>56</v>
      </c>
      <c r="J297" s="23">
        <v>4.9499998092651296</v>
      </c>
      <c r="K297" s="23">
        <v>4.9499998092651296</v>
      </c>
      <c r="L297" s="24">
        <v>4.9499998092651296</v>
      </c>
    </row>
    <row r="298" spans="2:12" x14ac:dyDescent="0.25">
      <c r="B298" s="17">
        <v>45040</v>
      </c>
      <c r="C298" s="58">
        <v>53</v>
      </c>
      <c r="D298" s="24">
        <v>4.8730001449584899</v>
      </c>
      <c r="F298" s="17">
        <v>45040</v>
      </c>
      <c r="G298" s="58">
        <v>53</v>
      </c>
      <c r="H298" s="3">
        <v>53</v>
      </c>
      <c r="I298" s="3">
        <v>53</v>
      </c>
      <c r="J298" s="23">
        <v>4.8730001449584899</v>
      </c>
      <c r="K298" s="23">
        <v>4.8730001449584899</v>
      </c>
      <c r="L298" s="24">
        <v>4.8730001449584899</v>
      </c>
    </row>
    <row r="299" spans="2:12" x14ac:dyDescent="0.25">
      <c r="B299" s="17">
        <v>45041</v>
      </c>
      <c r="C299" s="58">
        <v>53</v>
      </c>
      <c r="D299" s="24">
        <v>4.9530000686645499</v>
      </c>
      <c r="F299" s="17">
        <v>45041</v>
      </c>
      <c r="G299" s="58">
        <v>53</v>
      </c>
      <c r="H299" s="3">
        <v>53</v>
      </c>
      <c r="I299" s="3">
        <v>53</v>
      </c>
      <c r="J299" s="23">
        <v>4.9530000686645499</v>
      </c>
      <c r="K299" s="23">
        <v>4.9530000686645499</v>
      </c>
      <c r="L299" s="24">
        <v>4.9530000686645499</v>
      </c>
    </row>
    <row r="300" spans="2:12" x14ac:dyDescent="0.25">
      <c r="B300" s="17">
        <v>45042</v>
      </c>
      <c r="C300" s="58">
        <v>56</v>
      </c>
      <c r="D300" s="24">
        <v>4.9850001335143999</v>
      </c>
      <c r="F300" s="17">
        <v>45042</v>
      </c>
      <c r="G300" s="58">
        <v>56</v>
      </c>
      <c r="H300" s="3">
        <v>56</v>
      </c>
      <c r="I300" s="3">
        <v>56</v>
      </c>
      <c r="J300" s="23">
        <v>4.9850001335143999</v>
      </c>
      <c r="K300" s="23">
        <v>4.9850001335143999</v>
      </c>
      <c r="L300" s="24">
        <v>4.9850001335143999</v>
      </c>
    </row>
    <row r="301" spans="2:12" x14ac:dyDescent="0.25">
      <c r="B301" s="17">
        <v>45043</v>
      </c>
      <c r="C301" s="58">
        <v>59</v>
      </c>
      <c r="D301" s="24">
        <v>5</v>
      </c>
      <c r="F301" s="17">
        <v>45043</v>
      </c>
      <c r="G301" s="58">
        <v>59</v>
      </c>
      <c r="H301" s="3">
        <v>59</v>
      </c>
      <c r="I301" s="3">
        <v>59</v>
      </c>
      <c r="J301" s="23">
        <v>5</v>
      </c>
      <c r="K301" s="23">
        <v>5</v>
      </c>
      <c r="L301" s="24">
        <v>5</v>
      </c>
    </row>
    <row r="302" spans="2:12" x14ac:dyDescent="0.25">
      <c r="B302" s="17">
        <v>45044</v>
      </c>
      <c r="C302" s="58">
        <v>64</v>
      </c>
      <c r="D302" s="24">
        <v>4.9229998588562003</v>
      </c>
      <c r="F302" s="17">
        <v>45044</v>
      </c>
      <c r="G302" s="58">
        <v>64</v>
      </c>
      <c r="H302" s="3">
        <v>64</v>
      </c>
      <c r="I302" s="3">
        <v>64</v>
      </c>
      <c r="J302" s="23">
        <v>4.9229998588562003</v>
      </c>
      <c r="K302" s="23">
        <v>4.9229998588562003</v>
      </c>
      <c r="L302" s="24">
        <v>4.9229998588562003</v>
      </c>
    </row>
    <row r="303" spans="2:12" ht="15.75" thickBot="1" x14ac:dyDescent="0.3">
      <c r="B303" s="18">
        <v>45045</v>
      </c>
      <c r="C303" s="58">
        <v>64</v>
      </c>
      <c r="D303" s="24">
        <v>4.9229998588562003</v>
      </c>
      <c r="F303" s="18">
        <v>45045</v>
      </c>
      <c r="G303" s="58">
        <v>64</v>
      </c>
      <c r="H303" s="3">
        <v>64</v>
      </c>
      <c r="I303" s="3">
        <v>64</v>
      </c>
      <c r="J303" s="23">
        <v>4.9229998588562003</v>
      </c>
      <c r="K303" s="23">
        <v>4.9229998588562003</v>
      </c>
      <c r="L303" s="24">
        <v>4.9229998588562003</v>
      </c>
    </row>
    <row r="304" spans="2:12" x14ac:dyDescent="0.25">
      <c r="B304" s="16">
        <v>45046</v>
      </c>
      <c r="C304" s="58">
        <v>60</v>
      </c>
      <c r="D304" s="24">
        <v>4.9229998588562003</v>
      </c>
      <c r="F304" s="16">
        <v>45046</v>
      </c>
      <c r="G304" s="58">
        <v>60</v>
      </c>
      <c r="H304" s="3">
        <v>60</v>
      </c>
      <c r="I304" s="3">
        <v>60</v>
      </c>
      <c r="J304" s="23">
        <v>4.9229998588562003</v>
      </c>
      <c r="K304" s="23">
        <v>4.9229998588562003</v>
      </c>
      <c r="L304" s="24">
        <v>4.9229998588562003</v>
      </c>
    </row>
    <row r="305" spans="2:12" x14ac:dyDescent="0.25">
      <c r="B305" s="17">
        <v>45047</v>
      </c>
      <c r="C305" s="58">
        <v>63</v>
      </c>
      <c r="D305" s="24">
        <v>4.8649997711181596</v>
      </c>
      <c r="F305" s="17">
        <v>45047</v>
      </c>
      <c r="G305" s="58">
        <v>63</v>
      </c>
      <c r="H305" s="3">
        <v>63</v>
      </c>
      <c r="I305" s="3">
        <v>63</v>
      </c>
      <c r="J305" s="23">
        <v>4.8649997711181596</v>
      </c>
      <c r="K305" s="23">
        <v>4.8649997711181596</v>
      </c>
      <c r="L305" s="24">
        <v>4.8649997711181596</v>
      </c>
    </row>
    <row r="306" spans="2:12" x14ac:dyDescent="0.25">
      <c r="B306" s="17">
        <v>45048</v>
      </c>
      <c r="C306" s="58">
        <v>55</v>
      </c>
      <c r="D306" s="24">
        <v>5.0399999618530202</v>
      </c>
      <c r="F306" s="17">
        <v>45048</v>
      </c>
      <c r="G306" s="58">
        <v>55</v>
      </c>
      <c r="H306" s="3">
        <v>55</v>
      </c>
      <c r="I306" s="3">
        <v>55</v>
      </c>
      <c r="J306" s="23">
        <v>5.0399999618530202</v>
      </c>
      <c r="K306" s="23">
        <v>5.0399999618530202</v>
      </c>
      <c r="L306" s="24">
        <v>5.0399999618530202</v>
      </c>
    </row>
    <row r="307" spans="2:12" x14ac:dyDescent="0.25">
      <c r="B307" s="17">
        <v>45049</v>
      </c>
      <c r="C307" s="58">
        <v>64</v>
      </c>
      <c r="D307" s="24">
        <v>5.0949997901916504</v>
      </c>
      <c r="F307" s="17">
        <v>45049</v>
      </c>
      <c r="G307" s="58">
        <v>64</v>
      </c>
      <c r="H307" s="3">
        <v>64</v>
      </c>
      <c r="I307" s="3">
        <v>64</v>
      </c>
      <c r="J307" s="23">
        <v>5.0949997901916504</v>
      </c>
      <c r="K307" s="23">
        <v>5.0949997901916504</v>
      </c>
      <c r="L307" s="24">
        <v>5.0949997901916504</v>
      </c>
    </row>
    <row r="308" spans="2:12" x14ac:dyDescent="0.25">
      <c r="B308" s="17">
        <v>45050</v>
      </c>
      <c r="C308" s="58">
        <v>64</v>
      </c>
      <c r="D308" s="24">
        <v>5.0549998283386204</v>
      </c>
      <c r="F308" s="17">
        <v>45050</v>
      </c>
      <c r="G308" s="58">
        <v>64</v>
      </c>
      <c r="H308" s="3">
        <v>64</v>
      </c>
      <c r="I308" s="3">
        <v>64</v>
      </c>
      <c r="J308" s="23">
        <v>5.0549998283386204</v>
      </c>
      <c r="K308" s="23">
        <v>5.0549998283386204</v>
      </c>
      <c r="L308" s="24">
        <v>5.0549998283386204</v>
      </c>
    </row>
    <row r="309" spans="2:12" x14ac:dyDescent="0.25">
      <c r="B309" s="17">
        <v>45051</v>
      </c>
      <c r="C309" s="58">
        <v>61</v>
      </c>
      <c r="D309" s="24">
        <v>5.0799999237060502</v>
      </c>
      <c r="F309" s="17">
        <v>45051</v>
      </c>
      <c r="G309" s="58">
        <v>61</v>
      </c>
      <c r="H309" s="3">
        <v>61</v>
      </c>
      <c r="I309" s="3">
        <v>61</v>
      </c>
      <c r="J309" s="23">
        <v>5.0799999237060502</v>
      </c>
      <c r="K309" s="23">
        <v>5.0799999237060502</v>
      </c>
      <c r="L309" s="24">
        <v>5.0799999237060502</v>
      </c>
    </row>
    <row r="310" spans="2:12" x14ac:dyDescent="0.25">
      <c r="B310" s="17">
        <v>45052</v>
      </c>
      <c r="C310" s="58">
        <v>60</v>
      </c>
      <c r="D310" s="24">
        <v>5.0799999237060502</v>
      </c>
      <c r="F310" s="17">
        <v>45052</v>
      </c>
      <c r="G310" s="58">
        <v>60</v>
      </c>
      <c r="H310" s="3">
        <v>60</v>
      </c>
      <c r="I310" s="3">
        <v>60</v>
      </c>
      <c r="J310" s="23">
        <v>5.0799999237060502</v>
      </c>
      <c r="K310" s="23">
        <v>5.0799999237060502</v>
      </c>
      <c r="L310" s="24">
        <v>5.0799999237060502</v>
      </c>
    </row>
    <row r="311" spans="2:12" x14ac:dyDescent="0.25">
      <c r="B311" s="17">
        <v>45053</v>
      </c>
      <c r="C311" s="58">
        <v>64</v>
      </c>
      <c r="D311" s="24">
        <v>5.0799999237060502</v>
      </c>
      <c r="F311" s="17">
        <v>45053</v>
      </c>
      <c r="G311" s="58">
        <v>64</v>
      </c>
      <c r="H311" s="3">
        <v>64</v>
      </c>
      <c r="I311" s="3">
        <v>64</v>
      </c>
      <c r="J311" s="23">
        <v>5.0799999237060502</v>
      </c>
      <c r="K311" s="23">
        <v>5.0799999237060502</v>
      </c>
      <c r="L311" s="24">
        <v>5.0799999237060502</v>
      </c>
    </row>
    <row r="312" spans="2:12" x14ac:dyDescent="0.25">
      <c r="B312" s="17">
        <v>45054</v>
      </c>
      <c r="C312" s="58">
        <v>60</v>
      </c>
      <c r="D312" s="24">
        <v>5.0830001831054599</v>
      </c>
      <c r="F312" s="17">
        <v>45054</v>
      </c>
      <c r="G312" s="58">
        <v>60</v>
      </c>
      <c r="H312" s="3">
        <v>60</v>
      </c>
      <c r="I312" s="3">
        <v>60</v>
      </c>
      <c r="J312" s="23">
        <v>5.0830001831054599</v>
      </c>
      <c r="K312" s="23">
        <v>5.0830001831054599</v>
      </c>
      <c r="L312" s="24">
        <v>5.0830001831054599</v>
      </c>
    </row>
    <row r="313" spans="2:12" x14ac:dyDescent="0.25">
      <c r="B313" s="17">
        <v>45055</v>
      </c>
      <c r="C313" s="58">
        <v>51</v>
      </c>
      <c r="D313" s="24">
        <v>5.1230001449584899</v>
      </c>
      <c r="F313" s="17">
        <v>45055</v>
      </c>
      <c r="G313" s="58">
        <v>51</v>
      </c>
      <c r="H313" s="3">
        <v>51</v>
      </c>
      <c r="I313" s="3">
        <v>51</v>
      </c>
      <c r="J313" s="23">
        <v>5.1230001449584899</v>
      </c>
      <c r="K313" s="23">
        <v>5.1230001449584899</v>
      </c>
      <c r="L313" s="24">
        <v>5.1230001449584899</v>
      </c>
    </row>
    <row r="314" spans="2:12" x14ac:dyDescent="0.25">
      <c r="B314" s="17">
        <v>45056</v>
      </c>
      <c r="C314" s="58">
        <v>52</v>
      </c>
      <c r="D314" s="24">
        <v>5.0650000572204501</v>
      </c>
      <c r="F314" s="17">
        <v>45056</v>
      </c>
      <c r="G314" s="58">
        <v>52</v>
      </c>
      <c r="H314" s="3">
        <v>52</v>
      </c>
      <c r="I314" s="3">
        <v>52</v>
      </c>
      <c r="J314" s="23">
        <v>5.0650000572204501</v>
      </c>
      <c r="K314" s="23">
        <v>5.0650000572204501</v>
      </c>
      <c r="L314" s="24">
        <v>5.0650000572204501</v>
      </c>
    </row>
    <row r="315" spans="2:12" x14ac:dyDescent="0.25">
      <c r="B315" s="17">
        <v>45057</v>
      </c>
      <c r="C315" s="58">
        <v>52</v>
      </c>
      <c r="D315" s="24">
        <v>5.0149998664855904</v>
      </c>
      <c r="F315" s="17">
        <v>45057</v>
      </c>
      <c r="G315" s="58">
        <v>52</v>
      </c>
      <c r="H315" s="3">
        <v>52</v>
      </c>
      <c r="I315" s="3">
        <v>52</v>
      </c>
      <c r="J315" s="23">
        <v>5.0149998664855904</v>
      </c>
      <c r="K315" s="23">
        <v>5.0149998664855904</v>
      </c>
      <c r="L315" s="24">
        <v>5.0149998664855904</v>
      </c>
    </row>
    <row r="316" spans="2:12" x14ac:dyDescent="0.25">
      <c r="B316" s="17">
        <v>45058</v>
      </c>
      <c r="C316" s="58">
        <v>49</v>
      </c>
      <c r="D316" s="24">
        <v>5.0279998779296804</v>
      </c>
      <c r="F316" s="17">
        <v>45058</v>
      </c>
      <c r="G316" s="58">
        <v>49</v>
      </c>
      <c r="H316" s="3">
        <v>49</v>
      </c>
      <c r="I316" s="3">
        <v>49</v>
      </c>
      <c r="J316" s="23">
        <v>5.0279998779296804</v>
      </c>
      <c r="K316" s="23">
        <v>5.0279998779296804</v>
      </c>
      <c r="L316" s="24">
        <v>5.0279998779296804</v>
      </c>
    </row>
    <row r="317" spans="2:12" x14ac:dyDescent="0.25">
      <c r="B317" s="17">
        <v>45059</v>
      </c>
      <c r="C317" s="58">
        <v>48</v>
      </c>
      <c r="D317" s="24">
        <v>5.0279998779296804</v>
      </c>
      <c r="F317" s="17">
        <v>45059</v>
      </c>
      <c r="G317" s="58">
        <v>48</v>
      </c>
      <c r="H317" s="3">
        <v>48</v>
      </c>
      <c r="I317" s="3">
        <v>48</v>
      </c>
      <c r="J317" s="23">
        <v>5.0279998779296804</v>
      </c>
      <c r="K317" s="23">
        <v>5.0279998779296804</v>
      </c>
      <c r="L317" s="24">
        <v>5.0279998779296804</v>
      </c>
    </row>
    <row r="318" spans="2:12" x14ac:dyDescent="0.25">
      <c r="B318" s="17">
        <v>45060</v>
      </c>
      <c r="C318" s="58">
        <v>48</v>
      </c>
      <c r="D318" s="24">
        <v>5.0279998779296804</v>
      </c>
      <c r="F318" s="17">
        <v>45060</v>
      </c>
      <c r="G318" s="58">
        <v>48</v>
      </c>
      <c r="H318" s="3">
        <v>48</v>
      </c>
      <c r="I318" s="3">
        <v>48</v>
      </c>
      <c r="J318" s="23">
        <v>5.0279998779296804</v>
      </c>
      <c r="K318" s="23">
        <v>5.0279998779296804</v>
      </c>
      <c r="L318" s="24">
        <v>5.0279998779296804</v>
      </c>
    </row>
    <row r="319" spans="2:12" x14ac:dyDescent="0.25">
      <c r="B319" s="17">
        <v>45061</v>
      </c>
      <c r="C319" s="58">
        <v>50</v>
      </c>
      <c r="D319" s="24">
        <v>5</v>
      </c>
      <c r="F319" s="17">
        <v>45061</v>
      </c>
      <c r="G319" s="58">
        <v>50</v>
      </c>
      <c r="H319" s="3">
        <v>50</v>
      </c>
      <c r="I319" s="3">
        <v>50</v>
      </c>
      <c r="J319" s="23">
        <v>5</v>
      </c>
      <c r="K319" s="23">
        <v>5</v>
      </c>
      <c r="L319" s="24">
        <v>5</v>
      </c>
    </row>
    <row r="320" spans="2:12" x14ac:dyDescent="0.25">
      <c r="B320" s="17">
        <v>45062</v>
      </c>
      <c r="C320" s="58">
        <v>54</v>
      </c>
      <c r="D320" s="24">
        <v>5.05800008773803</v>
      </c>
      <c r="F320" s="17">
        <v>45062</v>
      </c>
      <c r="G320" s="58">
        <v>54</v>
      </c>
      <c r="H320" s="3">
        <v>54</v>
      </c>
      <c r="I320" s="3">
        <v>54</v>
      </c>
      <c r="J320" s="23">
        <v>5.05800008773803</v>
      </c>
      <c r="K320" s="23">
        <v>5.05800008773803</v>
      </c>
      <c r="L320" s="24">
        <v>5.05800008773803</v>
      </c>
    </row>
    <row r="321" spans="2:12" x14ac:dyDescent="0.25">
      <c r="B321" s="17">
        <v>45063</v>
      </c>
      <c r="C321" s="58">
        <v>50</v>
      </c>
      <c r="D321" s="24">
        <v>5.0879998207092196</v>
      </c>
      <c r="F321" s="17">
        <v>45063</v>
      </c>
      <c r="G321" s="58">
        <v>50</v>
      </c>
      <c r="H321" s="3">
        <v>50</v>
      </c>
      <c r="I321" s="3">
        <v>50</v>
      </c>
      <c r="J321" s="23">
        <v>5.0879998207092196</v>
      </c>
      <c r="K321" s="23">
        <v>5.0879998207092196</v>
      </c>
      <c r="L321" s="24">
        <v>5.0879998207092196</v>
      </c>
    </row>
    <row r="322" spans="2:12" x14ac:dyDescent="0.25">
      <c r="B322" s="17">
        <v>45064</v>
      </c>
      <c r="C322" s="58">
        <v>51</v>
      </c>
      <c r="D322" s="24">
        <v>5.125</v>
      </c>
      <c r="F322" s="17">
        <v>45064</v>
      </c>
      <c r="G322" s="58">
        <v>51</v>
      </c>
      <c r="H322" s="3">
        <v>51</v>
      </c>
      <c r="I322" s="3">
        <v>51</v>
      </c>
      <c r="J322" s="23">
        <v>5.125</v>
      </c>
      <c r="K322" s="23">
        <v>5.125</v>
      </c>
      <c r="L322" s="24">
        <v>5.125</v>
      </c>
    </row>
    <row r="323" spans="2:12" x14ac:dyDescent="0.25">
      <c r="B323" s="17">
        <v>45065</v>
      </c>
      <c r="C323" s="58">
        <v>48</v>
      </c>
      <c r="D323" s="24">
        <v>5.08500003814697</v>
      </c>
      <c r="F323" s="17">
        <v>45065</v>
      </c>
      <c r="G323" s="58">
        <v>48</v>
      </c>
      <c r="H323" s="3">
        <v>48</v>
      </c>
      <c r="I323" s="3">
        <v>48</v>
      </c>
      <c r="J323" s="23">
        <v>5.08500003814697</v>
      </c>
      <c r="K323" s="23">
        <v>5.08500003814697</v>
      </c>
      <c r="L323" s="24">
        <v>5.08500003814697</v>
      </c>
    </row>
    <row r="324" spans="2:12" x14ac:dyDescent="0.25">
      <c r="B324" s="17">
        <v>45066</v>
      </c>
      <c r="C324" s="58">
        <v>48</v>
      </c>
      <c r="D324" s="24">
        <v>5.08500003814697</v>
      </c>
      <c r="F324" s="17">
        <v>45066</v>
      </c>
      <c r="G324" s="58">
        <v>48</v>
      </c>
      <c r="H324" s="3">
        <v>48</v>
      </c>
      <c r="I324" s="3">
        <v>48</v>
      </c>
      <c r="J324" s="23">
        <v>5.08500003814697</v>
      </c>
      <c r="K324" s="23">
        <v>5.08500003814697</v>
      </c>
      <c r="L324" s="24">
        <v>5.08500003814697</v>
      </c>
    </row>
    <row r="325" spans="2:12" x14ac:dyDescent="0.25">
      <c r="B325" s="17">
        <v>45067</v>
      </c>
      <c r="C325" s="58">
        <v>52</v>
      </c>
      <c r="D325" s="24">
        <v>5.08500003814697</v>
      </c>
      <c r="F325" s="17">
        <v>45067</v>
      </c>
      <c r="G325" s="58">
        <v>52</v>
      </c>
      <c r="H325" s="3">
        <v>52</v>
      </c>
      <c r="I325" s="3">
        <v>52</v>
      </c>
      <c r="J325" s="23">
        <v>5.08500003814697</v>
      </c>
      <c r="K325" s="23">
        <v>5.08500003814697</v>
      </c>
      <c r="L325" s="24">
        <v>5.08500003814697</v>
      </c>
    </row>
    <row r="326" spans="2:12" x14ac:dyDescent="0.25">
      <c r="B326" s="17">
        <v>45068</v>
      </c>
      <c r="C326" s="58">
        <v>49</v>
      </c>
      <c r="D326" s="24">
        <v>5.0949997901916504</v>
      </c>
      <c r="F326" s="17">
        <v>45068</v>
      </c>
      <c r="G326" s="58">
        <v>49</v>
      </c>
      <c r="H326" s="3">
        <v>49</v>
      </c>
      <c r="I326" s="3">
        <v>49</v>
      </c>
      <c r="J326" s="23">
        <v>5.0949997901916504</v>
      </c>
      <c r="K326" s="23">
        <v>5.0949997901916504</v>
      </c>
      <c r="L326" s="24">
        <v>5.0949997901916504</v>
      </c>
    </row>
    <row r="327" spans="2:12" x14ac:dyDescent="0.25">
      <c r="B327" s="17">
        <v>45069</v>
      </c>
      <c r="C327" s="58">
        <v>50</v>
      </c>
      <c r="D327" s="24">
        <v>5.1529998779296804</v>
      </c>
      <c r="F327" s="17">
        <v>45069</v>
      </c>
      <c r="G327" s="58">
        <v>50</v>
      </c>
      <c r="H327" s="3">
        <v>50</v>
      </c>
      <c r="I327" s="3">
        <v>50</v>
      </c>
      <c r="J327" s="23">
        <v>5.1529998779296804</v>
      </c>
      <c r="K327" s="23">
        <v>5.1529998779296804</v>
      </c>
      <c r="L327" s="24">
        <v>5.1529998779296804</v>
      </c>
    </row>
    <row r="328" spans="2:12" x14ac:dyDescent="0.25">
      <c r="B328" s="17">
        <v>45070</v>
      </c>
      <c r="C328" s="58">
        <v>50</v>
      </c>
      <c r="D328" s="24">
        <v>5.1849999427795401</v>
      </c>
      <c r="F328" s="17">
        <v>45070</v>
      </c>
      <c r="G328" s="58">
        <v>50</v>
      </c>
      <c r="H328" s="3">
        <v>50</v>
      </c>
      <c r="I328" s="3">
        <v>50</v>
      </c>
      <c r="J328" s="23">
        <v>5.1849999427795401</v>
      </c>
      <c r="K328" s="23">
        <v>5.1849999427795401</v>
      </c>
      <c r="L328" s="24">
        <v>5.1849999427795401</v>
      </c>
    </row>
    <row r="329" spans="2:12" x14ac:dyDescent="0.25">
      <c r="B329" s="17">
        <v>45071</v>
      </c>
      <c r="C329" s="58">
        <v>51</v>
      </c>
      <c r="D329" s="24">
        <v>5.1630001068115199</v>
      </c>
      <c r="F329" s="17">
        <v>45071</v>
      </c>
      <c r="G329" s="58">
        <v>51</v>
      </c>
      <c r="H329" s="3">
        <v>51</v>
      </c>
      <c r="I329" s="3">
        <v>51</v>
      </c>
      <c r="J329" s="23">
        <v>5.1630001068115199</v>
      </c>
      <c r="K329" s="23">
        <v>5.1630001068115199</v>
      </c>
      <c r="L329" s="24">
        <v>5.1630001068115199</v>
      </c>
    </row>
    <row r="330" spans="2:12" x14ac:dyDescent="0.25">
      <c r="B330" s="17">
        <v>45072</v>
      </c>
      <c r="C330" s="58">
        <v>49</v>
      </c>
      <c r="D330" s="24">
        <v>5.1149997711181596</v>
      </c>
      <c r="F330" s="17">
        <v>45072</v>
      </c>
      <c r="G330" s="58">
        <v>49</v>
      </c>
      <c r="H330" s="3">
        <v>49</v>
      </c>
      <c r="I330" s="3">
        <v>49</v>
      </c>
      <c r="J330" s="23">
        <v>5.1149997711181596</v>
      </c>
      <c r="K330" s="23">
        <v>5.1149997711181596</v>
      </c>
      <c r="L330" s="24">
        <v>5.1149997711181596</v>
      </c>
    </row>
    <row r="331" spans="2:12" x14ac:dyDescent="0.25">
      <c r="B331" s="17">
        <v>45073</v>
      </c>
      <c r="C331" s="58">
        <v>48</v>
      </c>
      <c r="D331" s="24">
        <v>5.1149997711181596</v>
      </c>
      <c r="F331" s="17">
        <v>45073</v>
      </c>
      <c r="G331" s="58">
        <v>48</v>
      </c>
      <c r="H331" s="3">
        <v>48</v>
      </c>
      <c r="I331" s="3">
        <v>48</v>
      </c>
      <c r="J331" s="23">
        <v>5.1149997711181596</v>
      </c>
      <c r="K331" s="23">
        <v>5.1149997711181596</v>
      </c>
      <c r="L331" s="24">
        <v>5.1149997711181596</v>
      </c>
    </row>
    <row r="332" spans="2:12" x14ac:dyDescent="0.25">
      <c r="B332" s="17">
        <v>45074</v>
      </c>
      <c r="C332" s="58">
        <v>50</v>
      </c>
      <c r="D332" s="24">
        <v>5.1149997711181596</v>
      </c>
      <c r="F332" s="17">
        <v>45074</v>
      </c>
      <c r="G332" s="58">
        <v>50</v>
      </c>
      <c r="H332" s="3">
        <v>50</v>
      </c>
      <c r="I332" s="3">
        <v>50</v>
      </c>
      <c r="J332" s="23">
        <v>5.1149997711181596</v>
      </c>
      <c r="K332" s="23">
        <v>5.1149997711181596</v>
      </c>
      <c r="L332" s="24">
        <v>5.1149997711181596</v>
      </c>
    </row>
    <row r="333" spans="2:12" x14ac:dyDescent="0.25">
      <c r="B333" s="17">
        <v>45075</v>
      </c>
      <c r="C333" s="58">
        <v>52</v>
      </c>
      <c r="D333" s="24">
        <v>5.1149997711181596</v>
      </c>
      <c r="F333" s="17">
        <v>45075</v>
      </c>
      <c r="G333" s="58">
        <v>52</v>
      </c>
      <c r="H333" s="3">
        <v>52</v>
      </c>
      <c r="I333" s="3">
        <v>52</v>
      </c>
      <c r="J333" s="23">
        <v>5.1149997711181596</v>
      </c>
      <c r="K333" s="23">
        <v>5.1149997711181596</v>
      </c>
      <c r="L333" s="24">
        <v>5.1149997711181596</v>
      </c>
    </row>
    <row r="334" spans="2:12" x14ac:dyDescent="0.25">
      <c r="B334" s="17">
        <v>45076</v>
      </c>
      <c r="C334" s="58">
        <v>51</v>
      </c>
      <c r="D334" s="24">
        <v>5.1430001258850098</v>
      </c>
      <c r="F334" s="17">
        <v>45076</v>
      </c>
      <c r="G334" s="58">
        <v>51</v>
      </c>
      <c r="H334" s="3">
        <v>51</v>
      </c>
      <c r="I334" s="3">
        <v>51</v>
      </c>
      <c r="J334" s="23">
        <v>5.1430001258850098</v>
      </c>
      <c r="K334" s="23">
        <v>5.1430001258850098</v>
      </c>
      <c r="L334" s="24">
        <v>5.1430001258850098</v>
      </c>
    </row>
    <row r="335" spans="2:12" x14ac:dyDescent="0.25">
      <c r="B335" s="17">
        <v>45077</v>
      </c>
      <c r="C335" s="58">
        <v>51</v>
      </c>
      <c r="D335" s="24">
        <v>5.2480001449584899</v>
      </c>
      <c r="F335" s="17">
        <v>45077</v>
      </c>
      <c r="G335" s="58">
        <v>51</v>
      </c>
      <c r="H335" s="3">
        <v>51</v>
      </c>
      <c r="I335" s="3">
        <v>51</v>
      </c>
      <c r="J335" s="23">
        <v>5.2480001449584899</v>
      </c>
      <c r="K335" s="23">
        <v>5.2480001449584899</v>
      </c>
      <c r="L335" s="24">
        <v>5.2480001449584899</v>
      </c>
    </row>
    <row r="336" spans="2:12" x14ac:dyDescent="0.25">
      <c r="B336" s="17">
        <v>45078</v>
      </c>
      <c r="C336" s="58">
        <v>52</v>
      </c>
      <c r="D336" s="24">
        <v>5.2030000686645499</v>
      </c>
      <c r="F336" s="17">
        <v>45078</v>
      </c>
      <c r="G336" s="58">
        <v>52</v>
      </c>
      <c r="H336" s="3">
        <v>52</v>
      </c>
      <c r="I336" s="3">
        <v>52</v>
      </c>
      <c r="J336" s="23">
        <v>5.2030000686645499</v>
      </c>
      <c r="K336" s="23">
        <v>5.2030000686645499</v>
      </c>
      <c r="L336" s="24">
        <v>5.2030000686645499</v>
      </c>
    </row>
    <row r="337" spans="2:12" x14ac:dyDescent="0.25">
      <c r="B337" s="17">
        <v>45079</v>
      </c>
      <c r="C337" s="58">
        <v>50</v>
      </c>
      <c r="D337" s="24">
        <v>5.2150001525878897</v>
      </c>
      <c r="F337" s="17">
        <v>45079</v>
      </c>
      <c r="G337" s="58">
        <v>50</v>
      </c>
      <c r="H337" s="3">
        <v>50</v>
      </c>
      <c r="I337" s="3">
        <v>50</v>
      </c>
      <c r="J337" s="23">
        <v>5.2150001525878897</v>
      </c>
      <c r="K337" s="23">
        <v>5.2150001525878897</v>
      </c>
      <c r="L337" s="24">
        <v>5.2150001525878897</v>
      </c>
    </row>
    <row r="338" spans="2:12" x14ac:dyDescent="0.25">
      <c r="B338" s="17">
        <v>45080</v>
      </c>
      <c r="C338" s="58">
        <v>53</v>
      </c>
      <c r="D338" s="24">
        <v>5.2150001525878897</v>
      </c>
      <c r="F338" s="17">
        <v>45080</v>
      </c>
      <c r="G338" s="58">
        <v>53</v>
      </c>
      <c r="H338" s="3">
        <v>53</v>
      </c>
      <c r="I338" s="3">
        <v>53</v>
      </c>
      <c r="J338" s="23">
        <v>5.2150001525878897</v>
      </c>
      <c r="K338" s="23">
        <v>5.2150001525878897</v>
      </c>
      <c r="L338" s="24">
        <v>5.2150001525878897</v>
      </c>
    </row>
    <row r="339" spans="2:12" x14ac:dyDescent="0.25">
      <c r="B339" s="17">
        <v>45081</v>
      </c>
      <c r="C339" s="58">
        <v>52</v>
      </c>
      <c r="D339" s="24">
        <v>5.2150001525878897</v>
      </c>
      <c r="F339" s="17">
        <v>45081</v>
      </c>
      <c r="G339" s="58">
        <v>52</v>
      </c>
      <c r="H339" s="3">
        <v>52</v>
      </c>
      <c r="I339" s="3">
        <v>52</v>
      </c>
      <c r="J339" s="23">
        <v>5.2150001525878897</v>
      </c>
      <c r="K339" s="23">
        <v>5.2150001525878897</v>
      </c>
      <c r="L339" s="24">
        <v>5.2150001525878897</v>
      </c>
    </row>
    <row r="340" spans="2:12" x14ac:dyDescent="0.25">
      <c r="B340" s="17">
        <v>45082</v>
      </c>
      <c r="C340" s="58">
        <v>53</v>
      </c>
      <c r="D340" s="24">
        <v>5.1430001258850098</v>
      </c>
      <c r="F340" s="17">
        <v>45082</v>
      </c>
      <c r="G340" s="58">
        <v>53</v>
      </c>
      <c r="H340" s="3">
        <v>53</v>
      </c>
      <c r="I340" s="3">
        <v>53</v>
      </c>
      <c r="J340" s="23">
        <v>5.1430001258850098</v>
      </c>
      <c r="K340" s="23">
        <v>5.1430001258850098</v>
      </c>
      <c r="L340" s="24">
        <v>5.1430001258850098</v>
      </c>
    </row>
    <row r="341" spans="2:12" x14ac:dyDescent="0.25">
      <c r="B341" s="17">
        <v>45083</v>
      </c>
      <c r="C341" s="58">
        <v>44</v>
      </c>
      <c r="D341" s="24">
        <v>5.1579999923706001</v>
      </c>
      <c r="F341" s="17">
        <v>45083</v>
      </c>
      <c r="G341" s="58">
        <v>44</v>
      </c>
      <c r="H341" s="3">
        <v>44</v>
      </c>
      <c r="I341" s="3">
        <v>44</v>
      </c>
      <c r="J341" s="23">
        <v>5.1579999923706001</v>
      </c>
      <c r="K341" s="23">
        <v>5.1579999923706001</v>
      </c>
      <c r="L341" s="24">
        <v>5.1579999923706001</v>
      </c>
    </row>
    <row r="342" spans="2:12" x14ac:dyDescent="0.25">
      <c r="B342" s="17">
        <v>45084</v>
      </c>
      <c r="C342" s="58">
        <v>53</v>
      </c>
      <c r="D342" s="24">
        <v>5.1529998779296804</v>
      </c>
      <c r="F342" s="17">
        <v>45084</v>
      </c>
      <c r="G342" s="58">
        <v>53</v>
      </c>
      <c r="H342" s="3">
        <v>53</v>
      </c>
      <c r="I342" s="3">
        <v>53</v>
      </c>
      <c r="J342" s="23">
        <v>5.1529998779296804</v>
      </c>
      <c r="K342" s="23">
        <v>5.1529998779296804</v>
      </c>
      <c r="L342" s="24">
        <v>5.1529998779296804</v>
      </c>
    </row>
    <row r="343" spans="2:12" x14ac:dyDescent="0.25">
      <c r="B343" s="17">
        <v>45085</v>
      </c>
      <c r="C343" s="58">
        <v>50</v>
      </c>
      <c r="D343" s="24">
        <v>5.0999999046325604</v>
      </c>
      <c r="F343" s="17">
        <v>45085</v>
      </c>
      <c r="G343" s="58">
        <v>50</v>
      </c>
      <c r="H343" s="3">
        <v>50</v>
      </c>
      <c r="I343" s="3">
        <v>50</v>
      </c>
      <c r="J343" s="23">
        <v>5.0999999046325604</v>
      </c>
      <c r="K343" s="23">
        <v>5.0999999046325604</v>
      </c>
      <c r="L343" s="24">
        <v>5.0999999046325604</v>
      </c>
    </row>
    <row r="344" spans="2:12" x14ac:dyDescent="0.25">
      <c r="B344" s="17">
        <v>45086</v>
      </c>
      <c r="C344" s="58">
        <v>50</v>
      </c>
      <c r="D344" s="24">
        <v>5.0949997901916504</v>
      </c>
      <c r="F344" s="17">
        <v>45086</v>
      </c>
      <c r="G344" s="58">
        <v>50</v>
      </c>
      <c r="H344" s="3">
        <v>50</v>
      </c>
      <c r="I344" s="3">
        <v>50</v>
      </c>
      <c r="J344" s="23">
        <v>5.0949997901916504</v>
      </c>
      <c r="K344" s="23">
        <v>5.0949997901916504</v>
      </c>
      <c r="L344" s="24">
        <v>5.0949997901916504</v>
      </c>
    </row>
    <row r="345" spans="2:12" x14ac:dyDescent="0.25">
      <c r="B345" s="17">
        <v>45087</v>
      </c>
      <c r="C345" s="58">
        <v>49</v>
      </c>
      <c r="D345" s="24">
        <v>5.0949997901916504</v>
      </c>
      <c r="F345" s="17">
        <v>45087</v>
      </c>
      <c r="G345" s="58">
        <v>49</v>
      </c>
      <c r="H345" s="3">
        <v>49</v>
      </c>
      <c r="I345" s="3">
        <v>49</v>
      </c>
      <c r="J345" s="23">
        <v>5.0949997901916504</v>
      </c>
      <c r="K345" s="23">
        <v>5.0949997901916504</v>
      </c>
      <c r="L345" s="24">
        <v>5.0949997901916504</v>
      </c>
    </row>
    <row r="346" spans="2:12" x14ac:dyDescent="0.25">
      <c r="B346" s="17">
        <v>45088</v>
      </c>
      <c r="C346" s="58">
        <v>47</v>
      </c>
      <c r="D346" s="24">
        <v>5.0949997901916504</v>
      </c>
      <c r="F346" s="17">
        <v>45088</v>
      </c>
      <c r="G346" s="58">
        <v>47</v>
      </c>
      <c r="H346" s="3">
        <v>47</v>
      </c>
      <c r="I346" s="3">
        <v>47</v>
      </c>
      <c r="J346" s="23">
        <v>5.0949997901916504</v>
      </c>
      <c r="K346" s="23">
        <v>5.0949997901916504</v>
      </c>
      <c r="L346" s="24">
        <v>5.0949997901916504</v>
      </c>
    </row>
    <row r="347" spans="2:12" x14ac:dyDescent="0.25">
      <c r="B347" s="17">
        <v>45089</v>
      </c>
      <c r="C347" s="58">
        <v>47</v>
      </c>
      <c r="D347" s="24">
        <v>5.0949997901916504</v>
      </c>
      <c r="F347" s="17">
        <v>45089</v>
      </c>
      <c r="G347" s="58">
        <v>47</v>
      </c>
      <c r="H347" s="3">
        <v>47</v>
      </c>
      <c r="I347" s="3">
        <v>47</v>
      </c>
      <c r="J347" s="23">
        <v>5.0949997901916504</v>
      </c>
      <c r="K347" s="23">
        <v>5.0949997901916504</v>
      </c>
      <c r="L347" s="24">
        <v>5.0949997901916504</v>
      </c>
    </row>
    <row r="348" spans="2:12" x14ac:dyDescent="0.25">
      <c r="B348" s="17">
        <v>45090</v>
      </c>
      <c r="C348" s="58">
        <v>45</v>
      </c>
      <c r="D348" s="24">
        <v>5.0999999046325604</v>
      </c>
      <c r="F348" s="17">
        <v>45090</v>
      </c>
      <c r="G348" s="58">
        <v>45</v>
      </c>
      <c r="H348" s="3">
        <v>45</v>
      </c>
      <c r="I348" s="3">
        <v>45</v>
      </c>
      <c r="J348" s="23">
        <v>5.0999999046325604</v>
      </c>
      <c r="K348" s="23">
        <v>5.0999999046325604</v>
      </c>
      <c r="L348" s="24">
        <v>5.0999999046325604</v>
      </c>
    </row>
    <row r="349" spans="2:12" x14ac:dyDescent="0.25">
      <c r="B349" s="17">
        <v>45091</v>
      </c>
      <c r="C349" s="58">
        <v>46</v>
      </c>
      <c r="D349" s="24">
        <v>5.0799999237060502</v>
      </c>
      <c r="F349" s="17">
        <v>45091</v>
      </c>
      <c r="G349" s="58">
        <v>46</v>
      </c>
      <c r="H349" s="3">
        <v>46</v>
      </c>
      <c r="I349" s="3">
        <v>46</v>
      </c>
      <c r="J349" s="23">
        <v>5.0799999237060502</v>
      </c>
      <c r="K349" s="23">
        <v>5.0799999237060502</v>
      </c>
      <c r="L349" s="24">
        <v>5.0799999237060502</v>
      </c>
    </row>
    <row r="350" spans="2:12" x14ac:dyDescent="0.25">
      <c r="B350" s="17">
        <v>45092</v>
      </c>
      <c r="C350" s="58">
        <v>41</v>
      </c>
      <c r="D350" s="24">
        <v>5.0549998283386204</v>
      </c>
      <c r="F350" s="17">
        <v>45092</v>
      </c>
      <c r="G350" s="58">
        <v>41</v>
      </c>
      <c r="H350" s="3">
        <v>41</v>
      </c>
      <c r="I350" s="3">
        <v>41</v>
      </c>
      <c r="J350" s="23">
        <v>5.0549998283386204</v>
      </c>
      <c r="K350" s="23">
        <v>5.0549998283386204</v>
      </c>
      <c r="L350" s="24">
        <v>5.0549998283386204</v>
      </c>
    </row>
    <row r="351" spans="2:12" x14ac:dyDescent="0.25">
      <c r="B351" s="17">
        <v>45093</v>
      </c>
      <c r="C351" s="58">
        <v>47</v>
      </c>
      <c r="D351" s="24">
        <v>5.0650000572204501</v>
      </c>
      <c r="F351" s="17">
        <v>45093</v>
      </c>
      <c r="G351" s="58">
        <v>47</v>
      </c>
      <c r="H351" s="3">
        <v>47</v>
      </c>
      <c r="I351" s="3">
        <v>47</v>
      </c>
      <c r="J351" s="23">
        <v>5.0650000572204501</v>
      </c>
      <c r="K351" s="23">
        <v>5.0650000572204501</v>
      </c>
      <c r="L351" s="24">
        <v>5.0650000572204501</v>
      </c>
    </row>
    <row r="352" spans="2:12" x14ac:dyDescent="0.25">
      <c r="B352" s="17">
        <v>45094</v>
      </c>
      <c r="C352" s="58">
        <v>47</v>
      </c>
      <c r="D352" s="24">
        <v>5.0650000572204501</v>
      </c>
      <c r="F352" s="17">
        <v>45094</v>
      </c>
      <c r="G352" s="58">
        <v>47</v>
      </c>
      <c r="H352" s="3">
        <v>47</v>
      </c>
      <c r="I352" s="3">
        <v>47</v>
      </c>
      <c r="J352" s="23">
        <v>5.0650000572204501</v>
      </c>
      <c r="K352" s="23">
        <v>5.0650000572204501</v>
      </c>
      <c r="L352" s="24">
        <v>5.0650000572204501</v>
      </c>
    </row>
    <row r="353" spans="2:12" ht="15.75" thickBot="1" x14ac:dyDescent="0.3">
      <c r="B353" s="18">
        <v>45095</v>
      </c>
      <c r="C353" s="58">
        <v>49</v>
      </c>
      <c r="D353" s="24">
        <v>5.0650000572204501</v>
      </c>
      <c r="F353" s="18">
        <v>45095</v>
      </c>
      <c r="G353" s="58">
        <v>49</v>
      </c>
      <c r="H353" s="3">
        <v>49</v>
      </c>
      <c r="I353" s="3">
        <v>49</v>
      </c>
      <c r="J353" s="23">
        <v>5.0650000572204501</v>
      </c>
      <c r="K353" s="23">
        <v>5.0650000572204501</v>
      </c>
      <c r="L353" s="24">
        <v>5.0650000572204501</v>
      </c>
    </row>
    <row r="354" spans="2:12" x14ac:dyDescent="0.25">
      <c r="B354" s="16">
        <v>45096</v>
      </c>
      <c r="C354" s="58">
        <v>47</v>
      </c>
      <c r="D354" s="24">
        <v>5.0650000572204501</v>
      </c>
      <c r="F354" s="16">
        <v>45096</v>
      </c>
      <c r="G354" s="58">
        <v>47</v>
      </c>
      <c r="H354" s="3">
        <v>47</v>
      </c>
      <c r="I354" s="3">
        <v>47</v>
      </c>
      <c r="J354" s="23">
        <v>5.0650000572204501</v>
      </c>
      <c r="K354" s="23">
        <v>5.0650000572204501</v>
      </c>
      <c r="L354" s="24">
        <v>5.0650000572204501</v>
      </c>
    </row>
    <row r="355" spans="2:12" x14ac:dyDescent="0.25">
      <c r="B355" s="17">
        <v>45097</v>
      </c>
      <c r="C355" s="58">
        <v>49</v>
      </c>
      <c r="D355" s="24">
        <v>5.0749998092651296</v>
      </c>
      <c r="F355" s="17">
        <v>45097</v>
      </c>
      <c r="G355" s="58">
        <v>49</v>
      </c>
      <c r="H355" s="3">
        <v>49</v>
      </c>
      <c r="I355" s="3">
        <v>49</v>
      </c>
      <c r="J355" s="23">
        <v>5.0749998092651296</v>
      </c>
      <c r="K355" s="23">
        <v>5.0749998092651296</v>
      </c>
      <c r="L355" s="24">
        <v>5.0749998092651296</v>
      </c>
    </row>
    <row r="356" spans="2:12" x14ac:dyDescent="0.25">
      <c r="B356" s="17">
        <v>45098</v>
      </c>
      <c r="C356" s="58">
        <v>59</v>
      </c>
      <c r="D356" s="24">
        <v>5.1350002288818297</v>
      </c>
      <c r="F356" s="17">
        <v>45098</v>
      </c>
      <c r="G356" s="58">
        <v>59</v>
      </c>
      <c r="H356" s="3">
        <v>59</v>
      </c>
      <c r="I356" s="3">
        <v>59</v>
      </c>
      <c r="J356" s="23">
        <v>5.1350002288818297</v>
      </c>
      <c r="K356" s="23">
        <v>5.1350002288818297</v>
      </c>
      <c r="L356" s="24">
        <v>5.1350002288818297</v>
      </c>
    </row>
    <row r="357" spans="2:12" x14ac:dyDescent="0.25">
      <c r="B357" s="17">
        <v>45099</v>
      </c>
      <c r="C357" s="58">
        <v>65</v>
      </c>
      <c r="D357" s="24">
        <v>5.1350002288818297</v>
      </c>
      <c r="F357" s="17">
        <v>45099</v>
      </c>
      <c r="G357" s="58">
        <v>65</v>
      </c>
      <c r="H357" s="3">
        <v>65</v>
      </c>
      <c r="I357" s="3">
        <v>65</v>
      </c>
      <c r="J357" s="23">
        <v>5.1350002288818297</v>
      </c>
      <c r="K357" s="23">
        <v>5.1350002288818297</v>
      </c>
      <c r="L357" s="24">
        <v>5.1350002288818297</v>
      </c>
    </row>
    <row r="358" spans="2:12" x14ac:dyDescent="0.25">
      <c r="B358" s="17">
        <v>45100</v>
      </c>
      <c r="C358" s="58">
        <v>65</v>
      </c>
      <c r="D358" s="24">
        <v>5.13800001144409</v>
      </c>
      <c r="F358" s="17">
        <v>45100</v>
      </c>
      <c r="G358" s="58">
        <v>65</v>
      </c>
      <c r="H358" s="3">
        <v>65</v>
      </c>
      <c r="I358" s="3">
        <v>65</v>
      </c>
      <c r="J358" s="23">
        <v>5.13800001144409</v>
      </c>
      <c r="K358" s="23">
        <v>5.13800001144409</v>
      </c>
      <c r="L358" s="24">
        <v>5.13800001144409</v>
      </c>
    </row>
    <row r="359" spans="2:12" x14ac:dyDescent="0.25">
      <c r="B359" s="17">
        <v>45101</v>
      </c>
      <c r="C359" s="58">
        <v>62</v>
      </c>
      <c r="D359" s="24">
        <v>5.13800001144409</v>
      </c>
      <c r="F359" s="17">
        <v>45101</v>
      </c>
      <c r="G359" s="58">
        <v>62</v>
      </c>
      <c r="H359" s="3">
        <v>62</v>
      </c>
      <c r="I359" s="3">
        <v>62</v>
      </c>
      <c r="J359" s="23">
        <v>5.13800001144409</v>
      </c>
      <c r="K359" s="23">
        <v>5.13800001144409</v>
      </c>
      <c r="L359" s="24">
        <v>5.13800001144409</v>
      </c>
    </row>
    <row r="360" spans="2:12" x14ac:dyDescent="0.25">
      <c r="B360" s="17">
        <v>45102</v>
      </c>
      <c r="C360" s="58">
        <v>64</v>
      </c>
      <c r="D360" s="24">
        <v>5.13800001144409</v>
      </c>
      <c r="F360" s="17">
        <v>45102</v>
      </c>
      <c r="G360" s="58">
        <v>64</v>
      </c>
      <c r="H360" s="3">
        <v>64</v>
      </c>
      <c r="I360" s="3">
        <v>64</v>
      </c>
      <c r="J360" s="23">
        <v>5.13800001144409</v>
      </c>
      <c r="K360" s="23">
        <v>5.13800001144409</v>
      </c>
      <c r="L360" s="24">
        <v>5.13800001144409</v>
      </c>
    </row>
    <row r="361" spans="2:12" x14ac:dyDescent="0.25">
      <c r="B361" s="17">
        <v>45103</v>
      </c>
      <c r="C361" s="58">
        <v>55</v>
      </c>
      <c r="D361" s="24">
        <v>5.1550002098083496</v>
      </c>
      <c r="F361" s="17">
        <v>45103</v>
      </c>
      <c r="G361" s="58">
        <v>55</v>
      </c>
      <c r="H361" s="3">
        <v>55</v>
      </c>
      <c r="I361" s="3">
        <v>55</v>
      </c>
      <c r="J361" s="23">
        <v>5.1550002098083496</v>
      </c>
      <c r="K361" s="23">
        <v>5.1550002098083496</v>
      </c>
      <c r="L361" s="24">
        <v>5.1550002098083496</v>
      </c>
    </row>
    <row r="362" spans="2:12" x14ac:dyDescent="0.25">
      <c r="B362" s="17">
        <v>45104</v>
      </c>
      <c r="C362" s="58">
        <v>59</v>
      </c>
      <c r="D362" s="24">
        <v>5.1799998283386204</v>
      </c>
      <c r="F362" s="17">
        <v>45104</v>
      </c>
      <c r="G362" s="58">
        <v>59</v>
      </c>
      <c r="H362" s="3">
        <v>59</v>
      </c>
      <c r="I362" s="3">
        <v>59</v>
      </c>
      <c r="J362" s="23">
        <v>5.1799998283386204</v>
      </c>
      <c r="K362" s="23">
        <v>5.1799998283386204</v>
      </c>
      <c r="L362" s="24">
        <v>5.1799998283386204</v>
      </c>
    </row>
    <row r="363" spans="2:12" x14ac:dyDescent="0.25">
      <c r="B363" s="17">
        <v>45105</v>
      </c>
      <c r="C363" s="58">
        <v>62</v>
      </c>
      <c r="D363" s="24">
        <v>5.17000007629394</v>
      </c>
      <c r="F363" s="17">
        <v>45105</v>
      </c>
      <c r="G363" s="58">
        <v>62</v>
      </c>
      <c r="H363" s="3">
        <v>62</v>
      </c>
      <c r="I363" s="3">
        <v>62</v>
      </c>
      <c r="J363" s="23">
        <v>5.17000007629394</v>
      </c>
      <c r="K363" s="23">
        <v>5.17000007629394</v>
      </c>
      <c r="L363" s="24">
        <v>5.17000007629394</v>
      </c>
    </row>
    <row r="364" spans="2:12" x14ac:dyDescent="0.25">
      <c r="B364" s="17">
        <v>45106</v>
      </c>
      <c r="C364" s="58">
        <v>54</v>
      </c>
      <c r="D364" s="24">
        <v>5.1750001907348597</v>
      </c>
      <c r="F364" s="17">
        <v>45106</v>
      </c>
      <c r="G364" s="58">
        <v>54</v>
      </c>
      <c r="H364" s="3">
        <v>54</v>
      </c>
      <c r="I364" s="3">
        <v>54</v>
      </c>
      <c r="J364" s="23">
        <v>5.1750001907348597</v>
      </c>
      <c r="K364" s="23">
        <v>5.1750001907348597</v>
      </c>
      <c r="L364" s="24">
        <v>5.1750001907348597</v>
      </c>
    </row>
    <row r="365" spans="2:12" x14ac:dyDescent="0.25">
      <c r="B365" s="17">
        <v>45107</v>
      </c>
      <c r="C365" s="58">
        <v>56</v>
      </c>
      <c r="D365" s="24">
        <v>5.1529998779296804</v>
      </c>
      <c r="F365" s="17">
        <v>45107</v>
      </c>
      <c r="G365" s="58">
        <v>56</v>
      </c>
      <c r="H365" s="3">
        <v>56</v>
      </c>
      <c r="I365" s="3">
        <v>56</v>
      </c>
      <c r="J365" s="23">
        <v>5.1529998779296804</v>
      </c>
      <c r="K365" s="23">
        <v>5.1529998779296804</v>
      </c>
      <c r="L365" s="24">
        <v>5.1529998779296804</v>
      </c>
    </row>
    <row r="366" spans="2:12" x14ac:dyDescent="0.25">
      <c r="B366" s="17">
        <v>45108</v>
      </c>
      <c r="C366" s="58">
        <v>59</v>
      </c>
      <c r="D366" s="24">
        <v>5.1529998779296804</v>
      </c>
      <c r="F366" s="17">
        <v>45108</v>
      </c>
      <c r="G366" s="58">
        <v>59</v>
      </c>
      <c r="H366" s="3">
        <v>59</v>
      </c>
      <c r="I366" s="3">
        <v>59</v>
      </c>
      <c r="J366" s="23">
        <v>5.1529998779296804</v>
      </c>
      <c r="K366" s="23">
        <v>5.1529998779296804</v>
      </c>
      <c r="L366" s="24">
        <v>5.1529998779296804</v>
      </c>
    </row>
    <row r="367" spans="2:12" x14ac:dyDescent="0.25">
      <c r="B367" s="17">
        <v>45109</v>
      </c>
      <c r="C367" s="58">
        <v>63</v>
      </c>
      <c r="D367" s="24">
        <v>5.1529998779296804</v>
      </c>
      <c r="F367" s="17">
        <v>45109</v>
      </c>
      <c r="G367" s="58">
        <v>63</v>
      </c>
      <c r="H367" s="3">
        <v>63</v>
      </c>
      <c r="I367" s="3">
        <v>63</v>
      </c>
      <c r="J367" s="23">
        <v>5.1529998779296804</v>
      </c>
      <c r="K367" s="23">
        <v>5.1529998779296804</v>
      </c>
      <c r="L367" s="24">
        <v>5.1529998779296804</v>
      </c>
    </row>
    <row r="368" spans="2:12" x14ac:dyDescent="0.25">
      <c r="B368" s="17">
        <v>45110</v>
      </c>
      <c r="C368" s="58">
        <v>62</v>
      </c>
      <c r="D368" s="24">
        <v>5.1449999809265101</v>
      </c>
      <c r="F368" s="17">
        <v>45110</v>
      </c>
      <c r="G368" s="58">
        <v>62</v>
      </c>
      <c r="H368" s="3">
        <v>62</v>
      </c>
      <c r="I368" s="3">
        <v>62</v>
      </c>
      <c r="J368" s="23">
        <v>5.1449999809265101</v>
      </c>
      <c r="K368" s="23">
        <v>5.1449999809265101</v>
      </c>
      <c r="L368" s="24">
        <v>5.1449999809265101</v>
      </c>
    </row>
    <row r="369" spans="2:12" x14ac:dyDescent="0.25">
      <c r="B369" s="17">
        <v>45111</v>
      </c>
      <c r="C369" s="58">
        <v>64</v>
      </c>
      <c r="D369" s="24">
        <v>5.1449999809265101</v>
      </c>
      <c r="F369" s="17">
        <v>45111</v>
      </c>
      <c r="G369" s="58">
        <v>64</v>
      </c>
      <c r="H369" s="3">
        <v>64</v>
      </c>
      <c r="I369" s="3">
        <v>64</v>
      </c>
      <c r="J369" s="23">
        <v>5.1449999809265101</v>
      </c>
      <c r="K369" s="23">
        <v>5.1449999809265101</v>
      </c>
      <c r="L369" s="24">
        <v>5.1449999809265101</v>
      </c>
    </row>
    <row r="370" spans="2:12" x14ac:dyDescent="0.25">
      <c r="B370" s="17">
        <v>45112</v>
      </c>
      <c r="C370" s="58">
        <v>61</v>
      </c>
      <c r="D370" s="24">
        <v>5.1929998397827104</v>
      </c>
      <c r="F370" s="17">
        <v>45112</v>
      </c>
      <c r="G370" s="58">
        <v>61</v>
      </c>
      <c r="H370" s="3">
        <v>61</v>
      </c>
      <c r="I370" s="3">
        <v>61</v>
      </c>
      <c r="J370" s="23">
        <v>5.1929998397827104</v>
      </c>
      <c r="K370" s="23">
        <v>5.1929998397827104</v>
      </c>
      <c r="L370" s="24">
        <v>5.1929998397827104</v>
      </c>
    </row>
    <row r="371" spans="2:12" x14ac:dyDescent="0.25">
      <c r="B371" s="17">
        <v>45113</v>
      </c>
      <c r="C371" s="58">
        <v>56</v>
      </c>
      <c r="D371" s="24">
        <v>5.2129998207092196</v>
      </c>
      <c r="F371" s="17">
        <v>45113</v>
      </c>
      <c r="G371" s="58">
        <v>56</v>
      </c>
      <c r="H371" s="3">
        <v>56</v>
      </c>
      <c r="I371" s="3">
        <v>56</v>
      </c>
      <c r="J371" s="23">
        <v>5.2129998207092196</v>
      </c>
      <c r="K371" s="23">
        <v>5.2129998207092196</v>
      </c>
      <c r="L371" s="24">
        <v>5.2129998207092196</v>
      </c>
    </row>
    <row r="372" spans="2:12" x14ac:dyDescent="0.25">
      <c r="B372" s="17">
        <v>45114</v>
      </c>
      <c r="C372" s="58">
        <v>55</v>
      </c>
      <c r="D372" s="24">
        <v>5.2129998207092196</v>
      </c>
      <c r="F372" s="17">
        <v>45114</v>
      </c>
      <c r="G372" s="58">
        <v>55</v>
      </c>
      <c r="H372" s="3">
        <v>55</v>
      </c>
      <c r="I372" s="3">
        <v>55</v>
      </c>
      <c r="J372" s="23">
        <v>5.2129998207092196</v>
      </c>
      <c r="K372" s="23">
        <v>5.2129998207092196</v>
      </c>
      <c r="L372" s="24">
        <v>5.2129998207092196</v>
      </c>
    </row>
    <row r="373" spans="2:12" x14ac:dyDescent="0.25">
      <c r="B373" s="17">
        <v>45115</v>
      </c>
      <c r="C373" s="58">
        <v>58</v>
      </c>
      <c r="D373" s="24">
        <v>5.2129998207092196</v>
      </c>
      <c r="F373" s="17">
        <v>45115</v>
      </c>
      <c r="G373" s="58">
        <v>58</v>
      </c>
      <c r="H373" s="3">
        <v>58</v>
      </c>
      <c r="I373" s="3">
        <v>58</v>
      </c>
      <c r="J373" s="23">
        <v>5.2129998207092196</v>
      </c>
      <c r="K373" s="23">
        <v>5.2129998207092196</v>
      </c>
      <c r="L373" s="24">
        <v>5.2129998207092196</v>
      </c>
    </row>
    <row r="374" spans="2:12" x14ac:dyDescent="0.25">
      <c r="B374" s="17">
        <v>45116</v>
      </c>
      <c r="C374" s="58">
        <v>55</v>
      </c>
      <c r="D374" s="24">
        <v>5.2129998207092196</v>
      </c>
      <c r="F374" s="17">
        <v>45116</v>
      </c>
      <c r="G374" s="58">
        <v>55</v>
      </c>
      <c r="H374" s="3">
        <v>55</v>
      </c>
      <c r="I374" s="3">
        <v>55</v>
      </c>
      <c r="J374" s="23">
        <v>5.2129998207092196</v>
      </c>
      <c r="K374" s="23">
        <v>5.2129998207092196</v>
      </c>
      <c r="L374" s="24">
        <v>5.2129998207092196</v>
      </c>
    </row>
    <row r="375" spans="2:12" x14ac:dyDescent="0.25">
      <c r="B375" s="17">
        <v>45117</v>
      </c>
      <c r="C375" s="58">
        <v>56</v>
      </c>
      <c r="D375" s="24">
        <v>5.2249999046325604</v>
      </c>
      <c r="F375" s="17">
        <v>45117</v>
      </c>
      <c r="G375" s="58">
        <v>56</v>
      </c>
      <c r="H375" s="3">
        <v>56</v>
      </c>
      <c r="I375" s="3">
        <v>56</v>
      </c>
      <c r="J375" s="23">
        <v>5.2249999046325604</v>
      </c>
      <c r="K375" s="23">
        <v>5.2249999046325604</v>
      </c>
      <c r="L375" s="24">
        <v>5.2249999046325604</v>
      </c>
    </row>
    <row r="376" spans="2:12" x14ac:dyDescent="0.25">
      <c r="B376" s="17">
        <v>45118</v>
      </c>
      <c r="C376" s="58">
        <v>57</v>
      </c>
      <c r="D376" s="24">
        <v>5.2430000305175701</v>
      </c>
      <c r="F376" s="17">
        <v>45118</v>
      </c>
      <c r="G376" s="58">
        <v>57</v>
      </c>
      <c r="H376" s="3">
        <v>57</v>
      </c>
      <c r="I376" s="3">
        <v>57</v>
      </c>
      <c r="J376" s="23">
        <v>5.2430000305175701</v>
      </c>
      <c r="K376" s="23">
        <v>5.2430000305175701</v>
      </c>
      <c r="L376" s="24">
        <v>5.2430000305175701</v>
      </c>
    </row>
    <row r="377" spans="2:12" x14ac:dyDescent="0.25">
      <c r="B377" s="17">
        <v>45119</v>
      </c>
      <c r="C377" s="58">
        <v>64</v>
      </c>
      <c r="D377" s="24">
        <v>5.2300000190734801</v>
      </c>
      <c r="F377" s="17">
        <v>45119</v>
      </c>
      <c r="G377" s="58">
        <v>64</v>
      </c>
      <c r="H377" s="3">
        <v>64</v>
      </c>
      <c r="I377" s="3">
        <v>64</v>
      </c>
      <c r="J377" s="23">
        <v>5.2300000190734801</v>
      </c>
      <c r="K377" s="23">
        <v>5.2300000190734801</v>
      </c>
      <c r="L377" s="24">
        <v>5.2300000190734801</v>
      </c>
    </row>
    <row r="378" spans="2:12" x14ac:dyDescent="0.25">
      <c r="B378" s="17">
        <v>45120</v>
      </c>
      <c r="C378" s="58">
        <v>57</v>
      </c>
      <c r="D378" s="24">
        <v>5.22300004959106</v>
      </c>
      <c r="F378" s="17">
        <v>45120</v>
      </c>
      <c r="G378" s="58">
        <v>57</v>
      </c>
      <c r="H378" s="3">
        <v>57</v>
      </c>
      <c r="I378" s="3">
        <v>57</v>
      </c>
      <c r="J378" s="23">
        <v>5.22300004959106</v>
      </c>
      <c r="K378" s="23">
        <v>5.22300004959106</v>
      </c>
      <c r="L378" s="24">
        <v>5.22300004959106</v>
      </c>
    </row>
    <row r="379" spans="2:12" x14ac:dyDescent="0.25">
      <c r="B379" s="17">
        <v>45121</v>
      </c>
      <c r="C379" s="58">
        <v>60</v>
      </c>
      <c r="D379" s="24">
        <v>5.2150001525878897</v>
      </c>
      <c r="F379" s="17">
        <v>45121</v>
      </c>
      <c r="G379" s="58">
        <v>60</v>
      </c>
      <c r="H379" s="3">
        <v>60</v>
      </c>
      <c r="I379" s="3">
        <v>60</v>
      </c>
      <c r="J379" s="23">
        <v>5.2150001525878897</v>
      </c>
      <c r="K379" s="23">
        <v>5.2150001525878897</v>
      </c>
      <c r="L379" s="24">
        <v>5.2150001525878897</v>
      </c>
    </row>
    <row r="380" spans="2:12" x14ac:dyDescent="0.25">
      <c r="B380" s="17">
        <v>45122</v>
      </c>
      <c r="C380" s="58">
        <v>56</v>
      </c>
      <c r="D380" s="24">
        <v>5.2150001525878897</v>
      </c>
      <c r="F380" s="17">
        <v>45122</v>
      </c>
      <c r="G380" s="58">
        <v>56</v>
      </c>
      <c r="H380" s="3">
        <v>56</v>
      </c>
      <c r="I380" s="3">
        <v>56</v>
      </c>
      <c r="J380" s="23">
        <v>5.2150001525878897</v>
      </c>
      <c r="K380" s="23">
        <v>5.2150001525878897</v>
      </c>
      <c r="L380" s="24">
        <v>5.2150001525878897</v>
      </c>
    </row>
    <row r="381" spans="2:12" x14ac:dyDescent="0.25">
      <c r="B381" s="17">
        <v>45123</v>
      </c>
      <c r="C381" s="58">
        <v>57</v>
      </c>
      <c r="D381" s="24">
        <v>5.2150001525878897</v>
      </c>
      <c r="F381" s="17">
        <v>45123</v>
      </c>
      <c r="G381" s="58">
        <v>57</v>
      </c>
      <c r="H381" s="3">
        <v>57</v>
      </c>
      <c r="I381" s="3">
        <v>57</v>
      </c>
      <c r="J381" s="23">
        <v>5.2150001525878897</v>
      </c>
      <c r="K381" s="23">
        <v>5.2150001525878897</v>
      </c>
      <c r="L381" s="24">
        <v>5.2150001525878897</v>
      </c>
    </row>
    <row r="382" spans="2:12" x14ac:dyDescent="0.25">
      <c r="B382" s="17">
        <v>45124</v>
      </c>
      <c r="C382" s="58">
        <v>54</v>
      </c>
      <c r="D382" s="24">
        <v>5.2329998016357404</v>
      </c>
      <c r="F382" s="17">
        <v>45124</v>
      </c>
      <c r="G382" s="58">
        <v>54</v>
      </c>
      <c r="H382" s="3">
        <v>54</v>
      </c>
      <c r="I382" s="3">
        <v>54</v>
      </c>
      <c r="J382" s="23">
        <v>5.2329998016357404</v>
      </c>
      <c r="K382" s="23">
        <v>5.2329998016357404</v>
      </c>
      <c r="L382" s="24">
        <v>5.2329998016357404</v>
      </c>
    </row>
    <row r="383" spans="2:12" x14ac:dyDescent="0.25">
      <c r="B383" s="17">
        <v>45125</v>
      </c>
      <c r="C383" s="58">
        <v>56</v>
      </c>
      <c r="D383" s="24">
        <v>5.2480001449584899</v>
      </c>
      <c r="F383" s="17">
        <v>45125</v>
      </c>
      <c r="G383" s="58">
        <v>56</v>
      </c>
      <c r="H383" s="3">
        <v>56</v>
      </c>
      <c r="I383" s="3">
        <v>56</v>
      </c>
      <c r="J383" s="23">
        <v>5.2480001449584899</v>
      </c>
      <c r="K383" s="23">
        <v>5.2480001449584899</v>
      </c>
      <c r="L383" s="24">
        <v>5.2480001449584899</v>
      </c>
    </row>
    <row r="384" spans="2:12" x14ac:dyDescent="0.25">
      <c r="B384" s="17">
        <v>45126</v>
      </c>
      <c r="C384" s="58">
        <v>50</v>
      </c>
      <c r="D384" s="24">
        <v>5.2449998855590803</v>
      </c>
      <c r="F384" s="17">
        <v>45126</v>
      </c>
      <c r="G384" s="58">
        <v>50</v>
      </c>
      <c r="H384" s="3">
        <v>50</v>
      </c>
      <c r="I384" s="3">
        <v>50</v>
      </c>
      <c r="J384" s="23">
        <v>5.2449998855590803</v>
      </c>
      <c r="K384" s="23">
        <v>5.2449998855590803</v>
      </c>
      <c r="L384" s="24">
        <v>5.2449998855590803</v>
      </c>
    </row>
    <row r="385" spans="2:12" x14ac:dyDescent="0.25">
      <c r="B385" s="17">
        <v>45127</v>
      </c>
      <c r="C385" s="58">
        <v>56</v>
      </c>
      <c r="D385" s="24">
        <v>5.2430000305175701</v>
      </c>
      <c r="F385" s="17">
        <v>45127</v>
      </c>
      <c r="G385" s="58">
        <v>56</v>
      </c>
      <c r="H385" s="3">
        <v>56</v>
      </c>
      <c r="I385" s="3">
        <v>56</v>
      </c>
      <c r="J385" s="23">
        <v>5.2430000305175701</v>
      </c>
      <c r="K385" s="23">
        <v>5.2430000305175701</v>
      </c>
      <c r="L385" s="24">
        <v>5.2430000305175701</v>
      </c>
    </row>
    <row r="386" spans="2:12" x14ac:dyDescent="0.25">
      <c r="B386" s="17">
        <v>45128</v>
      </c>
      <c r="C386" s="58">
        <v>50</v>
      </c>
      <c r="D386" s="24">
        <v>5.2480001449584899</v>
      </c>
      <c r="F386" s="17">
        <v>45128</v>
      </c>
      <c r="G386" s="58">
        <v>50</v>
      </c>
      <c r="H386" s="3">
        <v>50</v>
      </c>
      <c r="I386" s="3">
        <v>50</v>
      </c>
      <c r="J386" s="23">
        <v>5.2480001449584899</v>
      </c>
      <c r="K386" s="23">
        <v>5.2480001449584899</v>
      </c>
      <c r="L386" s="24">
        <v>5.2480001449584899</v>
      </c>
    </row>
    <row r="387" spans="2:12" x14ac:dyDescent="0.25">
      <c r="B387" s="17">
        <v>45129</v>
      </c>
      <c r="C387" s="58">
        <v>52</v>
      </c>
      <c r="D387" s="24">
        <v>5.2480001449584899</v>
      </c>
      <c r="F387" s="17">
        <v>45129</v>
      </c>
      <c r="G387" s="58">
        <v>52</v>
      </c>
      <c r="H387" s="3">
        <v>52</v>
      </c>
      <c r="I387" s="3">
        <v>52</v>
      </c>
      <c r="J387" s="23">
        <v>5.2480001449584899</v>
      </c>
      <c r="K387" s="23">
        <v>5.2480001449584899</v>
      </c>
      <c r="L387" s="24">
        <v>5.2480001449584899</v>
      </c>
    </row>
    <row r="388" spans="2:12" x14ac:dyDescent="0.25">
      <c r="B388" s="17">
        <v>45130</v>
      </c>
      <c r="C388" s="58">
        <v>54</v>
      </c>
      <c r="D388" s="24">
        <v>5.2480001449584899</v>
      </c>
      <c r="F388" s="17">
        <v>45130</v>
      </c>
      <c r="G388" s="58">
        <v>54</v>
      </c>
      <c r="H388" s="3">
        <v>54</v>
      </c>
      <c r="I388" s="3">
        <v>54</v>
      </c>
      <c r="J388" s="23">
        <v>5.2480001449584899</v>
      </c>
      <c r="K388" s="23">
        <v>5.2480001449584899</v>
      </c>
      <c r="L388" s="24">
        <v>5.2480001449584899</v>
      </c>
    </row>
    <row r="389" spans="2:12" x14ac:dyDescent="0.25">
      <c r="B389" s="17">
        <v>45131</v>
      </c>
      <c r="C389" s="58">
        <v>55</v>
      </c>
      <c r="D389" s="24">
        <v>5.25</v>
      </c>
      <c r="F389" s="17">
        <v>45131</v>
      </c>
      <c r="G389" s="58">
        <v>55</v>
      </c>
      <c r="H389" s="3">
        <v>55</v>
      </c>
      <c r="I389" s="3">
        <v>55</v>
      </c>
      <c r="J389" s="23">
        <v>5.25</v>
      </c>
      <c r="K389" s="23">
        <v>5.25</v>
      </c>
      <c r="L389" s="24">
        <v>5.25</v>
      </c>
    </row>
    <row r="390" spans="2:12" x14ac:dyDescent="0.25">
      <c r="B390" s="17">
        <v>45132</v>
      </c>
      <c r="C390" s="58">
        <v>50</v>
      </c>
      <c r="D390" s="24">
        <v>5.2649998664855904</v>
      </c>
      <c r="F390" s="17">
        <v>45132</v>
      </c>
      <c r="G390" s="58">
        <v>50</v>
      </c>
      <c r="H390" s="3">
        <v>50</v>
      </c>
      <c r="I390" s="3">
        <v>50</v>
      </c>
      <c r="J390" s="23">
        <v>5.2649998664855904</v>
      </c>
      <c r="K390" s="23">
        <v>5.2649998664855904</v>
      </c>
      <c r="L390" s="24">
        <v>5.2649998664855904</v>
      </c>
    </row>
    <row r="391" spans="2:12" x14ac:dyDescent="0.25">
      <c r="B391" s="17">
        <v>45133</v>
      </c>
      <c r="C391" s="58">
        <v>51</v>
      </c>
      <c r="D391" s="24">
        <v>5.2680001258850098</v>
      </c>
      <c r="F391" s="17">
        <v>45133</v>
      </c>
      <c r="G391" s="58">
        <v>51</v>
      </c>
      <c r="H391" s="3">
        <v>51</v>
      </c>
      <c r="I391" s="3">
        <v>51</v>
      </c>
      <c r="J391" s="23">
        <v>5.2680001258850098</v>
      </c>
      <c r="K391" s="23">
        <v>5.2680001258850098</v>
      </c>
      <c r="L391" s="24">
        <v>5.2680001258850098</v>
      </c>
    </row>
    <row r="392" spans="2:12" x14ac:dyDescent="0.25">
      <c r="B392" s="17">
        <v>45134</v>
      </c>
      <c r="C392" s="58">
        <v>51</v>
      </c>
      <c r="D392" s="24">
        <v>5.2680001258850098</v>
      </c>
      <c r="F392" s="17">
        <v>45134</v>
      </c>
      <c r="G392" s="58">
        <v>51</v>
      </c>
      <c r="H392" s="3">
        <v>51</v>
      </c>
      <c r="I392" s="3">
        <v>51</v>
      </c>
      <c r="J392" s="23">
        <v>5.2680001258850098</v>
      </c>
      <c r="K392" s="23">
        <v>5.2680001258850098</v>
      </c>
      <c r="L392" s="24">
        <v>5.2680001258850098</v>
      </c>
    </row>
    <row r="393" spans="2:12" x14ac:dyDescent="0.25">
      <c r="B393" s="17">
        <v>45135</v>
      </c>
      <c r="C393" s="58">
        <v>52</v>
      </c>
      <c r="D393" s="24">
        <v>5.25500011444091</v>
      </c>
      <c r="F393" s="17">
        <v>45135</v>
      </c>
      <c r="G393" s="58">
        <v>52</v>
      </c>
      <c r="H393" s="3">
        <v>52</v>
      </c>
      <c r="I393" s="3">
        <v>52</v>
      </c>
      <c r="J393" s="23">
        <v>5.25500011444091</v>
      </c>
      <c r="K393" s="23">
        <v>5.25500011444091</v>
      </c>
      <c r="L393" s="24">
        <v>5.25500011444091</v>
      </c>
    </row>
    <row r="394" spans="2:12" x14ac:dyDescent="0.25">
      <c r="B394" s="17">
        <v>45136</v>
      </c>
      <c r="C394" s="58">
        <v>52</v>
      </c>
      <c r="D394" s="24">
        <v>5.25500011444091</v>
      </c>
      <c r="F394" s="17">
        <v>45136</v>
      </c>
      <c r="G394" s="58">
        <v>52</v>
      </c>
      <c r="H394" s="3">
        <v>52</v>
      </c>
      <c r="I394" s="3">
        <v>52</v>
      </c>
      <c r="J394" s="23">
        <v>5.25500011444091</v>
      </c>
      <c r="K394" s="23">
        <v>5.25500011444091</v>
      </c>
      <c r="L394" s="24">
        <v>5.25500011444091</v>
      </c>
    </row>
    <row r="395" spans="2:12" x14ac:dyDescent="0.25">
      <c r="B395" s="17">
        <v>45137</v>
      </c>
      <c r="C395" s="58">
        <v>52</v>
      </c>
      <c r="D395" s="24">
        <v>5.25500011444091</v>
      </c>
      <c r="F395" s="17">
        <v>45137</v>
      </c>
      <c r="G395" s="58">
        <v>52</v>
      </c>
      <c r="H395" s="3">
        <v>52</v>
      </c>
      <c r="I395" s="3">
        <v>52</v>
      </c>
      <c r="J395" s="23">
        <v>5.25500011444091</v>
      </c>
      <c r="K395" s="23">
        <v>5.25500011444091</v>
      </c>
      <c r="L395" s="24">
        <v>5.25500011444091</v>
      </c>
    </row>
    <row r="396" spans="2:12" x14ac:dyDescent="0.25">
      <c r="B396" s="17">
        <v>45138</v>
      </c>
      <c r="C396" s="58">
        <v>50</v>
      </c>
      <c r="D396" s="24">
        <v>5.2480001449584899</v>
      </c>
      <c r="F396" s="17">
        <v>45138</v>
      </c>
      <c r="G396" s="58">
        <v>50</v>
      </c>
      <c r="H396" s="3">
        <v>50</v>
      </c>
      <c r="I396" s="3">
        <v>50</v>
      </c>
      <c r="J396" s="23">
        <v>5.2480001449584899</v>
      </c>
      <c r="K396" s="23">
        <v>5.2480001449584899</v>
      </c>
      <c r="L396" s="24">
        <v>5.2480001449584899</v>
      </c>
    </row>
    <row r="397" spans="2:12" x14ac:dyDescent="0.25">
      <c r="B397" s="17">
        <v>45139</v>
      </c>
      <c r="C397" s="58">
        <v>53</v>
      </c>
      <c r="D397" s="24">
        <v>5.2600002288818297</v>
      </c>
      <c r="F397" s="17">
        <v>45139</v>
      </c>
      <c r="G397" s="58">
        <v>53</v>
      </c>
      <c r="H397" s="3">
        <v>53</v>
      </c>
      <c r="I397" s="3">
        <v>53</v>
      </c>
      <c r="J397" s="23">
        <v>5.2600002288818297</v>
      </c>
      <c r="K397" s="23">
        <v>5.2600002288818297</v>
      </c>
      <c r="L397" s="24">
        <v>5.2600002288818297</v>
      </c>
    </row>
    <row r="398" spans="2:12" x14ac:dyDescent="0.25">
      <c r="B398" s="17">
        <v>45140</v>
      </c>
      <c r="C398" s="58">
        <v>53</v>
      </c>
      <c r="D398" s="24">
        <v>5.2600002288818297</v>
      </c>
      <c r="F398" s="17">
        <v>45140</v>
      </c>
      <c r="G398" s="58">
        <v>53</v>
      </c>
      <c r="H398" s="3">
        <v>53</v>
      </c>
      <c r="I398" s="3">
        <v>53</v>
      </c>
      <c r="J398" s="23">
        <v>5.2600002288818297</v>
      </c>
      <c r="K398" s="23">
        <v>5.2600002288818297</v>
      </c>
      <c r="L398" s="24">
        <v>5.2600002288818297</v>
      </c>
    </row>
    <row r="399" spans="2:12" x14ac:dyDescent="0.25">
      <c r="B399" s="17">
        <v>45141</v>
      </c>
      <c r="C399" s="58">
        <v>52</v>
      </c>
      <c r="D399" s="24">
        <v>5.2579998970031703</v>
      </c>
      <c r="F399" s="17">
        <v>45141</v>
      </c>
      <c r="G399" s="58">
        <v>52</v>
      </c>
      <c r="H399" s="3">
        <v>52</v>
      </c>
      <c r="I399" s="3">
        <v>52</v>
      </c>
      <c r="J399" s="23">
        <v>5.2579998970031703</v>
      </c>
      <c r="K399" s="23">
        <v>5.2579998970031703</v>
      </c>
      <c r="L399" s="24">
        <v>5.2579998970031703</v>
      </c>
    </row>
    <row r="400" spans="2:12" x14ac:dyDescent="0.25">
      <c r="B400" s="17">
        <v>45142</v>
      </c>
      <c r="C400" s="58">
        <v>54</v>
      </c>
      <c r="D400" s="24">
        <v>5.2529997825622496</v>
      </c>
      <c r="F400" s="17">
        <v>45142</v>
      </c>
      <c r="G400" s="58">
        <v>54</v>
      </c>
      <c r="H400" s="3">
        <v>54</v>
      </c>
      <c r="I400" s="3">
        <v>54</v>
      </c>
      <c r="J400" s="23">
        <v>5.2529997825622496</v>
      </c>
      <c r="K400" s="23">
        <v>5.2529997825622496</v>
      </c>
      <c r="L400" s="24">
        <v>5.2529997825622496</v>
      </c>
    </row>
    <row r="401" spans="2:12" x14ac:dyDescent="0.25">
      <c r="B401" s="17">
        <v>45143</v>
      </c>
      <c r="C401" s="58">
        <v>50</v>
      </c>
      <c r="D401" s="24">
        <v>5.2529997825622496</v>
      </c>
      <c r="F401" s="17">
        <v>45143</v>
      </c>
      <c r="G401" s="58">
        <v>50</v>
      </c>
      <c r="H401" s="3">
        <v>50</v>
      </c>
      <c r="I401" s="3">
        <v>50</v>
      </c>
      <c r="J401" s="23">
        <v>5.2529997825622496</v>
      </c>
      <c r="K401" s="23">
        <v>5.2529997825622496</v>
      </c>
      <c r="L401" s="24">
        <v>5.2529997825622496</v>
      </c>
    </row>
    <row r="402" spans="2:12" x14ac:dyDescent="0.25">
      <c r="B402" s="17">
        <v>45144</v>
      </c>
      <c r="C402" s="58">
        <v>49</v>
      </c>
      <c r="D402" s="24">
        <v>5.2529997825622496</v>
      </c>
      <c r="F402" s="17">
        <v>45144</v>
      </c>
      <c r="G402" s="58">
        <v>49</v>
      </c>
      <c r="H402" s="3">
        <v>49</v>
      </c>
      <c r="I402" s="3">
        <v>49</v>
      </c>
      <c r="J402" s="23">
        <v>5.2529997825622496</v>
      </c>
      <c r="K402" s="23">
        <v>5.2529997825622496</v>
      </c>
      <c r="L402" s="24">
        <v>5.2529997825622496</v>
      </c>
    </row>
    <row r="403" spans="2:12" ht="15.75" thickBot="1" x14ac:dyDescent="0.3">
      <c r="B403" s="18">
        <v>45145</v>
      </c>
      <c r="C403" s="58">
        <v>49</v>
      </c>
      <c r="D403" s="24">
        <v>5.2600002288818297</v>
      </c>
      <c r="F403" s="18">
        <v>45145</v>
      </c>
      <c r="G403" s="58">
        <v>49</v>
      </c>
      <c r="H403" s="3">
        <v>49</v>
      </c>
      <c r="I403" s="3">
        <v>49</v>
      </c>
      <c r="J403" s="23">
        <v>5.2600002288818297</v>
      </c>
      <c r="K403" s="23">
        <v>5.2600002288818297</v>
      </c>
      <c r="L403" s="24">
        <v>5.2600002288818297</v>
      </c>
    </row>
    <row r="404" spans="2:12" x14ac:dyDescent="0.25">
      <c r="B404" s="16">
        <v>45146</v>
      </c>
      <c r="C404" s="58">
        <v>54</v>
      </c>
      <c r="D404" s="24">
        <v>5.2750000953674299</v>
      </c>
      <c r="F404" s="16">
        <v>45146</v>
      </c>
      <c r="G404" s="58">
        <v>54</v>
      </c>
      <c r="H404" s="3">
        <v>54</v>
      </c>
      <c r="I404" s="3">
        <v>54</v>
      </c>
      <c r="J404" s="23">
        <v>5.2750000953674299</v>
      </c>
      <c r="K404" s="23">
        <v>5.2750000953674299</v>
      </c>
      <c r="L404" s="24">
        <v>5.2750000953674299</v>
      </c>
    </row>
    <row r="405" spans="2:12" x14ac:dyDescent="0.25">
      <c r="B405" s="17">
        <v>45147</v>
      </c>
      <c r="C405" s="58">
        <v>50</v>
      </c>
      <c r="D405" s="24">
        <v>5.2800002098083496</v>
      </c>
      <c r="F405" s="17">
        <v>45147</v>
      </c>
      <c r="G405" s="58">
        <v>50</v>
      </c>
      <c r="H405" s="3">
        <v>50</v>
      </c>
      <c r="I405" s="3">
        <v>50</v>
      </c>
      <c r="J405" s="23">
        <v>5.2800002098083496</v>
      </c>
      <c r="K405" s="23">
        <v>5.2800002098083496</v>
      </c>
      <c r="L405" s="24">
        <v>5.2800002098083496</v>
      </c>
    </row>
    <row r="406" spans="2:12" x14ac:dyDescent="0.25">
      <c r="B406" s="17">
        <v>45148</v>
      </c>
      <c r="C406" s="58">
        <v>53</v>
      </c>
      <c r="D406" s="24">
        <v>5.2680001258850098</v>
      </c>
      <c r="F406" s="17">
        <v>45148</v>
      </c>
      <c r="G406" s="58">
        <v>53</v>
      </c>
      <c r="H406" s="3">
        <v>53</v>
      </c>
      <c r="I406" s="3">
        <v>53</v>
      </c>
      <c r="J406" s="23">
        <v>5.2680001258850098</v>
      </c>
      <c r="K406" s="23">
        <v>5.2680001258850098</v>
      </c>
      <c r="L406" s="24">
        <v>5.2680001258850098</v>
      </c>
    </row>
    <row r="407" spans="2:12" x14ac:dyDescent="0.25">
      <c r="B407" s="17">
        <v>45149</v>
      </c>
      <c r="C407" s="58">
        <v>51</v>
      </c>
      <c r="D407" s="24">
        <v>5.2649998664855904</v>
      </c>
      <c r="F407" s="17">
        <v>45149</v>
      </c>
      <c r="G407" s="58">
        <v>51</v>
      </c>
      <c r="H407" s="3">
        <v>51</v>
      </c>
      <c r="I407" s="3">
        <v>51</v>
      </c>
      <c r="J407" s="23">
        <v>5.2649998664855904</v>
      </c>
      <c r="K407" s="23">
        <v>5.2649998664855904</v>
      </c>
      <c r="L407" s="24">
        <v>5.2649998664855904</v>
      </c>
    </row>
    <row r="408" spans="2:12" x14ac:dyDescent="0.25">
      <c r="B408" s="17">
        <v>45150</v>
      </c>
      <c r="C408" s="58">
        <v>54</v>
      </c>
      <c r="D408" s="24">
        <v>5.2649998664855904</v>
      </c>
      <c r="F408" s="17">
        <v>45150</v>
      </c>
      <c r="G408" s="58">
        <v>54</v>
      </c>
      <c r="H408" s="3">
        <v>54</v>
      </c>
      <c r="I408" s="3">
        <v>54</v>
      </c>
      <c r="J408" s="23">
        <v>5.2649998664855904</v>
      </c>
      <c r="K408" s="23">
        <v>5.2649998664855904</v>
      </c>
      <c r="L408" s="24">
        <v>5.2649998664855904</v>
      </c>
    </row>
    <row r="409" spans="2:12" x14ac:dyDescent="0.25">
      <c r="B409" s="17">
        <v>45151</v>
      </c>
      <c r="C409" s="58">
        <v>54</v>
      </c>
      <c r="D409" s="24">
        <v>5.2649998664855904</v>
      </c>
      <c r="F409" s="17">
        <v>45151</v>
      </c>
      <c r="G409" s="58">
        <v>54</v>
      </c>
      <c r="H409" s="3">
        <v>54</v>
      </c>
      <c r="I409" s="3">
        <v>54</v>
      </c>
      <c r="J409" s="23">
        <v>5.2649998664855904</v>
      </c>
      <c r="K409" s="23">
        <v>5.2649998664855904</v>
      </c>
      <c r="L409" s="24">
        <v>5.2649998664855904</v>
      </c>
    </row>
    <row r="410" spans="2:12" x14ac:dyDescent="0.25">
      <c r="B410" s="17">
        <v>45152</v>
      </c>
      <c r="C410" s="58">
        <v>50</v>
      </c>
      <c r="D410" s="24">
        <v>5.2699999809265101</v>
      </c>
      <c r="F410" s="17">
        <v>45152</v>
      </c>
      <c r="G410" s="58">
        <v>50</v>
      </c>
      <c r="H410" s="3">
        <v>50</v>
      </c>
      <c r="I410" s="3">
        <v>50</v>
      </c>
      <c r="J410" s="23">
        <v>5.2699999809265101</v>
      </c>
      <c r="K410" s="23">
        <v>5.2699999809265101</v>
      </c>
      <c r="L410" s="24">
        <v>5.2699999809265101</v>
      </c>
    </row>
    <row r="411" spans="2:12" x14ac:dyDescent="0.25">
      <c r="B411" s="17">
        <v>45153</v>
      </c>
      <c r="C411" s="58">
        <v>53</v>
      </c>
      <c r="D411" s="24">
        <v>5.2800002098083496</v>
      </c>
      <c r="F411" s="17">
        <v>45153</v>
      </c>
      <c r="G411" s="58">
        <v>53</v>
      </c>
      <c r="H411" s="3">
        <v>53</v>
      </c>
      <c r="I411" s="3">
        <v>53</v>
      </c>
      <c r="J411" s="23">
        <v>5.2800002098083496</v>
      </c>
      <c r="K411" s="23">
        <v>5.2800002098083496</v>
      </c>
      <c r="L411" s="24">
        <v>5.2800002098083496</v>
      </c>
    </row>
    <row r="412" spans="2:12" x14ac:dyDescent="0.25">
      <c r="B412" s="17">
        <v>45154</v>
      </c>
      <c r="C412" s="58">
        <v>52</v>
      </c>
      <c r="D412" s="24">
        <v>5.2849998474120996</v>
      </c>
      <c r="F412" s="17">
        <v>45154</v>
      </c>
      <c r="G412" s="58">
        <v>52</v>
      </c>
      <c r="H412" s="3">
        <v>52</v>
      </c>
      <c r="I412" s="3">
        <v>52</v>
      </c>
      <c r="J412" s="23">
        <v>5.2849998474120996</v>
      </c>
      <c r="K412" s="23">
        <v>5.2849998474120996</v>
      </c>
      <c r="L412" s="24">
        <v>5.2849998474120996</v>
      </c>
    </row>
    <row r="413" spans="2:12" x14ac:dyDescent="0.25">
      <c r="B413" s="17">
        <v>45155</v>
      </c>
      <c r="C413" s="58">
        <v>50</v>
      </c>
      <c r="D413" s="24">
        <v>5.2779998779296804</v>
      </c>
      <c r="F413" s="17">
        <v>45155</v>
      </c>
      <c r="G413" s="58">
        <v>50</v>
      </c>
      <c r="H413" s="3">
        <v>50</v>
      </c>
      <c r="I413" s="3">
        <v>50</v>
      </c>
      <c r="J413" s="23">
        <v>5.2779998779296804</v>
      </c>
      <c r="K413" s="23">
        <v>5.2779998779296804</v>
      </c>
      <c r="L413" s="24">
        <v>5.2779998779296804</v>
      </c>
    </row>
    <row r="414" spans="2:12" x14ac:dyDescent="0.25">
      <c r="B414" s="17">
        <v>45156</v>
      </c>
      <c r="C414" s="58">
        <v>37</v>
      </c>
      <c r="D414" s="24">
        <v>5.2779998779296804</v>
      </c>
      <c r="F414" s="17">
        <v>45156</v>
      </c>
      <c r="G414" s="58">
        <v>37</v>
      </c>
      <c r="H414" s="3">
        <v>37</v>
      </c>
      <c r="I414" s="3">
        <v>37</v>
      </c>
      <c r="J414" s="23">
        <v>5.2779998779296804</v>
      </c>
      <c r="K414" s="23">
        <v>5.2779998779296804</v>
      </c>
      <c r="L414" s="24">
        <v>5.2779998779296804</v>
      </c>
    </row>
    <row r="415" spans="2:12" x14ac:dyDescent="0.25">
      <c r="B415" s="17">
        <v>45157</v>
      </c>
      <c r="C415" s="58">
        <v>39</v>
      </c>
      <c r="D415" s="24">
        <v>5.2779998779296804</v>
      </c>
      <c r="F415" s="17">
        <v>45157</v>
      </c>
      <c r="G415" s="58">
        <v>39</v>
      </c>
      <c r="H415" s="3">
        <v>39</v>
      </c>
      <c r="I415" s="3">
        <v>39</v>
      </c>
      <c r="J415" s="23">
        <v>5.2779998779296804</v>
      </c>
      <c r="K415" s="23">
        <v>5.2779998779296804</v>
      </c>
      <c r="L415" s="24">
        <v>5.2779998779296804</v>
      </c>
    </row>
    <row r="416" spans="2:12" x14ac:dyDescent="0.25">
      <c r="B416" s="17">
        <v>45158</v>
      </c>
      <c r="C416" s="58">
        <v>37</v>
      </c>
      <c r="D416" s="24">
        <v>5.2779998779296804</v>
      </c>
      <c r="F416" s="17">
        <v>45158</v>
      </c>
      <c r="G416" s="58">
        <v>37</v>
      </c>
      <c r="H416" s="3">
        <v>37</v>
      </c>
      <c r="I416" s="3">
        <v>37</v>
      </c>
      <c r="J416" s="23">
        <v>5.2779998779296804</v>
      </c>
      <c r="K416" s="23">
        <v>5.2779998779296804</v>
      </c>
      <c r="L416" s="24">
        <v>5.2779998779296804</v>
      </c>
    </row>
    <row r="417" spans="2:12" x14ac:dyDescent="0.25">
      <c r="B417" s="17">
        <v>45159</v>
      </c>
      <c r="C417" s="58">
        <v>38</v>
      </c>
      <c r="D417" s="24">
        <v>5.2800002098083496</v>
      </c>
      <c r="F417" s="17">
        <v>45159</v>
      </c>
      <c r="G417" s="58">
        <v>38</v>
      </c>
      <c r="H417" s="3">
        <v>38</v>
      </c>
      <c r="I417" s="3">
        <v>38</v>
      </c>
      <c r="J417" s="23">
        <v>5.2800002098083496</v>
      </c>
      <c r="K417" s="23">
        <v>5.2800002098083496</v>
      </c>
      <c r="L417" s="24">
        <v>5.2800002098083496</v>
      </c>
    </row>
    <row r="418" spans="2:12" x14ac:dyDescent="0.25">
      <c r="B418" s="17">
        <v>45160</v>
      </c>
      <c r="C418" s="58">
        <v>37</v>
      </c>
      <c r="D418" s="24">
        <v>5.29500007629394</v>
      </c>
      <c r="F418" s="17">
        <v>45160</v>
      </c>
      <c r="G418" s="58">
        <v>37</v>
      </c>
      <c r="H418" s="3">
        <v>37</v>
      </c>
      <c r="I418" s="3">
        <v>37</v>
      </c>
      <c r="J418" s="23">
        <v>5.29500007629394</v>
      </c>
      <c r="K418" s="23">
        <v>5.29500007629394</v>
      </c>
      <c r="L418" s="24">
        <v>5.29500007629394</v>
      </c>
    </row>
    <row r="419" spans="2:12" x14ac:dyDescent="0.25">
      <c r="B419" s="17">
        <v>45161</v>
      </c>
      <c r="C419" s="58">
        <v>37</v>
      </c>
      <c r="D419" s="24">
        <v>5.29500007629394</v>
      </c>
      <c r="F419" s="17">
        <v>45161</v>
      </c>
      <c r="G419" s="58">
        <v>37</v>
      </c>
      <c r="H419" s="3">
        <v>37</v>
      </c>
      <c r="I419" s="3">
        <v>37</v>
      </c>
      <c r="J419" s="23">
        <v>5.29500007629394</v>
      </c>
      <c r="K419" s="23">
        <v>5.29500007629394</v>
      </c>
      <c r="L419" s="24">
        <v>5.29500007629394</v>
      </c>
    </row>
    <row r="420" spans="2:12" x14ac:dyDescent="0.25">
      <c r="B420" s="17">
        <v>45162</v>
      </c>
      <c r="C420" s="58">
        <v>41</v>
      </c>
      <c r="D420" s="24">
        <v>5.3029999732971103</v>
      </c>
      <c r="F420" s="17">
        <v>45162</v>
      </c>
      <c r="G420" s="58">
        <v>41</v>
      </c>
      <c r="H420" s="3">
        <v>41</v>
      </c>
      <c r="I420" s="3">
        <v>41</v>
      </c>
      <c r="J420" s="23">
        <v>5.3029999732971103</v>
      </c>
      <c r="K420" s="23">
        <v>5.3029999732971103</v>
      </c>
      <c r="L420" s="24">
        <v>5.3029999732971103</v>
      </c>
    </row>
    <row r="421" spans="2:12" x14ac:dyDescent="0.25">
      <c r="B421" s="17">
        <v>45163</v>
      </c>
      <c r="C421" s="58">
        <v>39</v>
      </c>
      <c r="D421" s="24">
        <v>5.3150000572204501</v>
      </c>
      <c r="F421" s="17">
        <v>45163</v>
      </c>
      <c r="G421" s="58">
        <v>39</v>
      </c>
      <c r="H421" s="3">
        <v>39</v>
      </c>
      <c r="I421" s="3">
        <v>39</v>
      </c>
      <c r="J421" s="23">
        <v>5.3150000572204501</v>
      </c>
      <c r="K421" s="23">
        <v>5.3150000572204501</v>
      </c>
      <c r="L421" s="24">
        <v>5.3150000572204501</v>
      </c>
    </row>
    <row r="422" spans="2:12" x14ac:dyDescent="0.25">
      <c r="B422" s="17">
        <v>45164</v>
      </c>
      <c r="C422" s="58">
        <v>38</v>
      </c>
      <c r="D422" s="24">
        <v>5.3150000572204501</v>
      </c>
      <c r="F422" s="17">
        <v>45164</v>
      </c>
      <c r="G422" s="58">
        <v>38</v>
      </c>
      <c r="H422" s="3">
        <v>38</v>
      </c>
      <c r="I422" s="3">
        <v>38</v>
      </c>
      <c r="J422" s="23">
        <v>5.3150000572204501</v>
      </c>
      <c r="K422" s="23">
        <v>5.3150000572204501</v>
      </c>
      <c r="L422" s="24">
        <v>5.3150000572204501</v>
      </c>
    </row>
    <row r="423" spans="2:12" x14ac:dyDescent="0.25">
      <c r="B423" s="17">
        <v>45165</v>
      </c>
      <c r="C423" s="58">
        <v>38</v>
      </c>
      <c r="D423" s="24">
        <v>5.3150000572204501</v>
      </c>
      <c r="F423" s="17">
        <v>45165</v>
      </c>
      <c r="G423" s="58">
        <v>38</v>
      </c>
      <c r="H423" s="3">
        <v>38</v>
      </c>
      <c r="I423" s="3">
        <v>38</v>
      </c>
      <c r="J423" s="23">
        <v>5.3150000572204501</v>
      </c>
      <c r="K423" s="23">
        <v>5.3150000572204501</v>
      </c>
      <c r="L423" s="24">
        <v>5.3150000572204501</v>
      </c>
    </row>
    <row r="424" spans="2:12" x14ac:dyDescent="0.25">
      <c r="B424" s="17">
        <v>45166</v>
      </c>
      <c r="C424" s="58">
        <v>39</v>
      </c>
      <c r="D424" s="24">
        <v>5.3229999542236301</v>
      </c>
      <c r="F424" s="17">
        <v>45166</v>
      </c>
      <c r="G424" s="58">
        <v>39</v>
      </c>
      <c r="H424" s="3">
        <v>39</v>
      </c>
      <c r="I424" s="3">
        <v>39</v>
      </c>
      <c r="J424" s="23">
        <v>5.3229999542236301</v>
      </c>
      <c r="K424" s="23">
        <v>5.3229999542236301</v>
      </c>
      <c r="L424" s="24">
        <v>5.3229999542236301</v>
      </c>
    </row>
    <row r="425" spans="2:12" x14ac:dyDescent="0.25">
      <c r="B425" s="17">
        <v>45167</v>
      </c>
      <c r="C425" s="58">
        <v>39</v>
      </c>
      <c r="D425" s="24">
        <v>5.3200001716613698</v>
      </c>
      <c r="F425" s="17">
        <v>45167</v>
      </c>
      <c r="G425" s="58">
        <v>39</v>
      </c>
      <c r="H425" s="3">
        <v>39</v>
      </c>
      <c r="I425" s="3">
        <v>39</v>
      </c>
      <c r="J425" s="23">
        <v>5.3200001716613698</v>
      </c>
      <c r="K425" s="23">
        <v>5.3200001716613698</v>
      </c>
      <c r="L425" s="24">
        <v>5.3200001716613698</v>
      </c>
    </row>
    <row r="426" spans="2:12" x14ac:dyDescent="0.25">
      <c r="B426" s="17">
        <v>45168</v>
      </c>
      <c r="C426" s="58">
        <v>49</v>
      </c>
      <c r="D426" s="24">
        <v>5.3150000572204501</v>
      </c>
      <c r="F426" s="17">
        <v>45168</v>
      </c>
      <c r="G426" s="58">
        <v>49</v>
      </c>
      <c r="H426" s="3">
        <v>49</v>
      </c>
      <c r="I426" s="3">
        <v>49</v>
      </c>
      <c r="J426" s="23">
        <v>5.3150000572204501</v>
      </c>
      <c r="K426" s="23">
        <v>5.3150000572204501</v>
      </c>
      <c r="L426" s="24">
        <v>5.3150000572204501</v>
      </c>
    </row>
    <row r="427" spans="2:12" x14ac:dyDescent="0.25">
      <c r="B427" s="17">
        <v>45169</v>
      </c>
      <c r="C427" s="58">
        <v>52</v>
      </c>
      <c r="D427" s="24">
        <v>5.2979998588562003</v>
      </c>
      <c r="F427" s="17">
        <v>45169</v>
      </c>
      <c r="G427" s="58">
        <v>52</v>
      </c>
      <c r="H427" s="3">
        <v>52</v>
      </c>
      <c r="I427" s="3">
        <v>52</v>
      </c>
      <c r="J427" s="23">
        <v>5.2979998588562003</v>
      </c>
      <c r="K427" s="23">
        <v>5.2979998588562003</v>
      </c>
      <c r="L427" s="24">
        <v>5.2979998588562003</v>
      </c>
    </row>
    <row r="428" spans="2:12" x14ac:dyDescent="0.25">
      <c r="B428" s="17">
        <v>45170</v>
      </c>
      <c r="C428" s="58">
        <v>40</v>
      </c>
      <c r="D428" s="24">
        <v>5.2680001258850098</v>
      </c>
      <c r="F428" s="17">
        <v>45170</v>
      </c>
      <c r="G428" s="58">
        <v>40</v>
      </c>
      <c r="H428" s="3">
        <v>40</v>
      </c>
      <c r="I428" s="3">
        <v>40</v>
      </c>
      <c r="J428" s="23">
        <v>5.2680001258850098</v>
      </c>
      <c r="K428" s="23">
        <v>5.2680001258850098</v>
      </c>
      <c r="L428" s="24">
        <v>5.2680001258850098</v>
      </c>
    </row>
    <row r="429" spans="2:12" x14ac:dyDescent="0.25">
      <c r="B429" s="17">
        <v>45171</v>
      </c>
      <c r="C429" s="58">
        <v>39</v>
      </c>
      <c r="D429" s="24">
        <v>5.2680001258850098</v>
      </c>
      <c r="F429" s="17">
        <v>45171</v>
      </c>
      <c r="G429" s="58">
        <v>39</v>
      </c>
      <c r="H429" s="3">
        <v>39</v>
      </c>
      <c r="I429" s="3">
        <v>39</v>
      </c>
      <c r="J429" s="23">
        <v>5.2680001258850098</v>
      </c>
      <c r="K429" s="23">
        <v>5.2680001258850098</v>
      </c>
      <c r="L429" s="24">
        <v>5.2680001258850098</v>
      </c>
    </row>
    <row r="430" spans="2:12" x14ac:dyDescent="0.25">
      <c r="B430" s="17">
        <v>45172</v>
      </c>
      <c r="C430" s="58">
        <v>40</v>
      </c>
      <c r="D430" s="24">
        <v>5.2680001258850098</v>
      </c>
      <c r="F430" s="17">
        <v>45172</v>
      </c>
      <c r="G430" s="58">
        <v>40</v>
      </c>
      <c r="H430" s="3">
        <v>40</v>
      </c>
      <c r="I430" s="3">
        <v>40</v>
      </c>
      <c r="J430" s="23">
        <v>5.2680001258850098</v>
      </c>
      <c r="K430" s="23">
        <v>5.2680001258850098</v>
      </c>
      <c r="L430" s="24">
        <v>5.2680001258850098</v>
      </c>
    </row>
    <row r="431" spans="2:12" x14ac:dyDescent="0.25">
      <c r="B431" s="17">
        <v>45173</v>
      </c>
      <c r="C431" s="58">
        <v>40</v>
      </c>
      <c r="D431" s="24">
        <v>5.2680001258850098</v>
      </c>
      <c r="F431" s="17">
        <v>45173</v>
      </c>
      <c r="G431" s="58">
        <v>40</v>
      </c>
      <c r="H431" s="3">
        <v>40</v>
      </c>
      <c r="I431" s="3">
        <v>40</v>
      </c>
      <c r="J431" s="23">
        <v>5.2680001258850098</v>
      </c>
      <c r="K431" s="23">
        <v>5.2680001258850098</v>
      </c>
      <c r="L431" s="24">
        <v>5.2680001258850098</v>
      </c>
    </row>
    <row r="432" spans="2:12" x14ac:dyDescent="0.25">
      <c r="B432" s="17">
        <v>45174</v>
      </c>
      <c r="C432" s="58">
        <v>40</v>
      </c>
      <c r="D432" s="24">
        <v>5.2779998779296804</v>
      </c>
      <c r="F432" s="17">
        <v>45174</v>
      </c>
      <c r="G432" s="58">
        <v>40</v>
      </c>
      <c r="H432" s="3">
        <v>40</v>
      </c>
      <c r="I432" s="3">
        <v>40</v>
      </c>
      <c r="J432" s="23">
        <v>5.2779998779296804</v>
      </c>
      <c r="K432" s="23">
        <v>5.2779998779296804</v>
      </c>
      <c r="L432" s="24">
        <v>5.2779998779296804</v>
      </c>
    </row>
    <row r="433" spans="2:12" x14ac:dyDescent="0.25">
      <c r="B433" s="17">
        <v>45175</v>
      </c>
      <c r="C433" s="58">
        <v>42</v>
      </c>
      <c r="D433" s="24">
        <v>5.3000001907348597</v>
      </c>
      <c r="F433" s="17">
        <v>45175</v>
      </c>
      <c r="G433" s="58">
        <v>42</v>
      </c>
      <c r="H433" s="3">
        <v>42</v>
      </c>
      <c r="I433" s="3">
        <v>42</v>
      </c>
      <c r="J433" s="23">
        <v>5.3000001907348597</v>
      </c>
      <c r="K433" s="23">
        <v>5.3000001907348597</v>
      </c>
      <c r="L433" s="24">
        <v>5.3000001907348597</v>
      </c>
    </row>
    <row r="434" spans="2:12" x14ac:dyDescent="0.25">
      <c r="B434" s="17">
        <v>45176</v>
      </c>
      <c r="C434" s="58">
        <v>41</v>
      </c>
      <c r="D434" s="24">
        <v>5.2829999923706001</v>
      </c>
      <c r="F434" s="17">
        <v>45176</v>
      </c>
      <c r="G434" s="58">
        <v>41</v>
      </c>
      <c r="H434" s="3">
        <v>41</v>
      </c>
      <c r="I434" s="3">
        <v>41</v>
      </c>
      <c r="J434" s="23">
        <v>5.2829999923706001</v>
      </c>
      <c r="K434" s="23">
        <v>5.2829999923706001</v>
      </c>
      <c r="L434" s="24">
        <v>5.2829999923706001</v>
      </c>
    </row>
    <row r="435" spans="2:12" x14ac:dyDescent="0.25">
      <c r="B435" s="17">
        <v>45177</v>
      </c>
      <c r="C435" s="58">
        <v>46</v>
      </c>
      <c r="D435" s="24">
        <v>5.2930002212524396</v>
      </c>
      <c r="F435" s="17">
        <v>45177</v>
      </c>
      <c r="G435" s="58">
        <v>46</v>
      </c>
      <c r="H435" s="3">
        <v>46</v>
      </c>
      <c r="I435" s="3">
        <v>46</v>
      </c>
      <c r="J435" s="23">
        <v>5.2930002212524396</v>
      </c>
      <c r="K435" s="23">
        <v>5.2930002212524396</v>
      </c>
      <c r="L435" s="24">
        <v>5.2930002212524396</v>
      </c>
    </row>
    <row r="436" spans="2:12" x14ac:dyDescent="0.25">
      <c r="B436" s="17">
        <v>45178</v>
      </c>
      <c r="C436" s="58">
        <v>41</v>
      </c>
      <c r="D436" s="24">
        <v>5.2930002212524396</v>
      </c>
      <c r="F436" s="17">
        <v>45178</v>
      </c>
      <c r="G436" s="58">
        <v>41</v>
      </c>
      <c r="H436" s="3">
        <v>41</v>
      </c>
      <c r="I436" s="3">
        <v>41</v>
      </c>
      <c r="J436" s="23">
        <v>5.2930002212524396</v>
      </c>
      <c r="K436" s="23">
        <v>5.2930002212524396</v>
      </c>
      <c r="L436" s="24">
        <v>5.2930002212524396</v>
      </c>
    </row>
    <row r="437" spans="2:12" x14ac:dyDescent="0.25">
      <c r="B437" s="17">
        <v>45179</v>
      </c>
      <c r="C437" s="58">
        <v>40</v>
      </c>
      <c r="D437" s="24">
        <v>5.2930002212524396</v>
      </c>
      <c r="F437" s="17">
        <v>45179</v>
      </c>
      <c r="G437" s="58">
        <v>40</v>
      </c>
      <c r="H437" s="3">
        <v>40</v>
      </c>
      <c r="I437" s="3">
        <v>40</v>
      </c>
      <c r="J437" s="23">
        <v>5.2930002212524396</v>
      </c>
      <c r="K437" s="23">
        <v>5.2930002212524396</v>
      </c>
      <c r="L437" s="24">
        <v>5.2930002212524396</v>
      </c>
    </row>
    <row r="438" spans="2:12" x14ac:dyDescent="0.25">
      <c r="B438" s="17">
        <v>45180</v>
      </c>
      <c r="C438" s="58">
        <v>40</v>
      </c>
      <c r="D438" s="24">
        <v>5.2930002212524396</v>
      </c>
      <c r="F438" s="17">
        <v>45180</v>
      </c>
      <c r="G438" s="58">
        <v>40</v>
      </c>
      <c r="H438" s="3">
        <v>40</v>
      </c>
      <c r="I438" s="3">
        <v>40</v>
      </c>
      <c r="J438" s="23">
        <v>5.2930002212524396</v>
      </c>
      <c r="K438" s="23">
        <v>5.2930002212524396</v>
      </c>
      <c r="L438" s="24">
        <v>5.2930002212524396</v>
      </c>
    </row>
    <row r="439" spans="2:12" x14ac:dyDescent="0.25">
      <c r="B439" s="17">
        <v>45181</v>
      </c>
      <c r="C439" s="58">
        <v>30</v>
      </c>
      <c r="D439" s="24">
        <v>5.3049998283386204</v>
      </c>
      <c r="F439" s="17">
        <v>45181</v>
      </c>
      <c r="G439" s="58">
        <v>30</v>
      </c>
      <c r="H439" s="3">
        <v>30</v>
      </c>
      <c r="I439" s="3">
        <v>30</v>
      </c>
      <c r="J439" s="23">
        <v>5.3049998283386204</v>
      </c>
      <c r="K439" s="23">
        <v>5.3049998283386204</v>
      </c>
      <c r="L439" s="24">
        <v>5.3049998283386204</v>
      </c>
    </row>
    <row r="440" spans="2:12" x14ac:dyDescent="0.25">
      <c r="B440" s="17">
        <v>45182</v>
      </c>
      <c r="C440" s="58">
        <v>41</v>
      </c>
      <c r="D440" s="24">
        <v>5.3049998283386204</v>
      </c>
      <c r="F440" s="17">
        <v>45182</v>
      </c>
      <c r="G440" s="58">
        <v>41</v>
      </c>
      <c r="H440" s="3">
        <v>41</v>
      </c>
      <c r="I440" s="3">
        <v>41</v>
      </c>
      <c r="J440" s="23">
        <v>5.3049998283386204</v>
      </c>
      <c r="K440" s="23">
        <v>5.3049998283386204</v>
      </c>
      <c r="L440" s="24">
        <v>5.3049998283386204</v>
      </c>
    </row>
    <row r="441" spans="2:12" x14ac:dyDescent="0.25">
      <c r="B441" s="17">
        <v>45183</v>
      </c>
      <c r="C441" s="58">
        <v>45</v>
      </c>
      <c r="D441" s="24">
        <v>5.29500007629394</v>
      </c>
      <c r="F441" s="17">
        <v>45183</v>
      </c>
      <c r="G441" s="58">
        <v>45</v>
      </c>
      <c r="H441" s="3">
        <v>45</v>
      </c>
      <c r="I441" s="3">
        <v>45</v>
      </c>
      <c r="J441" s="23">
        <v>5.29500007629394</v>
      </c>
      <c r="K441" s="23">
        <v>5.29500007629394</v>
      </c>
      <c r="L441" s="24">
        <v>5.29500007629394</v>
      </c>
    </row>
    <row r="442" spans="2:12" x14ac:dyDescent="0.25">
      <c r="B442" s="17">
        <v>45184</v>
      </c>
      <c r="C442" s="58">
        <v>45</v>
      </c>
      <c r="D442" s="24">
        <v>5.2979998588562003</v>
      </c>
      <c r="F442" s="17">
        <v>45184</v>
      </c>
      <c r="G442" s="58">
        <v>45</v>
      </c>
      <c r="H442" s="3">
        <v>45</v>
      </c>
      <c r="I442" s="3">
        <v>45</v>
      </c>
      <c r="J442" s="23">
        <v>5.2979998588562003</v>
      </c>
      <c r="K442" s="23">
        <v>5.2979998588562003</v>
      </c>
      <c r="L442" s="24">
        <v>5.2979998588562003</v>
      </c>
    </row>
    <row r="443" spans="2:12" x14ac:dyDescent="0.25">
      <c r="B443" s="17">
        <v>45185</v>
      </c>
      <c r="C443" s="58">
        <v>43</v>
      </c>
      <c r="D443" s="24">
        <v>5.2979998588562003</v>
      </c>
      <c r="F443" s="17">
        <v>45185</v>
      </c>
      <c r="G443" s="58">
        <v>43</v>
      </c>
      <c r="H443" s="3">
        <v>43</v>
      </c>
      <c r="I443" s="3">
        <v>43</v>
      </c>
      <c r="J443" s="23">
        <v>5.2979998588562003</v>
      </c>
      <c r="K443" s="23">
        <v>5.2979998588562003</v>
      </c>
      <c r="L443" s="24">
        <v>5.2979998588562003</v>
      </c>
    </row>
    <row r="444" spans="2:12" x14ac:dyDescent="0.25">
      <c r="B444" s="17">
        <v>45186</v>
      </c>
      <c r="C444" s="58">
        <v>46</v>
      </c>
      <c r="D444" s="24">
        <v>5.2979998588562003</v>
      </c>
      <c r="F444" s="17">
        <v>45186</v>
      </c>
      <c r="G444" s="58">
        <v>46</v>
      </c>
      <c r="H444" s="3">
        <v>46</v>
      </c>
      <c r="I444" s="3">
        <v>46</v>
      </c>
      <c r="J444" s="23">
        <v>5.2979998588562003</v>
      </c>
      <c r="K444" s="23">
        <v>5.2979998588562003</v>
      </c>
      <c r="L444" s="24">
        <v>5.2979998588562003</v>
      </c>
    </row>
    <row r="445" spans="2:12" x14ac:dyDescent="0.25">
      <c r="B445" s="17">
        <v>45187</v>
      </c>
      <c r="C445" s="58">
        <v>46</v>
      </c>
      <c r="D445" s="24">
        <v>5.3000001907348597</v>
      </c>
      <c r="F445" s="17">
        <v>45187</v>
      </c>
      <c r="G445" s="58">
        <v>46</v>
      </c>
      <c r="H445" s="3">
        <v>46</v>
      </c>
      <c r="I445" s="3">
        <v>46</v>
      </c>
      <c r="J445" s="23">
        <v>5.3000001907348597</v>
      </c>
      <c r="K445" s="23">
        <v>5.3000001907348597</v>
      </c>
      <c r="L445" s="24">
        <v>5.3000001907348597</v>
      </c>
    </row>
    <row r="446" spans="2:12" x14ac:dyDescent="0.25">
      <c r="B446" s="17">
        <v>45188</v>
      </c>
      <c r="C446" s="58">
        <v>46</v>
      </c>
      <c r="D446" s="24">
        <v>5.3099999427795401</v>
      </c>
      <c r="F446" s="17">
        <v>45188</v>
      </c>
      <c r="G446" s="58">
        <v>46</v>
      </c>
      <c r="H446" s="3">
        <v>46</v>
      </c>
      <c r="I446" s="3">
        <v>46</v>
      </c>
      <c r="J446" s="23">
        <v>5.3099999427795401</v>
      </c>
      <c r="K446" s="23">
        <v>5.3099999427795401</v>
      </c>
      <c r="L446" s="24">
        <v>5.3099999427795401</v>
      </c>
    </row>
    <row r="447" spans="2:12" x14ac:dyDescent="0.25">
      <c r="B447" s="17">
        <v>45189</v>
      </c>
      <c r="C447" s="58">
        <v>47</v>
      </c>
      <c r="D447" s="24">
        <v>5.3150000572204501</v>
      </c>
      <c r="F447" s="17">
        <v>45189</v>
      </c>
      <c r="G447" s="58">
        <v>47</v>
      </c>
      <c r="H447" s="3">
        <v>47</v>
      </c>
      <c r="I447" s="3">
        <v>47</v>
      </c>
      <c r="J447" s="23">
        <v>5.3150000572204501</v>
      </c>
      <c r="K447" s="23">
        <v>5.3150000572204501</v>
      </c>
      <c r="L447" s="24">
        <v>5.3150000572204501</v>
      </c>
    </row>
    <row r="448" spans="2:12" x14ac:dyDescent="0.25">
      <c r="B448" s="17">
        <v>45190</v>
      </c>
      <c r="C448" s="58">
        <v>47</v>
      </c>
      <c r="D448" s="24">
        <v>5.3049998283386204</v>
      </c>
      <c r="F448" s="17">
        <v>45190</v>
      </c>
      <c r="G448" s="58">
        <v>47</v>
      </c>
      <c r="H448" s="3">
        <v>47</v>
      </c>
      <c r="I448" s="3">
        <v>47</v>
      </c>
      <c r="J448" s="23">
        <v>5.3049998283386204</v>
      </c>
      <c r="K448" s="23">
        <v>5.3049998283386204</v>
      </c>
      <c r="L448" s="24">
        <v>5.3049998283386204</v>
      </c>
    </row>
    <row r="449" spans="2:12" x14ac:dyDescent="0.25">
      <c r="B449" s="17">
        <v>45191</v>
      </c>
      <c r="C449" s="58">
        <v>43</v>
      </c>
      <c r="D449" s="24">
        <v>5.3049998283386204</v>
      </c>
      <c r="F449" s="17">
        <v>45191</v>
      </c>
      <c r="G449" s="58">
        <v>43</v>
      </c>
      <c r="H449" s="3">
        <v>43</v>
      </c>
      <c r="I449" s="3">
        <v>43</v>
      </c>
      <c r="J449" s="23">
        <v>5.3049998283386204</v>
      </c>
      <c r="K449" s="23">
        <v>5.3049998283386204</v>
      </c>
      <c r="L449" s="24">
        <v>5.3049998283386204</v>
      </c>
    </row>
    <row r="450" spans="2:12" x14ac:dyDescent="0.25">
      <c r="B450" s="17">
        <v>45192</v>
      </c>
      <c r="C450" s="58">
        <v>47</v>
      </c>
      <c r="D450" s="24">
        <v>5.3049998283386204</v>
      </c>
      <c r="F450" s="17">
        <v>45192</v>
      </c>
      <c r="G450" s="58">
        <v>47</v>
      </c>
      <c r="H450" s="3">
        <v>47</v>
      </c>
      <c r="I450" s="3">
        <v>47</v>
      </c>
      <c r="J450" s="23">
        <v>5.3049998283386204</v>
      </c>
      <c r="K450" s="23">
        <v>5.3049998283386204</v>
      </c>
      <c r="L450" s="24">
        <v>5.3049998283386204</v>
      </c>
    </row>
    <row r="451" spans="2:12" x14ac:dyDescent="0.25">
      <c r="B451" s="17">
        <v>45193</v>
      </c>
      <c r="C451" s="58">
        <v>44</v>
      </c>
      <c r="D451" s="24">
        <v>5.3049998283386204</v>
      </c>
      <c r="F451" s="17">
        <v>45193</v>
      </c>
      <c r="G451" s="58">
        <v>44</v>
      </c>
      <c r="H451" s="3">
        <v>44</v>
      </c>
      <c r="I451" s="3">
        <v>44</v>
      </c>
      <c r="J451" s="23">
        <v>5.3049998283386204</v>
      </c>
      <c r="K451" s="23">
        <v>5.3049998283386204</v>
      </c>
      <c r="L451" s="24">
        <v>5.3049998283386204</v>
      </c>
    </row>
    <row r="452" spans="2:12" x14ac:dyDescent="0.25">
      <c r="B452" s="17">
        <v>45194</v>
      </c>
      <c r="C452" s="58">
        <v>47</v>
      </c>
      <c r="D452" s="24">
        <v>5.3130002021789497</v>
      </c>
      <c r="F452" s="17">
        <v>45194</v>
      </c>
      <c r="G452" s="58">
        <v>47</v>
      </c>
      <c r="H452" s="3">
        <v>47</v>
      </c>
      <c r="I452" s="3">
        <v>47</v>
      </c>
      <c r="J452" s="23">
        <v>5.3130002021789497</v>
      </c>
      <c r="K452" s="23">
        <v>5.3130002021789497</v>
      </c>
      <c r="L452" s="24">
        <v>5.3130002021789497</v>
      </c>
    </row>
    <row r="453" spans="2:12" ht="15.75" thickBot="1" x14ac:dyDescent="0.3">
      <c r="B453" s="18">
        <v>45195</v>
      </c>
      <c r="C453" s="58">
        <v>46</v>
      </c>
      <c r="D453" s="24">
        <v>5.3249998092651296</v>
      </c>
      <c r="F453" s="18">
        <v>45195</v>
      </c>
      <c r="G453" s="58">
        <v>46</v>
      </c>
      <c r="H453" s="3">
        <v>46</v>
      </c>
      <c r="I453" s="3">
        <v>46</v>
      </c>
      <c r="J453" s="23">
        <v>5.3249998092651296</v>
      </c>
      <c r="K453" s="23">
        <v>5.3249998092651296</v>
      </c>
      <c r="L453" s="24">
        <v>5.3249998092651296</v>
      </c>
    </row>
    <row r="454" spans="2:12" x14ac:dyDescent="0.25">
      <c r="B454" s="16">
        <v>45196</v>
      </c>
      <c r="C454" s="58">
        <v>44</v>
      </c>
      <c r="D454" s="24">
        <v>5.3299999237060502</v>
      </c>
      <c r="F454" s="16">
        <v>45196</v>
      </c>
      <c r="G454" s="58">
        <v>44</v>
      </c>
      <c r="H454" s="3">
        <v>44</v>
      </c>
      <c r="I454" s="3">
        <v>44</v>
      </c>
      <c r="J454" s="23">
        <v>5.3299999237060502</v>
      </c>
      <c r="K454" s="23">
        <v>5.3299999237060502</v>
      </c>
      <c r="L454" s="24">
        <v>5.3299999237060502</v>
      </c>
    </row>
    <row r="455" spans="2:12" x14ac:dyDescent="0.25">
      <c r="B455" s="17">
        <v>45197</v>
      </c>
      <c r="C455" s="58">
        <v>46</v>
      </c>
      <c r="D455" s="24">
        <v>5.30800008773803</v>
      </c>
      <c r="F455" s="17">
        <v>45197</v>
      </c>
      <c r="G455" s="58">
        <v>46</v>
      </c>
      <c r="H455" s="3">
        <v>46</v>
      </c>
      <c r="I455" s="3">
        <v>46</v>
      </c>
      <c r="J455" s="23">
        <v>5.30800008773803</v>
      </c>
      <c r="K455" s="23">
        <v>5.30800008773803</v>
      </c>
      <c r="L455" s="24">
        <v>5.30800008773803</v>
      </c>
    </row>
    <row r="456" spans="2:12" x14ac:dyDescent="0.25">
      <c r="B456" s="17">
        <v>45198</v>
      </c>
      <c r="C456" s="58">
        <v>48</v>
      </c>
      <c r="D456" s="24">
        <v>5.3000001907348597</v>
      </c>
      <c r="F456" s="17">
        <v>45198</v>
      </c>
      <c r="G456" s="58">
        <v>48</v>
      </c>
      <c r="H456" s="3">
        <v>48</v>
      </c>
      <c r="I456" s="3">
        <v>48</v>
      </c>
      <c r="J456" s="23">
        <v>5.3000001907348597</v>
      </c>
      <c r="K456" s="23">
        <v>5.3000001907348597</v>
      </c>
      <c r="L456" s="24">
        <v>5.3000001907348597</v>
      </c>
    </row>
    <row r="457" spans="2:12" x14ac:dyDescent="0.25">
      <c r="B457" s="17">
        <v>45199</v>
      </c>
      <c r="C457" s="58">
        <v>47</v>
      </c>
      <c r="D457" s="24">
        <v>5.3000001907348597</v>
      </c>
      <c r="F457" s="17">
        <v>45199</v>
      </c>
      <c r="G457" s="58">
        <v>47</v>
      </c>
      <c r="H457" s="3">
        <v>47</v>
      </c>
      <c r="I457" s="3">
        <v>47</v>
      </c>
      <c r="J457" s="23">
        <v>5.3000001907348597</v>
      </c>
      <c r="K457" s="23">
        <v>5.3000001907348597</v>
      </c>
      <c r="L457" s="24">
        <v>5.3000001907348597</v>
      </c>
    </row>
    <row r="458" spans="2:12" x14ac:dyDescent="0.25">
      <c r="B458" s="17">
        <v>45200</v>
      </c>
      <c r="C458" s="58">
        <v>48</v>
      </c>
      <c r="D458" s="24">
        <v>5.3000001907348597</v>
      </c>
      <c r="F458" s="17">
        <v>45200</v>
      </c>
      <c r="G458" s="58">
        <v>48</v>
      </c>
      <c r="H458" s="3">
        <v>48</v>
      </c>
      <c r="I458" s="3">
        <v>48</v>
      </c>
      <c r="J458" s="23">
        <v>5.3000001907348597</v>
      </c>
      <c r="K458" s="23">
        <v>5.3000001907348597</v>
      </c>
      <c r="L458" s="24">
        <v>5.3000001907348597</v>
      </c>
    </row>
    <row r="459" spans="2:12" x14ac:dyDescent="0.25">
      <c r="B459" s="17">
        <v>45201</v>
      </c>
      <c r="C459" s="58">
        <v>50</v>
      </c>
      <c r="D459" s="24">
        <v>5.3150000572204501</v>
      </c>
      <c r="F459" s="17">
        <v>45201</v>
      </c>
      <c r="G459" s="58">
        <v>50</v>
      </c>
      <c r="H459" s="3">
        <v>50</v>
      </c>
      <c r="I459" s="3">
        <v>50</v>
      </c>
      <c r="J459" s="23">
        <v>5.3150000572204501</v>
      </c>
      <c r="K459" s="23">
        <v>5.3150000572204501</v>
      </c>
      <c r="L459" s="24">
        <v>5.3150000572204501</v>
      </c>
    </row>
    <row r="460" spans="2:12" x14ac:dyDescent="0.25">
      <c r="B460" s="17">
        <v>45202</v>
      </c>
      <c r="C460" s="58">
        <v>50</v>
      </c>
      <c r="D460" s="24">
        <v>5.3400001525878897</v>
      </c>
      <c r="F460" s="17">
        <v>45202</v>
      </c>
      <c r="G460" s="58">
        <v>50</v>
      </c>
      <c r="H460" s="3">
        <v>50</v>
      </c>
      <c r="I460" s="3">
        <v>50</v>
      </c>
      <c r="J460" s="23">
        <v>5.3400001525878897</v>
      </c>
      <c r="K460" s="23">
        <v>5.3400001525878897</v>
      </c>
      <c r="L460" s="24">
        <v>5.3400001525878897</v>
      </c>
    </row>
    <row r="461" spans="2:12" x14ac:dyDescent="0.25">
      <c r="B461" s="17">
        <v>45203</v>
      </c>
      <c r="C461" s="58">
        <v>49</v>
      </c>
      <c r="D461" s="24">
        <v>5.33500003814697</v>
      </c>
      <c r="F461" s="17">
        <v>45203</v>
      </c>
      <c r="G461" s="58">
        <v>49</v>
      </c>
      <c r="H461" s="3">
        <v>49</v>
      </c>
      <c r="I461" s="3">
        <v>49</v>
      </c>
      <c r="J461" s="23">
        <v>5.33500003814697</v>
      </c>
      <c r="K461" s="23">
        <v>5.33500003814697</v>
      </c>
      <c r="L461" s="24">
        <v>5.33500003814697</v>
      </c>
    </row>
    <row r="462" spans="2:12" x14ac:dyDescent="0.25">
      <c r="B462" s="17">
        <v>45204</v>
      </c>
      <c r="C462" s="58">
        <v>48</v>
      </c>
      <c r="D462" s="24">
        <v>5.3249998092651296</v>
      </c>
      <c r="F462" s="17">
        <v>45204</v>
      </c>
      <c r="G462" s="58">
        <v>48</v>
      </c>
      <c r="H462" s="3">
        <v>48</v>
      </c>
      <c r="I462" s="3">
        <v>48</v>
      </c>
      <c r="J462" s="23">
        <v>5.3249998092651296</v>
      </c>
      <c r="K462" s="23">
        <v>5.3249998092651296</v>
      </c>
      <c r="L462" s="24">
        <v>5.3249998092651296</v>
      </c>
    </row>
    <row r="463" spans="2:12" x14ac:dyDescent="0.25">
      <c r="B463" s="17">
        <v>45205</v>
      </c>
      <c r="C463" s="58">
        <v>50</v>
      </c>
      <c r="D463" s="24">
        <v>5.34800004959106</v>
      </c>
      <c r="F463" s="17">
        <v>45205</v>
      </c>
      <c r="G463" s="58">
        <v>50</v>
      </c>
      <c r="H463" s="3">
        <v>50</v>
      </c>
      <c r="I463" s="3">
        <v>50</v>
      </c>
      <c r="J463" s="23">
        <v>5.34800004959106</v>
      </c>
      <c r="K463" s="23">
        <v>5.34800004959106</v>
      </c>
      <c r="L463" s="24">
        <v>5.34800004959106</v>
      </c>
    </row>
    <row r="464" spans="2:12" x14ac:dyDescent="0.25">
      <c r="B464" s="17">
        <v>45206</v>
      </c>
      <c r="C464" s="58">
        <v>49</v>
      </c>
      <c r="D464" s="24">
        <v>5.34800004959106</v>
      </c>
      <c r="F464" s="17">
        <v>45206</v>
      </c>
      <c r="G464" s="58">
        <v>49</v>
      </c>
      <c r="H464" s="3">
        <v>49</v>
      </c>
      <c r="I464" s="3">
        <v>49</v>
      </c>
      <c r="J464" s="23">
        <v>5.34800004959106</v>
      </c>
      <c r="K464" s="23">
        <v>5.34800004959106</v>
      </c>
      <c r="L464" s="24">
        <v>5.34800004959106</v>
      </c>
    </row>
    <row r="465" spans="2:12" x14ac:dyDescent="0.25">
      <c r="B465" s="17">
        <v>45207</v>
      </c>
      <c r="C465" s="58">
        <v>50</v>
      </c>
      <c r="D465" s="24">
        <v>5.34800004959106</v>
      </c>
      <c r="F465" s="17">
        <v>45207</v>
      </c>
      <c r="G465" s="58">
        <v>50</v>
      </c>
      <c r="H465" s="3">
        <v>50</v>
      </c>
      <c r="I465" s="3">
        <v>50</v>
      </c>
      <c r="J465" s="23">
        <v>5.34800004959106</v>
      </c>
      <c r="K465" s="23">
        <v>5.34800004959106</v>
      </c>
      <c r="L465" s="24">
        <v>5.34800004959106</v>
      </c>
    </row>
    <row r="466" spans="2:12" x14ac:dyDescent="0.25">
      <c r="B466" s="17">
        <v>45208</v>
      </c>
      <c r="C466" s="58">
        <v>50</v>
      </c>
      <c r="D466" s="24">
        <v>5.34800004959106</v>
      </c>
      <c r="F466" s="17">
        <v>45208</v>
      </c>
      <c r="G466" s="58">
        <v>50</v>
      </c>
      <c r="H466" s="3">
        <v>50</v>
      </c>
      <c r="I466" s="3">
        <v>50</v>
      </c>
      <c r="J466" s="23">
        <v>5.34800004959106</v>
      </c>
      <c r="K466" s="23">
        <v>5.34800004959106</v>
      </c>
      <c r="L466" s="24">
        <v>5.34800004959106</v>
      </c>
    </row>
    <row r="467" spans="2:12" x14ac:dyDescent="0.25">
      <c r="B467" s="17">
        <v>45209</v>
      </c>
      <c r="C467" s="58">
        <v>50</v>
      </c>
      <c r="D467" s="24">
        <v>5.3229999542236301</v>
      </c>
      <c r="F467" s="17">
        <v>45209</v>
      </c>
      <c r="G467" s="58">
        <v>50</v>
      </c>
      <c r="H467" s="3">
        <v>50</v>
      </c>
      <c r="I467" s="3">
        <v>50</v>
      </c>
      <c r="J467" s="23">
        <v>5.3229999542236301</v>
      </c>
      <c r="K467" s="23">
        <v>5.3229999542236301</v>
      </c>
      <c r="L467" s="24">
        <v>5.3229999542236301</v>
      </c>
    </row>
    <row r="468" spans="2:12" x14ac:dyDescent="0.25">
      <c r="B468" s="17">
        <v>45210</v>
      </c>
      <c r="C468" s="58">
        <v>47</v>
      </c>
      <c r="D468" s="24">
        <v>5.33500003814697</v>
      </c>
      <c r="F468" s="17">
        <v>45210</v>
      </c>
      <c r="G468" s="58">
        <v>47</v>
      </c>
      <c r="H468" s="3">
        <v>47</v>
      </c>
      <c r="I468" s="3">
        <v>47</v>
      </c>
      <c r="J468" s="23">
        <v>5.33500003814697</v>
      </c>
      <c r="K468" s="23">
        <v>5.33500003814697</v>
      </c>
      <c r="L468" s="24">
        <v>5.33500003814697</v>
      </c>
    </row>
    <row r="469" spans="2:12" x14ac:dyDescent="0.25">
      <c r="B469" s="17">
        <v>45211</v>
      </c>
      <c r="C469" s="58">
        <v>45</v>
      </c>
      <c r="D469" s="24">
        <v>5.33500003814697</v>
      </c>
      <c r="F469" s="17">
        <v>45211</v>
      </c>
      <c r="G469" s="58">
        <v>45</v>
      </c>
      <c r="H469" s="3">
        <v>45</v>
      </c>
      <c r="I469" s="3">
        <v>45</v>
      </c>
      <c r="J469" s="23">
        <v>5.33500003814697</v>
      </c>
      <c r="K469" s="23">
        <v>5.33500003814697</v>
      </c>
      <c r="L469" s="24">
        <v>5.33500003814697</v>
      </c>
    </row>
    <row r="470" spans="2:12" x14ac:dyDescent="0.25">
      <c r="B470" s="17">
        <v>45212</v>
      </c>
      <c r="C470" s="58">
        <v>44</v>
      </c>
      <c r="D470" s="24">
        <v>5.3280000686645499</v>
      </c>
      <c r="F470" s="17">
        <v>45212</v>
      </c>
      <c r="G470" s="58">
        <v>44</v>
      </c>
      <c r="H470" s="3">
        <v>44</v>
      </c>
      <c r="I470" s="3">
        <v>44</v>
      </c>
      <c r="J470" s="23">
        <v>5.3280000686645499</v>
      </c>
      <c r="K470" s="23">
        <v>5.3280000686645499</v>
      </c>
      <c r="L470" s="24">
        <v>5.3280000686645499</v>
      </c>
    </row>
    <row r="471" spans="2:12" x14ac:dyDescent="0.25">
      <c r="B471" s="17">
        <v>45213</v>
      </c>
      <c r="C471" s="58">
        <v>47</v>
      </c>
      <c r="D471" s="24">
        <v>5.3280000686645499</v>
      </c>
      <c r="F471" s="17">
        <v>45213</v>
      </c>
      <c r="G471" s="58">
        <v>47</v>
      </c>
      <c r="H471" s="3">
        <v>47</v>
      </c>
      <c r="I471" s="3">
        <v>47</v>
      </c>
      <c r="J471" s="23">
        <v>5.3280000686645499</v>
      </c>
      <c r="K471" s="23">
        <v>5.3280000686645499</v>
      </c>
      <c r="L471" s="24">
        <v>5.3280000686645499</v>
      </c>
    </row>
    <row r="472" spans="2:12" x14ac:dyDescent="0.25">
      <c r="B472" s="17">
        <v>45214</v>
      </c>
      <c r="C472" s="58">
        <v>45</v>
      </c>
      <c r="D472" s="24">
        <v>5.3280000686645499</v>
      </c>
      <c r="F472" s="17">
        <v>45214</v>
      </c>
      <c r="G472" s="58">
        <v>45</v>
      </c>
      <c r="H472" s="3">
        <v>45</v>
      </c>
      <c r="I472" s="3">
        <v>45</v>
      </c>
      <c r="J472" s="23">
        <v>5.3280000686645499</v>
      </c>
      <c r="K472" s="23">
        <v>5.3280000686645499</v>
      </c>
      <c r="L472" s="24">
        <v>5.3280000686645499</v>
      </c>
    </row>
    <row r="473" spans="2:12" x14ac:dyDescent="0.25">
      <c r="B473" s="17">
        <v>45215</v>
      </c>
      <c r="C473" s="58">
        <v>47</v>
      </c>
      <c r="D473" s="24">
        <v>5.3280000686645499</v>
      </c>
      <c r="F473" s="17">
        <v>45215</v>
      </c>
      <c r="G473" s="58">
        <v>47</v>
      </c>
      <c r="H473" s="3">
        <v>47</v>
      </c>
      <c r="I473" s="3">
        <v>47</v>
      </c>
      <c r="J473" s="23">
        <v>5.3280000686645499</v>
      </c>
      <c r="K473" s="23">
        <v>5.3280000686645499</v>
      </c>
      <c r="L473" s="24">
        <v>5.3280000686645499</v>
      </c>
    </row>
    <row r="474" spans="2:12" x14ac:dyDescent="0.25">
      <c r="B474" s="17">
        <v>45216</v>
      </c>
      <c r="C474" s="58">
        <v>52</v>
      </c>
      <c r="D474" s="24">
        <v>5.3400001525878897</v>
      </c>
      <c r="F474" s="17">
        <v>45216</v>
      </c>
      <c r="G474" s="58">
        <v>52</v>
      </c>
      <c r="H474" s="3">
        <v>52</v>
      </c>
      <c r="I474" s="3">
        <v>52</v>
      </c>
      <c r="J474" s="23">
        <v>5.3400001525878897</v>
      </c>
      <c r="K474" s="23">
        <v>5.3400001525878897</v>
      </c>
      <c r="L474" s="24">
        <v>5.3400001525878897</v>
      </c>
    </row>
    <row r="475" spans="2:12" x14ac:dyDescent="0.25">
      <c r="B475" s="17">
        <v>45217</v>
      </c>
      <c r="C475" s="58">
        <v>50</v>
      </c>
      <c r="D475" s="24">
        <v>5.3299999237060502</v>
      </c>
      <c r="F475" s="17">
        <v>45217</v>
      </c>
      <c r="G475" s="58">
        <v>50</v>
      </c>
      <c r="H475" s="3">
        <v>50</v>
      </c>
      <c r="I475" s="3">
        <v>50</v>
      </c>
      <c r="J475" s="23">
        <v>5.3299999237060502</v>
      </c>
      <c r="K475" s="23">
        <v>5.3299999237060502</v>
      </c>
      <c r="L475" s="24">
        <v>5.3299999237060502</v>
      </c>
    </row>
    <row r="476" spans="2:12" x14ac:dyDescent="0.25">
      <c r="B476" s="17">
        <v>45218</v>
      </c>
      <c r="C476" s="58">
        <v>52</v>
      </c>
      <c r="D476" s="24">
        <v>5.3099999427795401</v>
      </c>
      <c r="F476" s="17">
        <v>45218</v>
      </c>
      <c r="G476" s="58">
        <v>52</v>
      </c>
      <c r="H476" s="3">
        <v>52</v>
      </c>
      <c r="I476" s="3">
        <v>52</v>
      </c>
      <c r="J476" s="23">
        <v>5.3099999427795401</v>
      </c>
      <c r="K476" s="23">
        <v>5.3099999427795401</v>
      </c>
      <c r="L476" s="24">
        <v>5.3099999427795401</v>
      </c>
    </row>
    <row r="477" spans="2:12" x14ac:dyDescent="0.25">
      <c r="B477" s="17">
        <v>45219</v>
      </c>
      <c r="C477" s="58">
        <v>53</v>
      </c>
      <c r="D477" s="24">
        <v>5.3000001907348597</v>
      </c>
      <c r="F477" s="17">
        <v>45219</v>
      </c>
      <c r="G477" s="58">
        <v>53</v>
      </c>
      <c r="H477" s="3">
        <v>53</v>
      </c>
      <c r="I477" s="3">
        <v>53</v>
      </c>
      <c r="J477" s="23">
        <v>5.3000001907348597</v>
      </c>
      <c r="K477" s="23">
        <v>5.3000001907348597</v>
      </c>
      <c r="L477" s="24">
        <v>5.3000001907348597</v>
      </c>
    </row>
    <row r="478" spans="2:12" x14ac:dyDescent="0.25">
      <c r="B478" s="17">
        <v>45220</v>
      </c>
      <c r="C478" s="58">
        <v>63</v>
      </c>
      <c r="D478" s="24">
        <v>5.3000001907348597</v>
      </c>
      <c r="F478" s="17">
        <v>45220</v>
      </c>
      <c r="G478" s="58">
        <v>63</v>
      </c>
      <c r="H478" s="3">
        <v>63</v>
      </c>
      <c r="I478" s="3">
        <v>63</v>
      </c>
      <c r="J478" s="23">
        <v>5.3000001907348597</v>
      </c>
      <c r="K478" s="23">
        <v>5.3000001907348597</v>
      </c>
      <c r="L478" s="24">
        <v>5.3000001907348597</v>
      </c>
    </row>
    <row r="479" spans="2:12" x14ac:dyDescent="0.25">
      <c r="B479" s="17">
        <v>45221</v>
      </c>
      <c r="C479" s="58">
        <v>53</v>
      </c>
      <c r="D479" s="24">
        <v>5.3000001907348597</v>
      </c>
      <c r="F479" s="17">
        <v>45221</v>
      </c>
      <c r="G479" s="58">
        <v>53</v>
      </c>
      <c r="H479" s="3">
        <v>53</v>
      </c>
      <c r="I479" s="3">
        <v>53</v>
      </c>
      <c r="J479" s="23">
        <v>5.3000001907348597</v>
      </c>
      <c r="K479" s="23">
        <v>5.3000001907348597</v>
      </c>
      <c r="L479" s="24">
        <v>5.3000001907348597</v>
      </c>
    </row>
    <row r="480" spans="2:12" x14ac:dyDescent="0.25">
      <c r="B480" s="17">
        <v>45222</v>
      </c>
      <c r="C480" s="58">
        <v>53</v>
      </c>
      <c r="D480" s="24">
        <v>5.2930002212524396</v>
      </c>
      <c r="F480" s="17">
        <v>45222</v>
      </c>
      <c r="G480" s="58">
        <v>53</v>
      </c>
      <c r="H480" s="3">
        <v>53</v>
      </c>
      <c r="I480" s="3">
        <v>53</v>
      </c>
      <c r="J480" s="23">
        <v>5.2930002212524396</v>
      </c>
      <c r="K480" s="23">
        <v>5.2930002212524396</v>
      </c>
      <c r="L480" s="24">
        <v>5.2930002212524396</v>
      </c>
    </row>
    <row r="481" spans="2:12" x14ac:dyDescent="0.25">
      <c r="B481" s="17">
        <v>45223</v>
      </c>
      <c r="C481" s="58">
        <v>66</v>
      </c>
      <c r="D481" s="24">
        <v>5.30800008773803</v>
      </c>
      <c r="F481" s="17">
        <v>45223</v>
      </c>
      <c r="G481" s="58">
        <v>66</v>
      </c>
      <c r="H481" s="3">
        <v>66</v>
      </c>
      <c r="I481" s="3">
        <v>66</v>
      </c>
      <c r="J481" s="23">
        <v>5.30800008773803</v>
      </c>
      <c r="K481" s="23">
        <v>5.30800008773803</v>
      </c>
      <c r="L481" s="24">
        <v>5.30800008773803</v>
      </c>
    </row>
    <row r="482" spans="2:12" x14ac:dyDescent="0.25">
      <c r="B482" s="17">
        <v>45224</v>
      </c>
      <c r="C482" s="58">
        <v>72</v>
      </c>
      <c r="D482" s="24">
        <v>5.3150000572204501</v>
      </c>
      <c r="F482" s="17">
        <v>45224</v>
      </c>
      <c r="G482" s="58">
        <v>72</v>
      </c>
      <c r="H482" s="3">
        <v>72</v>
      </c>
      <c r="I482" s="3">
        <v>72</v>
      </c>
      <c r="J482" s="23">
        <v>5.3150000572204501</v>
      </c>
      <c r="K482" s="23">
        <v>5.3150000572204501</v>
      </c>
      <c r="L482" s="24">
        <v>5.3150000572204501</v>
      </c>
    </row>
    <row r="483" spans="2:12" x14ac:dyDescent="0.25">
      <c r="B483" s="17">
        <v>45225</v>
      </c>
      <c r="C483" s="58">
        <v>71</v>
      </c>
      <c r="D483" s="24">
        <v>5.3000001907348597</v>
      </c>
      <c r="F483" s="17">
        <v>45225</v>
      </c>
      <c r="G483" s="58">
        <v>71</v>
      </c>
      <c r="H483" s="3">
        <v>71</v>
      </c>
      <c r="I483" s="3">
        <v>71</v>
      </c>
      <c r="J483" s="23">
        <v>5.3000001907348597</v>
      </c>
      <c r="K483" s="23">
        <v>5.3000001907348597</v>
      </c>
      <c r="L483" s="24">
        <v>5.3000001907348597</v>
      </c>
    </row>
    <row r="484" spans="2:12" x14ac:dyDescent="0.25">
      <c r="B484" s="17">
        <v>45226</v>
      </c>
      <c r="C484" s="58">
        <v>70</v>
      </c>
      <c r="D484" s="24">
        <v>5.3049998283386204</v>
      </c>
      <c r="F484" s="17">
        <v>45226</v>
      </c>
      <c r="G484" s="58">
        <v>70</v>
      </c>
      <c r="H484" s="3">
        <v>70</v>
      </c>
      <c r="I484" s="3">
        <v>70</v>
      </c>
      <c r="J484" s="23">
        <v>5.3049998283386204</v>
      </c>
      <c r="K484" s="23">
        <v>5.3049998283386204</v>
      </c>
      <c r="L484" s="24">
        <v>5.3049998283386204</v>
      </c>
    </row>
    <row r="485" spans="2:12" x14ac:dyDescent="0.25">
      <c r="B485" s="17">
        <v>45227</v>
      </c>
      <c r="C485" s="58">
        <v>65</v>
      </c>
      <c r="D485" s="24">
        <v>5.3049998283386204</v>
      </c>
      <c r="F485" s="17">
        <v>45227</v>
      </c>
      <c r="G485" s="58">
        <v>65</v>
      </c>
      <c r="H485" s="3">
        <v>65</v>
      </c>
      <c r="I485" s="3">
        <v>65</v>
      </c>
      <c r="J485" s="23">
        <v>5.3049998283386204</v>
      </c>
      <c r="K485" s="23">
        <v>5.3049998283386204</v>
      </c>
      <c r="L485" s="24">
        <v>5.3049998283386204</v>
      </c>
    </row>
    <row r="486" spans="2:12" x14ac:dyDescent="0.25">
      <c r="B486" s="17">
        <v>45228</v>
      </c>
      <c r="C486" s="58">
        <v>72</v>
      </c>
      <c r="D486" s="24">
        <v>5.3049998283386204</v>
      </c>
      <c r="F486" s="17">
        <v>45228</v>
      </c>
      <c r="G486" s="58">
        <v>72</v>
      </c>
      <c r="H486" s="3">
        <v>72</v>
      </c>
      <c r="I486" s="3">
        <v>72</v>
      </c>
      <c r="J486" s="23">
        <v>5.3049998283386204</v>
      </c>
      <c r="K486" s="23">
        <v>5.3049998283386204</v>
      </c>
      <c r="L486" s="24">
        <v>5.3049998283386204</v>
      </c>
    </row>
    <row r="487" spans="2:12" x14ac:dyDescent="0.25">
      <c r="B487" s="17">
        <v>45229</v>
      </c>
      <c r="C487" s="58">
        <v>68</v>
      </c>
      <c r="D487" s="24">
        <v>5.3130002021789497</v>
      </c>
      <c r="F487" s="17">
        <v>45229</v>
      </c>
      <c r="G487" s="58">
        <v>68</v>
      </c>
      <c r="H487" s="3">
        <v>68</v>
      </c>
      <c r="I487" s="3">
        <v>68</v>
      </c>
      <c r="J487" s="23">
        <v>5.3130002021789497</v>
      </c>
      <c r="K487" s="23">
        <v>5.3130002021789497</v>
      </c>
      <c r="L487" s="24">
        <v>5.3130002021789497</v>
      </c>
    </row>
    <row r="488" spans="2:12" x14ac:dyDescent="0.25">
      <c r="B488" s="17">
        <v>45230</v>
      </c>
      <c r="C488" s="58">
        <v>66</v>
      </c>
      <c r="D488" s="24">
        <v>5.3200001716613698</v>
      </c>
      <c r="F488" s="17">
        <v>45230</v>
      </c>
      <c r="G488" s="58">
        <v>66</v>
      </c>
      <c r="H488" s="3">
        <v>66</v>
      </c>
      <c r="I488" s="3">
        <v>66</v>
      </c>
      <c r="J488" s="23">
        <v>5.3200001716613698</v>
      </c>
      <c r="K488" s="23">
        <v>5.3200001716613698</v>
      </c>
      <c r="L488" s="24">
        <v>5.3200001716613698</v>
      </c>
    </row>
    <row r="489" spans="2:12" x14ac:dyDescent="0.25">
      <c r="B489" s="17">
        <v>45231</v>
      </c>
      <c r="C489" s="58">
        <v>66</v>
      </c>
      <c r="D489" s="24">
        <v>5.3000001907348597</v>
      </c>
      <c r="F489" s="17">
        <v>45231</v>
      </c>
      <c r="G489" s="58">
        <v>66</v>
      </c>
      <c r="H489" s="3">
        <v>66</v>
      </c>
      <c r="I489" s="3">
        <v>66</v>
      </c>
      <c r="J489" s="23">
        <v>5.3000001907348597</v>
      </c>
      <c r="K489" s="23">
        <v>5.3000001907348597</v>
      </c>
      <c r="L489" s="24">
        <v>5.3000001907348597</v>
      </c>
    </row>
    <row r="490" spans="2:12" x14ac:dyDescent="0.25">
      <c r="B490" s="17">
        <v>45232</v>
      </c>
      <c r="C490" s="58">
        <v>72</v>
      </c>
      <c r="D490" s="24">
        <v>5.2699999809265101</v>
      </c>
      <c r="F490" s="17">
        <v>45232</v>
      </c>
      <c r="G490" s="58">
        <v>72</v>
      </c>
      <c r="H490" s="3">
        <v>72</v>
      </c>
      <c r="I490" s="3">
        <v>72</v>
      </c>
      <c r="J490" s="23">
        <v>5.2699999809265101</v>
      </c>
      <c r="K490" s="23">
        <v>5.2699999809265101</v>
      </c>
      <c r="L490" s="24">
        <v>5.2699999809265101</v>
      </c>
    </row>
    <row r="491" spans="2:12" x14ac:dyDescent="0.25">
      <c r="B491" s="17">
        <v>45233</v>
      </c>
      <c r="C491" s="58">
        <v>65</v>
      </c>
      <c r="D491" s="24">
        <v>5.2529997825622496</v>
      </c>
      <c r="F491" s="17">
        <v>45233</v>
      </c>
      <c r="G491" s="58">
        <v>65</v>
      </c>
      <c r="H491" s="3">
        <v>65</v>
      </c>
      <c r="I491" s="3">
        <v>65</v>
      </c>
      <c r="J491" s="23">
        <v>5.2529997825622496</v>
      </c>
      <c r="K491" s="23">
        <v>5.2529997825622496</v>
      </c>
      <c r="L491" s="24">
        <v>5.2529997825622496</v>
      </c>
    </row>
    <row r="492" spans="2:12" x14ac:dyDescent="0.25">
      <c r="B492" s="17">
        <v>45234</v>
      </c>
      <c r="C492" s="58">
        <v>68</v>
      </c>
      <c r="D492" s="24">
        <v>5.2529997825622496</v>
      </c>
      <c r="F492" s="17">
        <v>45234</v>
      </c>
      <c r="G492" s="58">
        <v>68</v>
      </c>
      <c r="H492" s="3">
        <v>68</v>
      </c>
      <c r="I492" s="3">
        <v>68</v>
      </c>
      <c r="J492" s="23">
        <v>5.2529997825622496</v>
      </c>
      <c r="K492" s="23">
        <v>5.2529997825622496</v>
      </c>
      <c r="L492" s="24">
        <v>5.2529997825622496</v>
      </c>
    </row>
    <row r="493" spans="2:12" x14ac:dyDescent="0.25">
      <c r="B493" s="17">
        <v>45235</v>
      </c>
      <c r="C493" s="58">
        <v>70</v>
      </c>
      <c r="D493" s="24">
        <v>5.2529997825622496</v>
      </c>
      <c r="F493" s="17">
        <v>45235</v>
      </c>
      <c r="G493" s="58">
        <v>70</v>
      </c>
      <c r="H493" s="3">
        <v>70</v>
      </c>
      <c r="I493" s="3">
        <v>70</v>
      </c>
      <c r="J493" s="23">
        <v>5.2529997825622496</v>
      </c>
      <c r="K493" s="23">
        <v>5.2529997825622496</v>
      </c>
      <c r="L493" s="24">
        <v>5.2529997825622496</v>
      </c>
    </row>
    <row r="494" spans="2:12" x14ac:dyDescent="0.25">
      <c r="B494" s="17">
        <v>45236</v>
      </c>
      <c r="C494" s="58">
        <v>74</v>
      </c>
      <c r="D494" s="24">
        <v>5.2600002288818297</v>
      </c>
      <c r="F494" s="17">
        <v>45236</v>
      </c>
      <c r="G494" s="58">
        <v>74</v>
      </c>
      <c r="H494" s="3">
        <v>74</v>
      </c>
      <c r="I494" s="3">
        <v>74</v>
      </c>
      <c r="J494" s="23">
        <v>5.2600002288818297</v>
      </c>
      <c r="K494" s="23">
        <v>5.2600002288818297</v>
      </c>
      <c r="L494" s="24">
        <v>5.2600002288818297</v>
      </c>
    </row>
    <row r="495" spans="2:12" x14ac:dyDescent="0.25">
      <c r="B495" s="17">
        <v>45237</v>
      </c>
      <c r="C495" s="58">
        <v>68</v>
      </c>
      <c r="D495" s="24">
        <v>5.2729997634887598</v>
      </c>
      <c r="F495" s="17">
        <v>45237</v>
      </c>
      <c r="G495" s="58">
        <v>68</v>
      </c>
      <c r="H495" s="3">
        <v>68</v>
      </c>
      <c r="I495" s="3">
        <v>68</v>
      </c>
      <c r="J495" s="23">
        <v>5.2729997634887598</v>
      </c>
      <c r="K495" s="23">
        <v>5.2729997634887598</v>
      </c>
      <c r="L495" s="24">
        <v>5.2729997634887598</v>
      </c>
    </row>
    <row r="496" spans="2:12" x14ac:dyDescent="0.25">
      <c r="B496" s="17">
        <v>45238</v>
      </c>
      <c r="C496" s="58">
        <v>66</v>
      </c>
      <c r="D496" s="24">
        <v>5.2680001258850098</v>
      </c>
      <c r="F496" s="17">
        <v>45238</v>
      </c>
      <c r="G496" s="58">
        <v>66</v>
      </c>
      <c r="H496" s="3">
        <v>66</v>
      </c>
      <c r="I496" s="3">
        <v>66</v>
      </c>
      <c r="J496" s="23">
        <v>5.2680001258850098</v>
      </c>
      <c r="K496" s="23">
        <v>5.2680001258850098</v>
      </c>
      <c r="L496" s="24">
        <v>5.2680001258850098</v>
      </c>
    </row>
    <row r="497" spans="2:12" x14ac:dyDescent="0.25">
      <c r="B497" s="17">
        <v>45239</v>
      </c>
      <c r="C497" s="58">
        <v>69</v>
      </c>
      <c r="D497" s="24">
        <v>5.26300001144409</v>
      </c>
      <c r="F497" s="17">
        <v>45239</v>
      </c>
      <c r="G497" s="58">
        <v>69</v>
      </c>
      <c r="H497" s="3">
        <v>69</v>
      </c>
      <c r="I497" s="3">
        <v>69</v>
      </c>
      <c r="J497" s="23">
        <v>5.26300001144409</v>
      </c>
      <c r="K497" s="23">
        <v>5.26300001144409</v>
      </c>
      <c r="L497" s="24">
        <v>5.26300001144409</v>
      </c>
    </row>
    <row r="498" spans="2:12" x14ac:dyDescent="0.25">
      <c r="B498" s="17">
        <v>45240</v>
      </c>
      <c r="C498" s="58">
        <v>70</v>
      </c>
      <c r="D498" s="24">
        <v>5.25</v>
      </c>
      <c r="F498" s="17">
        <v>45240</v>
      </c>
      <c r="G498" s="58">
        <v>70</v>
      </c>
      <c r="H498" s="3">
        <v>70</v>
      </c>
      <c r="I498" s="3">
        <v>70</v>
      </c>
      <c r="J498" s="23">
        <v>5.25</v>
      </c>
      <c r="K498" s="23">
        <v>5.25</v>
      </c>
      <c r="L498" s="24">
        <v>5.25</v>
      </c>
    </row>
    <row r="499" spans="2:12" x14ac:dyDescent="0.25">
      <c r="B499" s="17">
        <v>45241</v>
      </c>
      <c r="C499" s="58">
        <v>70</v>
      </c>
      <c r="D499" s="24">
        <v>5.25</v>
      </c>
      <c r="F499" s="17">
        <v>45241</v>
      </c>
      <c r="G499" s="58">
        <v>70</v>
      </c>
      <c r="H499" s="3">
        <v>70</v>
      </c>
      <c r="I499" s="3">
        <v>70</v>
      </c>
      <c r="J499" s="23">
        <v>5.25</v>
      </c>
      <c r="K499" s="23">
        <v>5.25</v>
      </c>
      <c r="L499" s="24">
        <v>5.25</v>
      </c>
    </row>
    <row r="500" spans="2:12" x14ac:dyDescent="0.25">
      <c r="B500" s="17">
        <v>45242</v>
      </c>
      <c r="C500" s="58">
        <v>73</v>
      </c>
      <c r="D500" s="24">
        <v>5.25</v>
      </c>
      <c r="F500" s="17">
        <v>45242</v>
      </c>
      <c r="G500" s="58">
        <v>73</v>
      </c>
      <c r="H500" s="3">
        <v>73</v>
      </c>
      <c r="I500" s="3">
        <v>73</v>
      </c>
      <c r="J500" s="23">
        <v>5.25</v>
      </c>
      <c r="K500" s="23">
        <v>5.25</v>
      </c>
      <c r="L500" s="24">
        <v>5.25</v>
      </c>
    </row>
    <row r="501" spans="2:12" x14ac:dyDescent="0.25">
      <c r="B501" s="17">
        <v>45243</v>
      </c>
      <c r="C501" s="58">
        <v>72</v>
      </c>
      <c r="D501" s="24">
        <v>5.2600002288818297</v>
      </c>
      <c r="F501" s="17">
        <v>45243</v>
      </c>
      <c r="G501" s="58">
        <v>72</v>
      </c>
      <c r="H501" s="3">
        <v>72</v>
      </c>
      <c r="I501" s="3">
        <v>72</v>
      </c>
      <c r="J501" s="23">
        <v>5.2600002288818297</v>
      </c>
      <c r="K501" s="23">
        <v>5.2600002288818297</v>
      </c>
      <c r="L501" s="24">
        <v>5.2600002288818297</v>
      </c>
    </row>
    <row r="502" spans="2:12" x14ac:dyDescent="0.25">
      <c r="B502" s="17">
        <v>45244</v>
      </c>
      <c r="C502" s="58">
        <v>69</v>
      </c>
      <c r="D502" s="24">
        <v>5.2529997825622496</v>
      </c>
      <c r="F502" s="17">
        <v>45244</v>
      </c>
      <c r="G502" s="58">
        <v>69</v>
      </c>
      <c r="H502" s="3">
        <v>69</v>
      </c>
      <c r="I502" s="3">
        <v>69</v>
      </c>
      <c r="J502" s="23">
        <v>5.2529997825622496</v>
      </c>
      <c r="K502" s="23">
        <v>5.2529997825622496</v>
      </c>
      <c r="L502" s="24">
        <v>5.2529997825622496</v>
      </c>
    </row>
    <row r="503" spans="2:12" ht="15.75" thickBot="1" x14ac:dyDescent="0.3">
      <c r="B503" s="18">
        <v>45245</v>
      </c>
      <c r="C503" s="58">
        <v>60</v>
      </c>
      <c r="D503" s="24">
        <v>5.25500011444091</v>
      </c>
      <c r="F503" s="18">
        <v>45245</v>
      </c>
      <c r="G503" s="58">
        <v>60</v>
      </c>
      <c r="H503" s="3">
        <v>60</v>
      </c>
      <c r="I503" s="3">
        <v>60</v>
      </c>
      <c r="J503" s="23">
        <v>5.25500011444091</v>
      </c>
      <c r="K503" s="23">
        <v>5.25500011444091</v>
      </c>
      <c r="L503" s="24">
        <v>5.25500011444091</v>
      </c>
    </row>
    <row r="504" spans="2:12" x14ac:dyDescent="0.25">
      <c r="B504" s="16">
        <v>45246</v>
      </c>
      <c r="C504" s="58">
        <v>70</v>
      </c>
      <c r="D504" s="24">
        <v>5.2430000305175701</v>
      </c>
      <c r="F504" s="16">
        <v>45246</v>
      </c>
      <c r="G504" s="58">
        <v>70</v>
      </c>
      <c r="H504" s="3">
        <v>70</v>
      </c>
      <c r="I504" s="3">
        <v>70</v>
      </c>
      <c r="J504" s="23">
        <v>5.2430000305175701</v>
      </c>
      <c r="K504" s="23">
        <v>5.2430000305175701</v>
      </c>
      <c r="L504" s="24">
        <v>5.2430000305175701</v>
      </c>
    </row>
    <row r="505" spans="2:12" x14ac:dyDescent="0.25">
      <c r="B505" s="17">
        <v>45247</v>
      </c>
      <c r="C505" s="58">
        <v>63</v>
      </c>
      <c r="D505" s="24">
        <v>5.2329998016357404</v>
      </c>
      <c r="F505" s="17">
        <v>45247</v>
      </c>
      <c r="G505" s="58">
        <v>63</v>
      </c>
      <c r="H505" s="3">
        <v>63</v>
      </c>
      <c r="I505" s="3">
        <v>63</v>
      </c>
      <c r="J505" s="23">
        <v>5.2329998016357404</v>
      </c>
      <c r="K505" s="23">
        <v>5.2329998016357404</v>
      </c>
      <c r="L505" s="24">
        <v>5.2329998016357404</v>
      </c>
    </row>
    <row r="506" spans="2:12" x14ac:dyDescent="0.25">
      <c r="B506" s="17">
        <v>45248</v>
      </c>
      <c r="C506" s="58">
        <v>69</v>
      </c>
      <c r="D506" s="24">
        <v>5.2329998016357404</v>
      </c>
      <c r="F506" s="17">
        <v>45248</v>
      </c>
      <c r="G506" s="58">
        <v>69</v>
      </c>
      <c r="H506" s="3">
        <v>69</v>
      </c>
      <c r="I506" s="3">
        <v>69</v>
      </c>
      <c r="J506" s="23">
        <v>5.2329998016357404</v>
      </c>
      <c r="K506" s="23">
        <v>5.2329998016357404</v>
      </c>
      <c r="L506" s="24">
        <v>5.2329998016357404</v>
      </c>
    </row>
    <row r="507" spans="2:12" x14ac:dyDescent="0.25">
      <c r="B507" s="17">
        <v>45249</v>
      </c>
      <c r="C507" s="58">
        <v>66</v>
      </c>
      <c r="D507" s="24">
        <v>5.2329998016357404</v>
      </c>
      <c r="F507" s="17">
        <v>45249</v>
      </c>
      <c r="G507" s="58">
        <v>66</v>
      </c>
      <c r="H507" s="3">
        <v>66</v>
      </c>
      <c r="I507" s="3">
        <v>66</v>
      </c>
      <c r="J507" s="23">
        <v>5.2329998016357404</v>
      </c>
      <c r="K507" s="23">
        <v>5.2329998016357404</v>
      </c>
      <c r="L507" s="24">
        <v>5.2329998016357404</v>
      </c>
    </row>
    <row r="508" spans="2:12" x14ac:dyDescent="0.25">
      <c r="B508" s="17">
        <v>45250</v>
      </c>
      <c r="C508" s="58">
        <v>69</v>
      </c>
      <c r="D508" s="24">
        <v>5.2379999160766602</v>
      </c>
      <c r="F508" s="17">
        <v>45250</v>
      </c>
      <c r="G508" s="58">
        <v>69</v>
      </c>
      <c r="H508" s="3">
        <v>69</v>
      </c>
      <c r="I508" s="3">
        <v>69</v>
      </c>
      <c r="J508" s="23">
        <v>5.2379999160766602</v>
      </c>
      <c r="K508" s="23">
        <v>5.2379999160766602</v>
      </c>
      <c r="L508" s="24">
        <v>5.2379999160766602</v>
      </c>
    </row>
    <row r="509" spans="2:12" x14ac:dyDescent="0.25">
      <c r="B509" s="17">
        <v>45251</v>
      </c>
      <c r="C509" s="58">
        <v>71</v>
      </c>
      <c r="D509" s="24">
        <v>5.25500011444091</v>
      </c>
      <c r="F509" s="17">
        <v>45251</v>
      </c>
      <c r="G509" s="58">
        <v>71</v>
      </c>
      <c r="H509" s="3">
        <v>71</v>
      </c>
      <c r="I509" s="3">
        <v>71</v>
      </c>
      <c r="J509" s="23">
        <v>5.25500011444091</v>
      </c>
      <c r="K509" s="23">
        <v>5.25500011444091</v>
      </c>
      <c r="L509" s="24">
        <v>5.25500011444091</v>
      </c>
    </row>
    <row r="510" spans="2:12" x14ac:dyDescent="0.25">
      <c r="B510" s="17">
        <v>45252</v>
      </c>
      <c r="C510" s="58">
        <v>62</v>
      </c>
      <c r="D510" s="24">
        <v>5.2649998664855904</v>
      </c>
      <c r="F510" s="17">
        <v>45252</v>
      </c>
      <c r="G510" s="58">
        <v>62</v>
      </c>
      <c r="H510" s="3">
        <v>62</v>
      </c>
      <c r="I510" s="3">
        <v>62</v>
      </c>
      <c r="J510" s="23">
        <v>5.2649998664855904</v>
      </c>
      <c r="K510" s="23">
        <v>5.2649998664855904</v>
      </c>
      <c r="L510" s="24">
        <v>5.2649998664855904</v>
      </c>
    </row>
    <row r="511" spans="2:12" x14ac:dyDescent="0.25">
      <c r="B511" s="17">
        <v>45253</v>
      </c>
      <c r="C511" s="58">
        <v>66</v>
      </c>
      <c r="D511" s="24">
        <v>5.2649998664855904</v>
      </c>
      <c r="F511" s="17">
        <v>45253</v>
      </c>
      <c r="G511" s="58">
        <v>66</v>
      </c>
      <c r="H511" s="3">
        <v>66</v>
      </c>
      <c r="I511" s="3">
        <v>66</v>
      </c>
      <c r="J511" s="23">
        <v>5.2649998664855904</v>
      </c>
      <c r="K511" s="23">
        <v>5.2649998664855904</v>
      </c>
      <c r="L511" s="24">
        <v>5.2649998664855904</v>
      </c>
    </row>
    <row r="512" spans="2:12" x14ac:dyDescent="0.25">
      <c r="B512" s="17">
        <v>45254</v>
      </c>
      <c r="C512" s="58">
        <v>66</v>
      </c>
      <c r="D512" s="24">
        <v>5.2529997825622496</v>
      </c>
      <c r="F512" s="17">
        <v>45254</v>
      </c>
      <c r="G512" s="58">
        <v>66</v>
      </c>
      <c r="H512" s="3">
        <v>66</v>
      </c>
      <c r="I512" s="3">
        <v>66</v>
      </c>
      <c r="J512" s="23">
        <v>5.2529997825622496</v>
      </c>
      <c r="K512" s="23">
        <v>5.2529997825622496</v>
      </c>
      <c r="L512" s="24">
        <v>5.2529997825622496</v>
      </c>
    </row>
    <row r="513" spans="2:12" x14ac:dyDescent="0.25">
      <c r="B513" s="17">
        <v>45255</v>
      </c>
      <c r="C513" s="58">
        <v>73</v>
      </c>
      <c r="D513" s="24">
        <v>5.2529997825622496</v>
      </c>
      <c r="F513" s="17">
        <v>45255</v>
      </c>
      <c r="G513" s="58">
        <v>73</v>
      </c>
      <c r="H513" s="3">
        <v>73</v>
      </c>
      <c r="I513" s="3">
        <v>73</v>
      </c>
      <c r="J513" s="23">
        <v>5.2529997825622496</v>
      </c>
      <c r="K513" s="23">
        <v>5.2529997825622496</v>
      </c>
      <c r="L513" s="24">
        <v>5.2529997825622496</v>
      </c>
    </row>
    <row r="514" spans="2:12" x14ac:dyDescent="0.25">
      <c r="B514" s="17">
        <v>45256</v>
      </c>
      <c r="C514" s="58">
        <v>73</v>
      </c>
      <c r="D514" s="24">
        <v>5.2529997825622496</v>
      </c>
      <c r="F514" s="17">
        <v>45256</v>
      </c>
      <c r="G514" s="58">
        <v>73</v>
      </c>
      <c r="H514" s="3">
        <v>73</v>
      </c>
      <c r="I514" s="3">
        <v>73</v>
      </c>
      <c r="J514" s="23">
        <v>5.2529997825622496</v>
      </c>
      <c r="K514" s="23">
        <v>5.2529997825622496</v>
      </c>
      <c r="L514" s="24">
        <v>5.2529997825622496</v>
      </c>
    </row>
    <row r="515" spans="2:12" x14ac:dyDescent="0.25">
      <c r="B515" s="17">
        <v>45257</v>
      </c>
      <c r="C515" s="58">
        <v>66</v>
      </c>
      <c r="D515" s="24">
        <v>5.2579998970031703</v>
      </c>
      <c r="F515" s="17">
        <v>45257</v>
      </c>
      <c r="G515" s="58">
        <v>66</v>
      </c>
      <c r="H515" s="3">
        <v>66</v>
      </c>
      <c r="I515" s="3">
        <v>66</v>
      </c>
      <c r="J515" s="23">
        <v>5.2579998970031703</v>
      </c>
      <c r="K515" s="23">
        <v>5.2579998970031703</v>
      </c>
      <c r="L515" s="24">
        <v>5.2579998970031703</v>
      </c>
    </row>
    <row r="516" spans="2:12" x14ac:dyDescent="0.25">
      <c r="B516" s="17">
        <v>45258</v>
      </c>
      <c r="C516" s="58">
        <v>68</v>
      </c>
      <c r="D516" s="24">
        <v>5.2600002288818297</v>
      </c>
      <c r="F516" s="17">
        <v>45258</v>
      </c>
      <c r="G516" s="58">
        <v>68</v>
      </c>
      <c r="H516" s="3">
        <v>68</v>
      </c>
      <c r="I516" s="3">
        <v>68</v>
      </c>
      <c r="J516" s="23">
        <v>5.2600002288818297</v>
      </c>
      <c r="K516" s="23">
        <v>5.2600002288818297</v>
      </c>
      <c r="L516" s="24">
        <v>5.2600002288818297</v>
      </c>
    </row>
    <row r="517" spans="2:12" x14ac:dyDescent="0.25">
      <c r="B517" s="17">
        <v>45259</v>
      </c>
      <c r="C517" s="58">
        <v>72</v>
      </c>
      <c r="D517" s="24">
        <v>5.2399997711181596</v>
      </c>
      <c r="F517" s="17">
        <v>45259</v>
      </c>
      <c r="G517" s="58">
        <v>72</v>
      </c>
      <c r="H517" s="3">
        <v>72</v>
      </c>
      <c r="I517" s="3">
        <v>72</v>
      </c>
      <c r="J517" s="23">
        <v>5.2399997711181596</v>
      </c>
      <c r="K517" s="23">
        <v>5.2399997711181596</v>
      </c>
      <c r="L517" s="24">
        <v>5.2399997711181596</v>
      </c>
    </row>
    <row r="518" spans="2:12" x14ac:dyDescent="0.25">
      <c r="B518" s="17">
        <v>45260</v>
      </c>
      <c r="C518" s="58">
        <v>74</v>
      </c>
      <c r="D518" s="24">
        <v>5.2379999160766602</v>
      </c>
      <c r="F518" s="17">
        <v>45260</v>
      </c>
      <c r="G518" s="58">
        <v>74</v>
      </c>
      <c r="H518" s="3">
        <v>74</v>
      </c>
      <c r="I518" s="3">
        <v>74</v>
      </c>
      <c r="J518" s="23">
        <v>5.2379999160766602</v>
      </c>
      <c r="K518" s="23">
        <v>5.2379999160766602</v>
      </c>
      <c r="L518" s="24">
        <v>5.2379999160766602</v>
      </c>
    </row>
    <row r="519" spans="2:12" x14ac:dyDescent="0.25">
      <c r="B519" s="17">
        <v>45261</v>
      </c>
      <c r="C519" s="58">
        <v>71</v>
      </c>
      <c r="D519" s="24">
        <v>5.2150001525878897</v>
      </c>
      <c r="F519" s="17">
        <v>45261</v>
      </c>
      <c r="G519" s="58">
        <v>71</v>
      </c>
      <c r="H519" s="3">
        <v>71</v>
      </c>
      <c r="I519" s="3">
        <v>71</v>
      </c>
      <c r="J519" s="23">
        <v>5.2150001525878897</v>
      </c>
      <c r="K519" s="23">
        <v>5.2150001525878897</v>
      </c>
      <c r="L519" s="24">
        <v>5.2150001525878897</v>
      </c>
    </row>
    <row r="520" spans="2:12" x14ac:dyDescent="0.25">
      <c r="B520" s="17">
        <v>45262</v>
      </c>
      <c r="C520" s="58">
        <v>74</v>
      </c>
      <c r="D520" s="24">
        <v>5.2150001525878897</v>
      </c>
      <c r="F520" s="17">
        <v>45262</v>
      </c>
      <c r="G520" s="58">
        <v>74</v>
      </c>
      <c r="H520" s="3">
        <v>74</v>
      </c>
      <c r="I520" s="3">
        <v>74</v>
      </c>
      <c r="J520" s="23">
        <v>5.2150001525878897</v>
      </c>
      <c r="K520" s="23">
        <v>5.2150001525878897</v>
      </c>
      <c r="L520" s="24">
        <v>5.2150001525878897</v>
      </c>
    </row>
    <row r="521" spans="2:12" x14ac:dyDescent="0.25">
      <c r="B521" s="17">
        <v>45263</v>
      </c>
      <c r="C521" s="58">
        <v>73</v>
      </c>
      <c r="D521" s="24">
        <v>5.2150001525878897</v>
      </c>
      <c r="F521" s="17">
        <v>45263</v>
      </c>
      <c r="G521" s="58">
        <v>73</v>
      </c>
      <c r="H521" s="3">
        <v>73</v>
      </c>
      <c r="I521" s="3">
        <v>73</v>
      </c>
      <c r="J521" s="23">
        <v>5.2150001525878897</v>
      </c>
      <c r="K521" s="23">
        <v>5.2150001525878897</v>
      </c>
      <c r="L521" s="24">
        <v>5.2150001525878897</v>
      </c>
    </row>
    <row r="522" spans="2:12" x14ac:dyDescent="0.25">
      <c r="B522" s="17">
        <v>45264</v>
      </c>
      <c r="C522" s="58">
        <v>74</v>
      </c>
      <c r="D522" s="24">
        <v>5.22300004959106</v>
      </c>
      <c r="F522" s="17">
        <v>45264</v>
      </c>
      <c r="G522" s="58">
        <v>74</v>
      </c>
      <c r="H522" s="3">
        <v>74</v>
      </c>
      <c r="I522" s="3">
        <v>74</v>
      </c>
      <c r="J522" s="23">
        <v>5.22300004959106</v>
      </c>
      <c r="K522" s="23">
        <v>5.22300004959106</v>
      </c>
      <c r="L522" s="24">
        <v>5.22300004959106</v>
      </c>
    </row>
    <row r="523" spans="2:12" x14ac:dyDescent="0.25">
      <c r="B523" s="17">
        <v>45265</v>
      </c>
      <c r="C523" s="58">
        <v>75</v>
      </c>
      <c r="D523" s="24">
        <v>5.2430000305175701</v>
      </c>
      <c r="F523" s="17">
        <v>45265</v>
      </c>
      <c r="G523" s="58">
        <v>75</v>
      </c>
      <c r="H523" s="3">
        <v>75</v>
      </c>
      <c r="I523" s="3">
        <v>75</v>
      </c>
      <c r="J523" s="23">
        <v>5.2430000305175701</v>
      </c>
      <c r="K523" s="23">
        <v>5.2430000305175701</v>
      </c>
      <c r="L523" s="24">
        <v>5.2430000305175701</v>
      </c>
    </row>
    <row r="524" spans="2:12" x14ac:dyDescent="0.25">
      <c r="B524" s="17">
        <v>45266</v>
      </c>
      <c r="C524" s="58">
        <v>72</v>
      </c>
      <c r="D524" s="24">
        <v>5.2430000305175701</v>
      </c>
      <c r="F524" s="17">
        <v>45266</v>
      </c>
      <c r="G524" s="58">
        <v>72</v>
      </c>
      <c r="H524" s="3">
        <v>72</v>
      </c>
      <c r="I524" s="3">
        <v>72</v>
      </c>
      <c r="J524" s="23">
        <v>5.2430000305175701</v>
      </c>
      <c r="K524" s="23">
        <v>5.2430000305175701</v>
      </c>
      <c r="L524" s="24">
        <v>5.2430000305175701</v>
      </c>
    </row>
    <row r="525" spans="2:12" x14ac:dyDescent="0.25">
      <c r="B525" s="17">
        <v>45267</v>
      </c>
      <c r="C525" s="58">
        <v>72</v>
      </c>
      <c r="D525" s="24">
        <v>5.2329998016357404</v>
      </c>
      <c r="F525" s="17">
        <v>45267</v>
      </c>
      <c r="G525" s="58">
        <v>72</v>
      </c>
      <c r="H525" s="3">
        <v>72</v>
      </c>
      <c r="I525" s="3">
        <v>72</v>
      </c>
      <c r="J525" s="23">
        <v>5.2329998016357404</v>
      </c>
      <c r="K525" s="23">
        <v>5.2329998016357404</v>
      </c>
      <c r="L525" s="24">
        <v>5.2329998016357404</v>
      </c>
    </row>
    <row r="526" spans="2:12" x14ac:dyDescent="0.25">
      <c r="B526" s="17">
        <v>45268</v>
      </c>
      <c r="C526" s="58">
        <v>72</v>
      </c>
      <c r="D526" s="24">
        <v>5.2329998016357404</v>
      </c>
      <c r="F526" s="17">
        <v>45268</v>
      </c>
      <c r="G526" s="58">
        <v>72</v>
      </c>
      <c r="H526" s="3">
        <v>72</v>
      </c>
      <c r="I526" s="3">
        <v>72</v>
      </c>
      <c r="J526" s="23">
        <v>5.2329998016357404</v>
      </c>
      <c r="K526" s="23">
        <v>5.2329998016357404</v>
      </c>
      <c r="L526" s="24">
        <v>5.2329998016357404</v>
      </c>
    </row>
    <row r="527" spans="2:12" x14ac:dyDescent="0.25">
      <c r="B527" s="17">
        <v>45269</v>
      </c>
      <c r="C527" s="58">
        <v>73</v>
      </c>
      <c r="D527" s="24">
        <v>5.2329998016357404</v>
      </c>
      <c r="F527" s="17">
        <v>45269</v>
      </c>
      <c r="G527" s="58">
        <v>73</v>
      </c>
      <c r="H527" s="3">
        <v>73</v>
      </c>
      <c r="I527" s="3">
        <v>73</v>
      </c>
      <c r="J527" s="23">
        <v>5.2329998016357404</v>
      </c>
      <c r="K527" s="23">
        <v>5.2329998016357404</v>
      </c>
      <c r="L527" s="24">
        <v>5.2329998016357404</v>
      </c>
    </row>
    <row r="528" spans="2:12" x14ac:dyDescent="0.25">
      <c r="B528" s="17">
        <v>45270</v>
      </c>
      <c r="C528" s="58">
        <v>74</v>
      </c>
      <c r="D528" s="24">
        <v>5.2329998016357404</v>
      </c>
      <c r="F528" s="17">
        <v>45270</v>
      </c>
      <c r="G528" s="58">
        <v>74</v>
      </c>
      <c r="H528" s="3">
        <v>74</v>
      </c>
      <c r="I528" s="3">
        <v>74</v>
      </c>
      <c r="J528" s="23">
        <v>5.2329998016357404</v>
      </c>
      <c r="K528" s="23">
        <v>5.2329998016357404</v>
      </c>
      <c r="L528" s="24">
        <v>5.2329998016357404</v>
      </c>
    </row>
    <row r="529" spans="2:12" x14ac:dyDescent="0.25">
      <c r="B529" s="17">
        <v>45271</v>
      </c>
      <c r="C529" s="58">
        <v>74</v>
      </c>
      <c r="D529" s="24">
        <v>5.2329998016357404</v>
      </c>
      <c r="F529" s="17">
        <v>45271</v>
      </c>
      <c r="G529" s="58">
        <v>74</v>
      </c>
      <c r="H529" s="3">
        <v>74</v>
      </c>
      <c r="I529" s="3">
        <v>74</v>
      </c>
      <c r="J529" s="23">
        <v>5.2329998016357404</v>
      </c>
      <c r="K529" s="23">
        <v>5.2329998016357404</v>
      </c>
      <c r="L529" s="24">
        <v>5.2329998016357404</v>
      </c>
    </row>
    <row r="530" spans="2:12" x14ac:dyDescent="0.25">
      <c r="B530" s="17">
        <v>45272</v>
      </c>
      <c r="C530" s="58">
        <v>67</v>
      </c>
      <c r="D530" s="24">
        <v>5.2480001449584899</v>
      </c>
      <c r="F530" s="17">
        <v>45272</v>
      </c>
      <c r="G530" s="58">
        <v>67</v>
      </c>
      <c r="H530" s="3">
        <v>67</v>
      </c>
      <c r="I530" s="3">
        <v>67</v>
      </c>
      <c r="J530" s="23">
        <v>5.2480001449584899</v>
      </c>
      <c r="K530" s="23">
        <v>5.2480001449584899</v>
      </c>
      <c r="L530" s="24">
        <v>5.2480001449584899</v>
      </c>
    </row>
    <row r="531" spans="2:12" x14ac:dyDescent="0.25">
      <c r="B531" s="17">
        <v>45273</v>
      </c>
      <c r="C531" s="58">
        <v>65</v>
      </c>
      <c r="D531" s="24">
        <v>5.22300004959106</v>
      </c>
      <c r="F531" s="17">
        <v>45273</v>
      </c>
      <c r="G531" s="58">
        <v>65</v>
      </c>
      <c r="H531" s="3">
        <v>65</v>
      </c>
      <c r="I531" s="3">
        <v>65</v>
      </c>
      <c r="J531" s="23">
        <v>5.22300004959106</v>
      </c>
      <c r="K531" s="23">
        <v>5.22300004959106</v>
      </c>
      <c r="L531" s="24">
        <v>5.22300004959106</v>
      </c>
    </row>
    <row r="532" spans="2:12" x14ac:dyDescent="0.25">
      <c r="B532" s="17">
        <v>45274</v>
      </c>
      <c r="C532" s="58">
        <v>72</v>
      </c>
      <c r="D532" s="24">
        <v>5.2150001525878897</v>
      </c>
      <c r="F532" s="17">
        <v>45274</v>
      </c>
      <c r="G532" s="58">
        <v>72</v>
      </c>
      <c r="H532" s="3">
        <v>72</v>
      </c>
      <c r="I532" s="3">
        <v>72</v>
      </c>
      <c r="J532" s="23">
        <v>5.2150001525878897</v>
      </c>
      <c r="K532" s="23">
        <v>5.2150001525878897</v>
      </c>
      <c r="L532" s="24">
        <v>5.2150001525878897</v>
      </c>
    </row>
    <row r="533" spans="2:12" x14ac:dyDescent="0.25">
      <c r="B533" s="17">
        <v>45275</v>
      </c>
      <c r="C533" s="58">
        <v>70</v>
      </c>
      <c r="D533" s="24">
        <v>5.2249999046325604</v>
      </c>
      <c r="F533" s="17">
        <v>45275</v>
      </c>
      <c r="G533" s="58">
        <v>70</v>
      </c>
      <c r="H533" s="3">
        <v>70</v>
      </c>
      <c r="I533" s="3">
        <v>70</v>
      </c>
      <c r="J533" s="23">
        <v>5.2249999046325604</v>
      </c>
      <c r="K533" s="23">
        <v>5.2249999046325604</v>
      </c>
      <c r="L533" s="24">
        <v>5.2249999046325604</v>
      </c>
    </row>
    <row r="534" spans="2:12" x14ac:dyDescent="0.25">
      <c r="B534" s="17">
        <v>45276</v>
      </c>
      <c r="C534" s="58">
        <v>67</v>
      </c>
      <c r="D534" s="24">
        <v>5.2249999046325604</v>
      </c>
      <c r="F534" s="17">
        <v>45276</v>
      </c>
      <c r="G534" s="58">
        <v>67</v>
      </c>
      <c r="H534" s="3">
        <v>67</v>
      </c>
      <c r="I534" s="3">
        <v>67</v>
      </c>
      <c r="J534" s="23">
        <v>5.2249999046325604</v>
      </c>
      <c r="K534" s="23">
        <v>5.2249999046325604</v>
      </c>
      <c r="L534" s="24">
        <v>5.2249999046325604</v>
      </c>
    </row>
    <row r="535" spans="2:12" x14ac:dyDescent="0.25">
      <c r="B535" s="17">
        <v>45277</v>
      </c>
      <c r="C535" s="58">
        <v>73</v>
      </c>
      <c r="D535" s="24">
        <v>5.2249999046325604</v>
      </c>
      <c r="F535" s="17">
        <v>45277</v>
      </c>
      <c r="G535" s="58">
        <v>73</v>
      </c>
      <c r="H535" s="3">
        <v>73</v>
      </c>
      <c r="I535" s="3">
        <v>73</v>
      </c>
      <c r="J535" s="23">
        <v>5.2249999046325604</v>
      </c>
      <c r="K535" s="23">
        <v>5.2249999046325604</v>
      </c>
      <c r="L535" s="24">
        <v>5.2249999046325604</v>
      </c>
    </row>
    <row r="536" spans="2:12" x14ac:dyDescent="0.25">
      <c r="B536" s="17">
        <v>45278</v>
      </c>
      <c r="C536" s="58">
        <v>65</v>
      </c>
      <c r="D536" s="24">
        <v>5.2249999046325604</v>
      </c>
      <c r="F536" s="17">
        <v>45278</v>
      </c>
      <c r="G536" s="58">
        <v>65</v>
      </c>
      <c r="H536" s="3">
        <v>65</v>
      </c>
      <c r="I536" s="3">
        <v>65</v>
      </c>
      <c r="J536" s="23">
        <v>5.2249999046325604</v>
      </c>
      <c r="K536" s="23">
        <v>5.2249999046325604</v>
      </c>
      <c r="L536" s="24">
        <v>5.2249999046325604</v>
      </c>
    </row>
    <row r="537" spans="2:12" x14ac:dyDescent="0.25">
      <c r="B537" s="17">
        <v>45279</v>
      </c>
      <c r="C537" s="58">
        <v>73</v>
      </c>
      <c r="D537" s="24">
        <v>5.2379999160766602</v>
      </c>
      <c r="F537" s="17">
        <v>45279</v>
      </c>
      <c r="G537" s="58">
        <v>73</v>
      </c>
      <c r="H537" s="3">
        <v>73</v>
      </c>
      <c r="I537" s="3">
        <v>73</v>
      </c>
      <c r="J537" s="23">
        <v>5.2379999160766602</v>
      </c>
      <c r="K537" s="23">
        <v>5.2379999160766602</v>
      </c>
      <c r="L537" s="24">
        <v>5.2379999160766602</v>
      </c>
    </row>
    <row r="538" spans="2:12" x14ac:dyDescent="0.25">
      <c r="B538" s="17">
        <v>45280</v>
      </c>
      <c r="C538" s="58">
        <v>74</v>
      </c>
      <c r="D538" s="24">
        <v>5.2300000190734801</v>
      </c>
      <c r="F538" s="17">
        <v>45280</v>
      </c>
      <c r="G538" s="58">
        <v>74</v>
      </c>
      <c r="H538" s="3">
        <v>74</v>
      </c>
      <c r="I538" s="3">
        <v>74</v>
      </c>
      <c r="J538" s="23">
        <v>5.2300000190734801</v>
      </c>
      <c r="K538" s="23">
        <v>5.2300000190734801</v>
      </c>
      <c r="L538" s="24">
        <v>5.2300000190734801</v>
      </c>
    </row>
    <row r="539" spans="2:12" x14ac:dyDescent="0.25">
      <c r="B539" s="17">
        <v>45281</v>
      </c>
      <c r="C539" s="58">
        <v>70</v>
      </c>
      <c r="D539" s="24">
        <v>5.21000003814697</v>
      </c>
      <c r="F539" s="17">
        <v>45281</v>
      </c>
      <c r="G539" s="58">
        <v>70</v>
      </c>
      <c r="H539" s="3">
        <v>70</v>
      </c>
      <c r="I539" s="3">
        <v>70</v>
      </c>
      <c r="J539" s="23">
        <v>5.21000003814697</v>
      </c>
      <c r="K539" s="23">
        <v>5.21000003814697</v>
      </c>
      <c r="L539" s="24">
        <v>5.21000003814697</v>
      </c>
    </row>
    <row r="540" spans="2:12" x14ac:dyDescent="0.25">
      <c r="B540" s="17">
        <v>45282</v>
      </c>
      <c r="C540" s="58">
        <v>74</v>
      </c>
      <c r="D540" s="24">
        <v>5.2080001831054599</v>
      </c>
      <c r="F540" s="17">
        <v>45282</v>
      </c>
      <c r="G540" s="58">
        <v>74</v>
      </c>
      <c r="H540" s="3">
        <v>74</v>
      </c>
      <c r="I540" s="3">
        <v>74</v>
      </c>
      <c r="J540" s="23">
        <v>5.2080001831054599</v>
      </c>
      <c r="K540" s="23">
        <v>5.2080001831054599</v>
      </c>
      <c r="L540" s="24">
        <v>5.2080001831054599</v>
      </c>
    </row>
    <row r="541" spans="2:12" x14ac:dyDescent="0.25">
      <c r="B541" s="17">
        <v>45283</v>
      </c>
      <c r="C541" s="58">
        <v>70</v>
      </c>
      <c r="D541" s="24">
        <v>5.2080001831054599</v>
      </c>
      <c r="F541" s="17">
        <v>45283</v>
      </c>
      <c r="G541" s="58">
        <v>70</v>
      </c>
      <c r="H541" s="3">
        <v>70</v>
      </c>
      <c r="I541" s="3">
        <v>70</v>
      </c>
      <c r="J541" s="23">
        <v>5.2080001831054599</v>
      </c>
      <c r="K541" s="23">
        <v>5.2080001831054599</v>
      </c>
      <c r="L541" s="24">
        <v>5.2080001831054599</v>
      </c>
    </row>
    <row r="542" spans="2:12" x14ac:dyDescent="0.25">
      <c r="B542" s="17">
        <v>45284</v>
      </c>
      <c r="C542" s="58">
        <v>71</v>
      </c>
      <c r="D542" s="24">
        <v>5.2080001831054599</v>
      </c>
      <c r="F542" s="17">
        <v>45284</v>
      </c>
      <c r="G542" s="58">
        <v>71</v>
      </c>
      <c r="H542" s="3">
        <v>71</v>
      </c>
      <c r="I542" s="3">
        <v>71</v>
      </c>
      <c r="J542" s="23">
        <v>5.2080001831054599</v>
      </c>
      <c r="K542" s="23">
        <v>5.2080001831054599</v>
      </c>
      <c r="L542" s="24">
        <v>5.2080001831054599</v>
      </c>
    </row>
    <row r="543" spans="2:12" x14ac:dyDescent="0.25">
      <c r="B543" s="17">
        <v>45285</v>
      </c>
      <c r="C543" s="58">
        <v>73</v>
      </c>
      <c r="D543" s="24">
        <v>5.2080001831054599</v>
      </c>
      <c r="F543" s="17">
        <v>45285</v>
      </c>
      <c r="G543" s="58">
        <v>73</v>
      </c>
      <c r="H543" s="3">
        <v>73</v>
      </c>
      <c r="I543" s="3">
        <v>73</v>
      </c>
      <c r="J543" s="23">
        <v>5.2080001831054599</v>
      </c>
      <c r="K543" s="23">
        <v>5.2080001831054599</v>
      </c>
      <c r="L543" s="24">
        <v>5.2080001831054599</v>
      </c>
    </row>
    <row r="544" spans="2:12" x14ac:dyDescent="0.25">
      <c r="B544" s="17">
        <v>45286</v>
      </c>
      <c r="C544" s="58">
        <v>71</v>
      </c>
      <c r="D544" s="24">
        <v>5.2030000686645499</v>
      </c>
      <c r="F544" s="17">
        <v>45286</v>
      </c>
      <c r="G544" s="58">
        <v>71</v>
      </c>
      <c r="H544" s="3">
        <v>71</v>
      </c>
      <c r="I544" s="3">
        <v>71</v>
      </c>
      <c r="J544" s="23">
        <v>5.2030000686645499</v>
      </c>
      <c r="K544" s="23">
        <v>5.2030000686645499</v>
      </c>
      <c r="L544" s="24">
        <v>5.2030000686645499</v>
      </c>
    </row>
    <row r="545" spans="2:12" x14ac:dyDescent="0.25">
      <c r="B545" s="17">
        <v>45287</v>
      </c>
      <c r="C545" s="58">
        <v>73</v>
      </c>
      <c r="D545" s="24">
        <v>5.2350001335143999</v>
      </c>
      <c r="F545" s="17">
        <v>45287</v>
      </c>
      <c r="G545" s="58">
        <v>73</v>
      </c>
      <c r="H545" s="3">
        <v>73</v>
      </c>
      <c r="I545" s="3">
        <v>73</v>
      </c>
      <c r="J545" s="23">
        <v>5.2350001335143999</v>
      </c>
      <c r="K545" s="23">
        <v>5.2350001335143999</v>
      </c>
      <c r="L545" s="24">
        <v>5.2350001335143999</v>
      </c>
    </row>
    <row r="546" spans="2:12" x14ac:dyDescent="0.25">
      <c r="B546" s="17">
        <v>45288</v>
      </c>
      <c r="C546" s="58">
        <v>73</v>
      </c>
      <c r="D546" s="24">
        <v>5.2179999351501403</v>
      </c>
      <c r="F546" s="17">
        <v>45288</v>
      </c>
      <c r="G546" s="58">
        <v>73</v>
      </c>
      <c r="H546" s="3">
        <v>73</v>
      </c>
      <c r="I546" s="3">
        <v>73</v>
      </c>
      <c r="J546" s="23">
        <v>5.2179999351501403</v>
      </c>
      <c r="K546" s="23">
        <v>5.2179999351501403</v>
      </c>
      <c r="L546" s="24">
        <v>5.2179999351501403</v>
      </c>
    </row>
    <row r="547" spans="2:12" x14ac:dyDescent="0.25">
      <c r="B547" s="17">
        <v>45289</v>
      </c>
      <c r="C547" s="58">
        <v>65</v>
      </c>
      <c r="D547" s="24">
        <v>5.1799998283386204</v>
      </c>
      <c r="F547" s="17">
        <v>45289</v>
      </c>
      <c r="G547" s="58">
        <v>65</v>
      </c>
      <c r="H547" s="3">
        <v>65</v>
      </c>
      <c r="I547" s="3">
        <v>65</v>
      </c>
      <c r="J547" s="23">
        <v>5.1799998283386204</v>
      </c>
      <c r="K547" s="23">
        <v>5.1799998283386204</v>
      </c>
      <c r="L547" s="24">
        <v>5.1799998283386204</v>
      </c>
    </row>
    <row r="548" spans="2:12" x14ac:dyDescent="0.25">
      <c r="B548" s="17">
        <v>45290</v>
      </c>
      <c r="C548" s="58">
        <v>68</v>
      </c>
      <c r="D548" s="24">
        <v>5.1799998283386204</v>
      </c>
      <c r="F548" s="17">
        <v>45290</v>
      </c>
      <c r="G548" s="58">
        <v>68</v>
      </c>
      <c r="H548" s="3">
        <v>68</v>
      </c>
      <c r="I548" s="3">
        <v>68</v>
      </c>
      <c r="J548" s="23">
        <v>5.1799998283386204</v>
      </c>
      <c r="K548" s="23">
        <v>5.1799998283386204</v>
      </c>
      <c r="L548" s="24">
        <v>5.1799998283386204</v>
      </c>
    </row>
    <row r="549" spans="2:12" x14ac:dyDescent="0.25">
      <c r="B549" s="17">
        <v>45291</v>
      </c>
      <c r="C549" s="58">
        <v>67</v>
      </c>
      <c r="D549" s="24">
        <v>5.1799998283386204</v>
      </c>
      <c r="F549" s="17">
        <v>45291</v>
      </c>
      <c r="G549" s="58">
        <v>67</v>
      </c>
      <c r="H549" s="3">
        <v>67</v>
      </c>
      <c r="I549" s="3">
        <v>67</v>
      </c>
      <c r="J549" s="23">
        <v>5.1799998283386204</v>
      </c>
      <c r="K549" s="23">
        <v>5.1799998283386204</v>
      </c>
      <c r="L549" s="24">
        <v>5.1799998283386204</v>
      </c>
    </row>
    <row r="550" spans="2:12" x14ac:dyDescent="0.25">
      <c r="B550" s="17">
        <v>45292</v>
      </c>
      <c r="C550" s="58">
        <v>65</v>
      </c>
      <c r="D550" s="24">
        <v>5.1799998283386204</v>
      </c>
      <c r="F550" s="17">
        <v>45292</v>
      </c>
      <c r="G550" s="58">
        <v>65</v>
      </c>
      <c r="H550" s="3">
        <v>65</v>
      </c>
      <c r="I550" s="3">
        <v>65</v>
      </c>
      <c r="J550" s="23">
        <v>5.1799998283386204</v>
      </c>
      <c r="K550" s="23">
        <v>5.1799998283386204</v>
      </c>
      <c r="L550" s="24">
        <v>5.1799998283386204</v>
      </c>
    </row>
    <row r="551" spans="2:12" x14ac:dyDescent="0.25">
      <c r="B551" s="17">
        <v>45293</v>
      </c>
      <c r="C551" s="58">
        <v>71</v>
      </c>
      <c r="D551" s="24">
        <v>5.2129998207092196</v>
      </c>
      <c r="F551" s="17">
        <v>45293</v>
      </c>
      <c r="G551" s="58">
        <v>71</v>
      </c>
      <c r="H551" s="3">
        <v>71</v>
      </c>
      <c r="I551" s="3">
        <v>71</v>
      </c>
      <c r="J551" s="23">
        <v>5.2129998207092196</v>
      </c>
      <c r="K551" s="23">
        <v>5.2129998207092196</v>
      </c>
      <c r="L551" s="24">
        <v>5.2129998207092196</v>
      </c>
    </row>
    <row r="552" spans="2:12" x14ac:dyDescent="0.25">
      <c r="B552" s="17">
        <v>45294</v>
      </c>
      <c r="C552" s="58">
        <v>70</v>
      </c>
      <c r="D552" s="24">
        <v>5.2350001335143999</v>
      </c>
      <c r="F552" s="17">
        <v>45294</v>
      </c>
      <c r="G552" s="58">
        <v>70</v>
      </c>
      <c r="H552" s="3">
        <v>70</v>
      </c>
      <c r="I552" s="3">
        <v>70</v>
      </c>
      <c r="J552" s="23">
        <v>5.2350001335143999</v>
      </c>
      <c r="K552" s="23">
        <v>5.2350001335143999</v>
      </c>
      <c r="L552" s="24">
        <v>5.2350001335143999</v>
      </c>
    </row>
    <row r="553" spans="2:12" ht="15.75" thickBot="1" x14ac:dyDescent="0.3">
      <c r="B553" s="18">
        <v>45295</v>
      </c>
      <c r="C553" s="58">
        <v>68</v>
      </c>
      <c r="D553" s="24">
        <v>5.2280001640319798</v>
      </c>
      <c r="F553" s="18">
        <v>45295</v>
      </c>
      <c r="G553" s="58">
        <v>68</v>
      </c>
      <c r="H553" s="3">
        <v>68</v>
      </c>
      <c r="I553" s="3">
        <v>68</v>
      </c>
      <c r="J553" s="23">
        <v>5.2280001640319798</v>
      </c>
      <c r="K553" s="23">
        <v>5.2280001640319798</v>
      </c>
      <c r="L553" s="24">
        <v>5.2280001640319798</v>
      </c>
    </row>
    <row r="554" spans="2:12" x14ac:dyDescent="0.25">
      <c r="B554" s="16">
        <v>45296</v>
      </c>
      <c r="C554" s="58">
        <v>72</v>
      </c>
      <c r="D554" s="24">
        <v>5.2199997901916504</v>
      </c>
      <c r="F554" s="16">
        <v>45296</v>
      </c>
      <c r="G554" s="58">
        <v>72</v>
      </c>
      <c r="H554" s="3">
        <v>72</v>
      </c>
      <c r="I554" s="3">
        <v>72</v>
      </c>
      <c r="J554" s="23">
        <v>5.2199997901916504</v>
      </c>
      <c r="K554" s="23">
        <v>5.2199997901916504</v>
      </c>
      <c r="L554" s="24">
        <v>5.2199997901916504</v>
      </c>
    </row>
    <row r="555" spans="2:12" x14ac:dyDescent="0.25">
      <c r="B555" s="17">
        <v>45297</v>
      </c>
      <c r="C555" s="58">
        <v>70</v>
      </c>
      <c r="D555" s="24">
        <v>5.2199997901916504</v>
      </c>
      <c r="F555" s="17">
        <v>45297</v>
      </c>
      <c r="G555" s="58">
        <v>70</v>
      </c>
      <c r="H555" s="3">
        <v>70</v>
      </c>
      <c r="I555" s="3">
        <v>70</v>
      </c>
      <c r="J555" s="23">
        <v>5.2199997901916504</v>
      </c>
      <c r="K555" s="23">
        <v>5.2199997901916504</v>
      </c>
      <c r="L555" s="24">
        <v>5.2199997901916504</v>
      </c>
    </row>
    <row r="556" spans="2:12" x14ac:dyDescent="0.25">
      <c r="B556" s="17">
        <v>45298</v>
      </c>
      <c r="C556" s="58">
        <v>71</v>
      </c>
      <c r="D556" s="24">
        <v>5.2199997901916504</v>
      </c>
      <c r="F556" s="17">
        <v>45298</v>
      </c>
      <c r="G556" s="58">
        <v>71</v>
      </c>
      <c r="H556" s="3">
        <v>71</v>
      </c>
      <c r="I556" s="3">
        <v>71</v>
      </c>
      <c r="J556" s="23">
        <v>5.2199997901916504</v>
      </c>
      <c r="K556" s="23">
        <v>5.2199997901916504</v>
      </c>
      <c r="L556" s="24">
        <v>5.2199997901916504</v>
      </c>
    </row>
    <row r="557" spans="2:12" x14ac:dyDescent="0.25">
      <c r="B557" s="17">
        <v>45299</v>
      </c>
      <c r="C557" s="58">
        <v>71</v>
      </c>
      <c r="D557" s="24">
        <v>5.2199997901916504</v>
      </c>
      <c r="F557" s="17">
        <v>45299</v>
      </c>
      <c r="G557" s="58">
        <v>71</v>
      </c>
      <c r="H557" s="3">
        <v>71</v>
      </c>
      <c r="I557" s="3">
        <v>71</v>
      </c>
      <c r="J557" s="23">
        <v>5.2199997901916504</v>
      </c>
      <c r="K557" s="23">
        <v>5.2199997901916504</v>
      </c>
      <c r="L557" s="24">
        <v>5.2199997901916504</v>
      </c>
    </row>
    <row r="558" spans="2:12" x14ac:dyDescent="0.25">
      <c r="B558" s="17">
        <v>45300</v>
      </c>
      <c r="C558" s="58">
        <v>76</v>
      </c>
      <c r="D558" s="24">
        <v>5.2300000190734801</v>
      </c>
      <c r="F558" s="17">
        <v>45300</v>
      </c>
      <c r="G558" s="58">
        <v>76</v>
      </c>
      <c r="H558" s="3">
        <v>76</v>
      </c>
      <c r="I558" s="3">
        <v>76</v>
      </c>
      <c r="J558" s="23">
        <v>5.2300000190734801</v>
      </c>
      <c r="K558" s="23">
        <v>5.2300000190734801</v>
      </c>
      <c r="L558" s="24">
        <v>5.2300000190734801</v>
      </c>
    </row>
    <row r="559" spans="2:12" x14ac:dyDescent="0.25">
      <c r="B559" s="17">
        <v>45301</v>
      </c>
      <c r="C559" s="58">
        <v>73</v>
      </c>
      <c r="D559" s="24">
        <v>5.2249999046325604</v>
      </c>
      <c r="F559" s="17">
        <v>45301</v>
      </c>
      <c r="G559" s="58">
        <v>73</v>
      </c>
      <c r="H559" s="3">
        <v>73</v>
      </c>
      <c r="I559" s="3">
        <v>73</v>
      </c>
      <c r="J559" s="23">
        <v>5.2249999046325604</v>
      </c>
      <c r="K559" s="23">
        <v>5.2249999046325604</v>
      </c>
      <c r="L559" s="24">
        <v>5.2249999046325604</v>
      </c>
    </row>
    <row r="560" spans="2:12" x14ac:dyDescent="0.25">
      <c r="B560" s="17">
        <v>45302</v>
      </c>
      <c r="C560" s="58">
        <v>76</v>
      </c>
      <c r="D560" s="24">
        <v>5.2179999351501403</v>
      </c>
      <c r="F560" s="17">
        <v>45302</v>
      </c>
      <c r="G560" s="58">
        <v>76</v>
      </c>
      <c r="H560" s="3">
        <v>76</v>
      </c>
      <c r="I560" s="3">
        <v>76</v>
      </c>
      <c r="J560" s="23">
        <v>5.2179999351501403</v>
      </c>
      <c r="K560" s="23">
        <v>5.2179999351501403</v>
      </c>
      <c r="L560" s="24">
        <v>5.2179999351501403</v>
      </c>
    </row>
    <row r="561" spans="2:12" x14ac:dyDescent="0.25">
      <c r="B561" s="17">
        <v>45303</v>
      </c>
      <c r="C561" s="58">
        <v>71</v>
      </c>
      <c r="D561" s="24">
        <v>5.1979999542236301</v>
      </c>
      <c r="F561" s="17">
        <v>45303</v>
      </c>
      <c r="G561" s="58">
        <v>71</v>
      </c>
      <c r="H561" s="3">
        <v>71</v>
      </c>
      <c r="I561" s="3">
        <v>71</v>
      </c>
      <c r="J561" s="23">
        <v>5.1979999542236301</v>
      </c>
      <c r="K561" s="23">
        <v>5.1979999542236301</v>
      </c>
      <c r="L561" s="24">
        <v>5.1979999542236301</v>
      </c>
    </row>
    <row r="562" spans="2:12" x14ac:dyDescent="0.25">
      <c r="B562" s="17">
        <v>45304</v>
      </c>
      <c r="C562" s="58">
        <v>64</v>
      </c>
      <c r="D562" s="24">
        <v>5.1979999542236301</v>
      </c>
      <c r="F562" s="17">
        <v>45304</v>
      </c>
      <c r="G562" s="58">
        <v>64</v>
      </c>
      <c r="H562" s="3">
        <v>64</v>
      </c>
      <c r="I562" s="3">
        <v>64</v>
      </c>
      <c r="J562" s="23">
        <v>5.1979999542236301</v>
      </c>
      <c r="K562" s="23">
        <v>5.1979999542236301</v>
      </c>
      <c r="L562" s="24">
        <v>5.1979999542236301</v>
      </c>
    </row>
    <row r="563" spans="2:12" x14ac:dyDescent="0.25">
      <c r="B563" s="17">
        <v>45305</v>
      </c>
      <c r="C563" s="58">
        <v>60</v>
      </c>
      <c r="D563" s="24">
        <v>5.1979999542236301</v>
      </c>
      <c r="F563" s="17">
        <v>45305</v>
      </c>
      <c r="G563" s="58">
        <v>60</v>
      </c>
      <c r="H563" s="3">
        <v>60</v>
      </c>
      <c r="I563" s="3">
        <v>60</v>
      </c>
      <c r="J563" s="23">
        <v>5.1979999542236301</v>
      </c>
      <c r="K563" s="23">
        <v>5.1979999542236301</v>
      </c>
      <c r="L563" s="24">
        <v>5.1979999542236301</v>
      </c>
    </row>
    <row r="564" spans="2:12" x14ac:dyDescent="0.25">
      <c r="B564" s="17">
        <v>45306</v>
      </c>
      <c r="C564" s="58">
        <v>52</v>
      </c>
      <c r="D564" s="24">
        <v>5.1979999542236301</v>
      </c>
      <c r="F564" s="17">
        <v>45306</v>
      </c>
      <c r="G564" s="58">
        <v>52</v>
      </c>
      <c r="H564" s="3">
        <v>52</v>
      </c>
      <c r="I564" s="3">
        <v>52</v>
      </c>
      <c r="J564" s="23">
        <v>5.1979999542236301</v>
      </c>
      <c r="K564" s="23">
        <v>5.1979999542236301</v>
      </c>
      <c r="L564" s="24">
        <v>5.1979999542236301</v>
      </c>
    </row>
    <row r="565" spans="2:12" x14ac:dyDescent="0.25">
      <c r="B565" s="17">
        <v>45307</v>
      </c>
      <c r="C565" s="58">
        <v>64</v>
      </c>
      <c r="D565" s="24">
        <v>5.2030000686645499</v>
      </c>
      <c r="F565" s="17">
        <v>45307</v>
      </c>
      <c r="G565" s="58">
        <v>64</v>
      </c>
      <c r="H565" s="3">
        <v>64</v>
      </c>
      <c r="I565" s="3">
        <v>64</v>
      </c>
      <c r="J565" s="23">
        <v>5.2030000686645499</v>
      </c>
      <c r="K565" s="23">
        <v>5.2030000686645499</v>
      </c>
      <c r="L565" s="24">
        <v>5.2030000686645499</v>
      </c>
    </row>
    <row r="566" spans="2:12" x14ac:dyDescent="0.25">
      <c r="B566" s="17">
        <v>45308</v>
      </c>
      <c r="C566" s="58">
        <v>60</v>
      </c>
      <c r="D566" s="24">
        <v>5.2150001525878897</v>
      </c>
      <c r="F566" s="17">
        <v>45308</v>
      </c>
      <c r="G566" s="58">
        <v>60</v>
      </c>
      <c r="H566" s="3">
        <v>60</v>
      </c>
      <c r="I566" s="3">
        <v>60</v>
      </c>
      <c r="J566" s="23">
        <v>5.2150001525878897</v>
      </c>
      <c r="K566" s="23">
        <v>5.2150001525878897</v>
      </c>
      <c r="L566" s="24">
        <v>5.2150001525878897</v>
      </c>
    </row>
    <row r="567" spans="2:12" x14ac:dyDescent="0.25">
      <c r="B567" s="17">
        <v>45309</v>
      </c>
      <c r="C567" s="58">
        <v>63</v>
      </c>
      <c r="D567" s="24">
        <v>5.1999998092651296</v>
      </c>
      <c r="F567" s="17">
        <v>45309</v>
      </c>
      <c r="G567" s="58">
        <v>63</v>
      </c>
      <c r="H567" s="3">
        <v>63</v>
      </c>
      <c r="I567" s="3">
        <v>63</v>
      </c>
      <c r="J567" s="23">
        <v>5.1999998092651296</v>
      </c>
      <c r="K567" s="23">
        <v>5.1999998092651296</v>
      </c>
      <c r="L567" s="24">
        <v>5.1999998092651296</v>
      </c>
    </row>
    <row r="568" spans="2:12" x14ac:dyDescent="0.25">
      <c r="B568" s="17">
        <v>45310</v>
      </c>
      <c r="C568" s="58">
        <v>51</v>
      </c>
      <c r="D568" s="24">
        <v>5.1979999542236301</v>
      </c>
      <c r="F568" s="17">
        <v>45310</v>
      </c>
      <c r="G568" s="58">
        <v>51</v>
      </c>
      <c r="H568" s="3">
        <v>51</v>
      </c>
      <c r="I568" s="3">
        <v>51</v>
      </c>
      <c r="J568" s="23">
        <v>5.1979999542236301</v>
      </c>
      <c r="K568" s="23">
        <v>5.1979999542236301</v>
      </c>
      <c r="L568" s="24">
        <v>5.1979999542236301</v>
      </c>
    </row>
    <row r="569" spans="2:12" x14ac:dyDescent="0.25">
      <c r="B569" s="17">
        <v>45311</v>
      </c>
      <c r="C569" s="58">
        <v>52</v>
      </c>
      <c r="D569" s="24">
        <v>5.1979999542236301</v>
      </c>
      <c r="F569" s="17">
        <v>45311</v>
      </c>
      <c r="G569" s="58">
        <v>52</v>
      </c>
      <c r="H569" s="3">
        <v>52</v>
      </c>
      <c r="I569" s="3">
        <v>52</v>
      </c>
      <c r="J569" s="23">
        <v>5.1979999542236301</v>
      </c>
      <c r="K569" s="23">
        <v>5.1979999542236301</v>
      </c>
      <c r="L569" s="24">
        <v>5.1979999542236301</v>
      </c>
    </row>
    <row r="570" spans="2:12" x14ac:dyDescent="0.25">
      <c r="B570" s="17">
        <v>45312</v>
      </c>
      <c r="C570" s="58">
        <v>56</v>
      </c>
      <c r="D570" s="24">
        <v>5.1979999542236301</v>
      </c>
      <c r="F570" s="17">
        <v>45312</v>
      </c>
      <c r="G570" s="58">
        <v>56</v>
      </c>
      <c r="H570" s="3">
        <v>56</v>
      </c>
      <c r="I570" s="3">
        <v>56</v>
      </c>
      <c r="J570" s="23">
        <v>5.1979999542236301</v>
      </c>
      <c r="K570" s="23">
        <v>5.1979999542236301</v>
      </c>
      <c r="L570" s="24">
        <v>5.1979999542236301</v>
      </c>
    </row>
    <row r="571" spans="2:12" x14ac:dyDescent="0.25">
      <c r="B571" s="17">
        <v>45313</v>
      </c>
      <c r="C571" s="58">
        <v>55</v>
      </c>
      <c r="D571" s="24">
        <v>5.1999998092651296</v>
      </c>
      <c r="F571" s="17">
        <v>45313</v>
      </c>
      <c r="G571" s="58">
        <v>55</v>
      </c>
      <c r="H571" s="3">
        <v>55</v>
      </c>
      <c r="I571" s="3">
        <v>55</v>
      </c>
      <c r="J571" s="23">
        <v>5.1999998092651296</v>
      </c>
      <c r="K571" s="23">
        <v>5.1999998092651296</v>
      </c>
      <c r="L571" s="24">
        <v>5.1999998092651296</v>
      </c>
    </row>
    <row r="572" spans="2:12" x14ac:dyDescent="0.25">
      <c r="B572" s="17">
        <v>45314</v>
      </c>
      <c r="C572" s="58">
        <v>50</v>
      </c>
      <c r="D572" s="24">
        <v>5.21000003814697</v>
      </c>
      <c r="F572" s="17">
        <v>45314</v>
      </c>
      <c r="G572" s="58">
        <v>50</v>
      </c>
      <c r="H572" s="3">
        <v>50</v>
      </c>
      <c r="I572" s="3">
        <v>50</v>
      </c>
      <c r="J572" s="23">
        <v>5.21000003814697</v>
      </c>
      <c r="K572" s="23">
        <v>5.21000003814697</v>
      </c>
      <c r="L572" s="24">
        <v>5.21000003814697</v>
      </c>
    </row>
    <row r="573" spans="2:12" x14ac:dyDescent="0.25">
      <c r="B573" s="17">
        <v>45315</v>
      </c>
      <c r="C573" s="58">
        <v>48</v>
      </c>
      <c r="D573" s="24">
        <v>5.21000003814697</v>
      </c>
      <c r="F573" s="17">
        <v>45315</v>
      </c>
      <c r="G573" s="58">
        <v>48</v>
      </c>
      <c r="H573" s="3">
        <v>48</v>
      </c>
      <c r="I573" s="3">
        <v>48</v>
      </c>
      <c r="J573" s="23">
        <v>5.21000003814697</v>
      </c>
      <c r="K573" s="23">
        <v>5.21000003814697</v>
      </c>
      <c r="L573" s="24">
        <v>5.21000003814697</v>
      </c>
    </row>
    <row r="574" spans="2:12" x14ac:dyDescent="0.25">
      <c r="B574" s="17">
        <v>45316</v>
      </c>
      <c r="C574" s="58">
        <v>52</v>
      </c>
      <c r="D574" s="24">
        <v>5.1950001716613698</v>
      </c>
      <c r="F574" s="17">
        <v>45316</v>
      </c>
      <c r="G574" s="58">
        <v>52</v>
      </c>
      <c r="H574" s="3">
        <v>52</v>
      </c>
      <c r="I574" s="3">
        <v>52</v>
      </c>
      <c r="J574" s="23">
        <v>5.1950001716613698</v>
      </c>
      <c r="K574" s="23">
        <v>5.1950001716613698</v>
      </c>
      <c r="L574" s="24">
        <v>5.1950001716613698</v>
      </c>
    </row>
    <row r="575" spans="2:12" x14ac:dyDescent="0.25">
      <c r="B575" s="17">
        <v>45317</v>
      </c>
      <c r="C575" s="58">
        <v>49</v>
      </c>
      <c r="D575" s="24">
        <v>5.1999998092651296</v>
      </c>
      <c r="F575" s="17">
        <v>45317</v>
      </c>
      <c r="G575" s="58">
        <v>49</v>
      </c>
      <c r="H575" s="3">
        <v>49</v>
      </c>
      <c r="I575" s="3">
        <v>49</v>
      </c>
      <c r="J575" s="23">
        <v>5.1999998092651296</v>
      </c>
      <c r="K575" s="23">
        <v>5.1999998092651296</v>
      </c>
      <c r="L575" s="24">
        <v>5.1999998092651296</v>
      </c>
    </row>
    <row r="576" spans="2:12" x14ac:dyDescent="0.25">
      <c r="B576" s="17">
        <v>45318</v>
      </c>
      <c r="C576" s="58">
        <v>55</v>
      </c>
      <c r="D576" s="24">
        <v>5.1999998092651296</v>
      </c>
      <c r="F576" s="17">
        <v>45318</v>
      </c>
      <c r="G576" s="58">
        <v>55</v>
      </c>
      <c r="H576" s="3">
        <v>55</v>
      </c>
      <c r="I576" s="3">
        <v>55</v>
      </c>
      <c r="J576" s="23">
        <v>5.1999998092651296</v>
      </c>
      <c r="K576" s="23">
        <v>5.1999998092651296</v>
      </c>
      <c r="L576" s="24">
        <v>5.1999998092651296</v>
      </c>
    </row>
    <row r="577" spans="2:12" x14ac:dyDescent="0.25">
      <c r="B577" s="17">
        <v>45319</v>
      </c>
      <c r="C577" s="58">
        <v>54</v>
      </c>
      <c r="D577" s="24">
        <v>5.1999998092651296</v>
      </c>
      <c r="F577" s="17">
        <v>45319</v>
      </c>
      <c r="G577" s="58">
        <v>54</v>
      </c>
      <c r="H577" s="3">
        <v>54</v>
      </c>
      <c r="I577" s="3">
        <v>54</v>
      </c>
      <c r="J577" s="23">
        <v>5.1999998092651296</v>
      </c>
      <c r="K577" s="23">
        <v>5.1999998092651296</v>
      </c>
      <c r="L577" s="24">
        <v>5.1999998092651296</v>
      </c>
    </row>
    <row r="578" spans="2:12" x14ac:dyDescent="0.25">
      <c r="B578" s="17">
        <v>45320</v>
      </c>
      <c r="C578" s="58">
        <v>55</v>
      </c>
      <c r="D578" s="24">
        <v>5.1999998092651296</v>
      </c>
      <c r="F578" s="17">
        <v>45320</v>
      </c>
      <c r="G578" s="58">
        <v>55</v>
      </c>
      <c r="H578" s="3">
        <v>55</v>
      </c>
      <c r="I578" s="3">
        <v>55</v>
      </c>
      <c r="J578" s="23">
        <v>5.1999998092651296</v>
      </c>
      <c r="K578" s="23">
        <v>5.1999998092651296</v>
      </c>
      <c r="L578" s="24">
        <v>5.1999998092651296</v>
      </c>
    </row>
    <row r="579" spans="2:12" x14ac:dyDescent="0.25">
      <c r="B579" s="17">
        <v>45321</v>
      </c>
      <c r="C579" s="58">
        <v>61</v>
      </c>
      <c r="D579" s="24">
        <v>5.2030000686645499</v>
      </c>
      <c r="F579" s="17">
        <v>45321</v>
      </c>
      <c r="G579" s="58">
        <v>61</v>
      </c>
      <c r="H579" s="3">
        <v>61</v>
      </c>
      <c r="I579" s="3">
        <v>61</v>
      </c>
      <c r="J579" s="23">
        <v>5.2030000686645499</v>
      </c>
      <c r="K579" s="23">
        <v>5.2030000686645499</v>
      </c>
      <c r="L579" s="24">
        <v>5.2030000686645499</v>
      </c>
    </row>
    <row r="580" spans="2:12" x14ac:dyDescent="0.25">
      <c r="B580" s="17">
        <v>45322</v>
      </c>
      <c r="C580" s="58">
        <v>60</v>
      </c>
      <c r="D580" s="24">
        <v>5.1880002021789497</v>
      </c>
      <c r="F580" s="17">
        <v>45322</v>
      </c>
      <c r="G580" s="58">
        <v>60</v>
      </c>
      <c r="H580" s="3">
        <v>60</v>
      </c>
      <c r="I580" s="3">
        <v>60</v>
      </c>
      <c r="J580" s="23">
        <v>5.1880002021789497</v>
      </c>
      <c r="K580" s="23">
        <v>5.1880002021789497</v>
      </c>
      <c r="L580" s="24">
        <v>5.1880002021789497</v>
      </c>
    </row>
    <row r="581" spans="2:12" x14ac:dyDescent="0.25">
      <c r="B581" s="17">
        <v>45323</v>
      </c>
      <c r="C581" s="58">
        <v>63</v>
      </c>
      <c r="D581" s="24">
        <v>5.1999998092651296</v>
      </c>
      <c r="F581" s="17">
        <v>45323</v>
      </c>
      <c r="G581" s="58">
        <v>63</v>
      </c>
      <c r="H581" s="3">
        <v>63</v>
      </c>
      <c r="I581" s="3">
        <v>63</v>
      </c>
      <c r="J581" s="23">
        <v>5.1999998092651296</v>
      </c>
      <c r="K581" s="23">
        <v>5.1999998092651296</v>
      </c>
      <c r="L581" s="24">
        <v>5.1999998092651296</v>
      </c>
    </row>
    <row r="582" spans="2:12" x14ac:dyDescent="0.25">
      <c r="B582" s="17">
        <v>45324</v>
      </c>
      <c r="C582" s="58">
        <v>63</v>
      </c>
      <c r="D582" s="24">
        <v>5.21000003814697</v>
      </c>
      <c r="F582" s="17">
        <v>45324</v>
      </c>
      <c r="G582" s="58">
        <v>63</v>
      </c>
      <c r="H582" s="3">
        <v>63</v>
      </c>
      <c r="I582" s="3">
        <v>63</v>
      </c>
      <c r="J582" s="23">
        <v>5.21000003814697</v>
      </c>
      <c r="K582" s="23">
        <v>5.21000003814697</v>
      </c>
      <c r="L582" s="24">
        <v>5.21000003814697</v>
      </c>
    </row>
    <row r="583" spans="2:12" x14ac:dyDescent="0.25">
      <c r="B583" s="17">
        <v>45325</v>
      </c>
      <c r="C583" s="58">
        <v>60</v>
      </c>
      <c r="D583" s="24">
        <v>5.21000003814697</v>
      </c>
      <c r="F583" s="17">
        <v>45325</v>
      </c>
      <c r="G583" s="58">
        <v>60</v>
      </c>
      <c r="H583" s="3">
        <v>60</v>
      </c>
      <c r="I583" s="3">
        <v>60</v>
      </c>
      <c r="J583" s="23">
        <v>5.21000003814697</v>
      </c>
      <c r="K583" s="23">
        <v>5.21000003814697</v>
      </c>
      <c r="L583" s="24">
        <v>5.21000003814697</v>
      </c>
    </row>
    <row r="584" spans="2:12" x14ac:dyDescent="0.25">
      <c r="B584" s="17">
        <v>45326</v>
      </c>
      <c r="C584" s="58">
        <v>60</v>
      </c>
      <c r="D584" s="24">
        <v>5.21000003814697</v>
      </c>
      <c r="F584" s="17">
        <v>45326</v>
      </c>
      <c r="G584" s="58">
        <v>60</v>
      </c>
      <c r="H584" s="3">
        <v>60</v>
      </c>
      <c r="I584" s="3">
        <v>60</v>
      </c>
      <c r="J584" s="23">
        <v>5.21000003814697</v>
      </c>
      <c r="K584" s="23">
        <v>5.21000003814697</v>
      </c>
      <c r="L584" s="24">
        <v>5.21000003814697</v>
      </c>
    </row>
    <row r="585" spans="2:12" x14ac:dyDescent="0.25">
      <c r="B585" s="17">
        <v>45327</v>
      </c>
      <c r="C585" s="58">
        <v>60</v>
      </c>
      <c r="D585" s="24">
        <v>5.2280001640319798</v>
      </c>
      <c r="F585" s="17">
        <v>45327</v>
      </c>
      <c r="G585" s="58">
        <v>60</v>
      </c>
      <c r="H585" s="3">
        <v>60</v>
      </c>
      <c r="I585" s="3">
        <v>60</v>
      </c>
      <c r="J585" s="23">
        <v>5.2280001640319798</v>
      </c>
      <c r="K585" s="23">
        <v>5.2280001640319798</v>
      </c>
      <c r="L585" s="24">
        <v>5.2280001640319798</v>
      </c>
    </row>
    <row r="586" spans="2:12" x14ac:dyDescent="0.25">
      <c r="B586" s="17">
        <v>45328</v>
      </c>
      <c r="C586" s="58">
        <v>64</v>
      </c>
      <c r="D586" s="24">
        <v>5.22300004959106</v>
      </c>
      <c r="F586" s="17">
        <v>45328</v>
      </c>
      <c r="G586" s="58">
        <v>64</v>
      </c>
      <c r="H586" s="3">
        <v>64</v>
      </c>
      <c r="I586" s="3">
        <v>64</v>
      </c>
      <c r="J586" s="23">
        <v>5.22300004959106</v>
      </c>
      <c r="K586" s="23">
        <v>5.22300004959106</v>
      </c>
      <c r="L586" s="24">
        <v>5.22300004959106</v>
      </c>
    </row>
    <row r="587" spans="2:12" x14ac:dyDescent="0.25">
      <c r="B587" s="17">
        <v>45329</v>
      </c>
      <c r="C587" s="58">
        <v>62</v>
      </c>
      <c r="D587" s="24">
        <v>5.22300004959106</v>
      </c>
      <c r="F587" s="17">
        <v>45329</v>
      </c>
      <c r="G587" s="58">
        <v>62</v>
      </c>
      <c r="H587" s="3">
        <v>62</v>
      </c>
      <c r="I587" s="3">
        <v>62</v>
      </c>
      <c r="J587" s="23">
        <v>5.22300004959106</v>
      </c>
      <c r="K587" s="23">
        <v>5.22300004959106</v>
      </c>
      <c r="L587" s="24">
        <v>5.22300004959106</v>
      </c>
    </row>
    <row r="588" spans="2:12" x14ac:dyDescent="0.25">
      <c r="B588" s="17">
        <v>45330</v>
      </c>
      <c r="C588" s="58">
        <v>66</v>
      </c>
      <c r="D588" s="24">
        <v>5.2179999351501403</v>
      </c>
      <c r="F588" s="17">
        <v>45330</v>
      </c>
      <c r="G588" s="58">
        <v>66</v>
      </c>
      <c r="H588" s="3">
        <v>66</v>
      </c>
      <c r="I588" s="3">
        <v>66</v>
      </c>
      <c r="J588" s="23">
        <v>5.2179999351501403</v>
      </c>
      <c r="K588" s="23">
        <v>5.2179999351501403</v>
      </c>
      <c r="L588" s="24">
        <v>5.2179999351501403</v>
      </c>
    </row>
    <row r="589" spans="2:12" x14ac:dyDescent="0.25">
      <c r="B589" s="17">
        <v>45331</v>
      </c>
      <c r="C589" s="58">
        <v>72</v>
      </c>
      <c r="D589" s="24">
        <v>5.2199997901916504</v>
      </c>
      <c r="F589" s="17">
        <v>45331</v>
      </c>
      <c r="G589" s="58">
        <v>72</v>
      </c>
      <c r="H589" s="3">
        <v>72</v>
      </c>
      <c r="I589" s="3">
        <v>72</v>
      </c>
      <c r="J589" s="23">
        <v>5.2199997901916504</v>
      </c>
      <c r="K589" s="23">
        <v>5.2199997901916504</v>
      </c>
      <c r="L589" s="24">
        <v>5.2199997901916504</v>
      </c>
    </row>
    <row r="590" spans="2:12" x14ac:dyDescent="0.25">
      <c r="B590" s="17">
        <v>45332</v>
      </c>
      <c r="C590" s="58">
        <v>74</v>
      </c>
      <c r="D590" s="24">
        <v>5.2199997901916504</v>
      </c>
      <c r="F590" s="17">
        <v>45332</v>
      </c>
      <c r="G590" s="58">
        <v>74</v>
      </c>
      <c r="H590" s="3">
        <v>74</v>
      </c>
      <c r="I590" s="3">
        <v>74</v>
      </c>
      <c r="J590" s="23">
        <v>5.2199997901916504</v>
      </c>
      <c r="K590" s="23">
        <v>5.2199997901916504</v>
      </c>
      <c r="L590" s="24">
        <v>5.2199997901916504</v>
      </c>
    </row>
    <row r="591" spans="2:12" x14ac:dyDescent="0.25">
      <c r="B591" s="17">
        <v>45333</v>
      </c>
      <c r="C591" s="58">
        <v>71</v>
      </c>
      <c r="D591" s="24">
        <v>5.2199997901916504</v>
      </c>
      <c r="F591" s="17">
        <v>45333</v>
      </c>
      <c r="G591" s="58">
        <v>71</v>
      </c>
      <c r="H591" s="3">
        <v>71</v>
      </c>
      <c r="I591" s="3">
        <v>71</v>
      </c>
      <c r="J591" s="23">
        <v>5.2199997901916504</v>
      </c>
      <c r="K591" s="23">
        <v>5.2199997901916504</v>
      </c>
      <c r="L591" s="24">
        <v>5.2199997901916504</v>
      </c>
    </row>
    <row r="592" spans="2:12" x14ac:dyDescent="0.25">
      <c r="B592" s="17">
        <v>45334</v>
      </c>
      <c r="C592" s="58">
        <v>70</v>
      </c>
      <c r="D592" s="24">
        <v>5.2280001640319798</v>
      </c>
      <c r="F592" s="17">
        <v>45334</v>
      </c>
      <c r="G592" s="58">
        <v>70</v>
      </c>
      <c r="H592" s="3">
        <v>70</v>
      </c>
      <c r="I592" s="3">
        <v>70</v>
      </c>
      <c r="J592" s="23">
        <v>5.2280001640319798</v>
      </c>
      <c r="K592" s="23">
        <v>5.2280001640319798</v>
      </c>
      <c r="L592" s="24">
        <v>5.2280001640319798</v>
      </c>
    </row>
    <row r="593" spans="2:12" x14ac:dyDescent="0.25">
      <c r="B593" s="17">
        <v>45335</v>
      </c>
      <c r="C593" s="58">
        <v>79</v>
      </c>
      <c r="D593" s="24">
        <v>5.2329998016357404</v>
      </c>
      <c r="F593" s="17">
        <v>45335</v>
      </c>
      <c r="G593" s="58">
        <v>79</v>
      </c>
      <c r="H593" s="3">
        <v>79</v>
      </c>
      <c r="I593" s="3">
        <v>79</v>
      </c>
      <c r="J593" s="23">
        <v>5.2329998016357404</v>
      </c>
      <c r="K593" s="23">
        <v>5.2329998016357404</v>
      </c>
      <c r="L593" s="24">
        <v>5.2329998016357404</v>
      </c>
    </row>
    <row r="594" spans="2:12" x14ac:dyDescent="0.25">
      <c r="B594" s="17">
        <v>45336</v>
      </c>
      <c r="C594" s="58">
        <v>74</v>
      </c>
      <c r="D594" s="24">
        <v>5.2179999351501403</v>
      </c>
      <c r="F594" s="17">
        <v>45336</v>
      </c>
      <c r="G594" s="58">
        <v>74</v>
      </c>
      <c r="H594" s="3">
        <v>74</v>
      </c>
      <c r="I594" s="3">
        <v>74</v>
      </c>
      <c r="J594" s="23">
        <v>5.2179999351501403</v>
      </c>
      <c r="K594" s="23">
        <v>5.2179999351501403</v>
      </c>
      <c r="L594" s="24">
        <v>5.2179999351501403</v>
      </c>
    </row>
    <row r="595" spans="2:12" x14ac:dyDescent="0.25">
      <c r="B595" s="17">
        <v>45337</v>
      </c>
      <c r="C595" s="58">
        <v>72</v>
      </c>
      <c r="D595" s="24">
        <v>5.2179999351501403</v>
      </c>
      <c r="F595" s="17">
        <v>45337</v>
      </c>
      <c r="G595" s="58">
        <v>72</v>
      </c>
      <c r="H595" s="3">
        <v>72</v>
      </c>
      <c r="I595" s="3">
        <v>72</v>
      </c>
      <c r="J595" s="23">
        <v>5.2179999351501403</v>
      </c>
      <c r="K595" s="23">
        <v>5.2179999351501403</v>
      </c>
      <c r="L595" s="24">
        <v>5.2179999351501403</v>
      </c>
    </row>
    <row r="596" spans="2:12" x14ac:dyDescent="0.25">
      <c r="B596" s="17">
        <v>45338</v>
      </c>
      <c r="C596" s="58">
        <v>72</v>
      </c>
      <c r="D596" s="24">
        <v>5.22300004959106</v>
      </c>
      <c r="F596" s="17">
        <v>45338</v>
      </c>
      <c r="G596" s="58">
        <v>72</v>
      </c>
      <c r="H596" s="3">
        <v>72</v>
      </c>
      <c r="I596" s="3">
        <v>72</v>
      </c>
      <c r="J596" s="23">
        <v>5.22300004959106</v>
      </c>
      <c r="K596" s="23">
        <v>5.22300004959106</v>
      </c>
      <c r="L596" s="24">
        <v>5.22300004959106</v>
      </c>
    </row>
    <row r="597" spans="2:12" x14ac:dyDescent="0.25">
      <c r="B597" s="17">
        <v>45339</v>
      </c>
      <c r="C597" s="58">
        <v>76</v>
      </c>
      <c r="D597" s="24">
        <v>5.22300004959106</v>
      </c>
      <c r="F597" s="17">
        <v>45339</v>
      </c>
      <c r="G597" s="58">
        <v>76</v>
      </c>
      <c r="H597" s="3">
        <v>76</v>
      </c>
      <c r="I597" s="3">
        <v>76</v>
      </c>
      <c r="J597" s="23">
        <v>5.22300004959106</v>
      </c>
      <c r="K597" s="23">
        <v>5.22300004959106</v>
      </c>
      <c r="L597" s="24">
        <v>5.22300004959106</v>
      </c>
    </row>
    <row r="598" spans="2:12" x14ac:dyDescent="0.25">
      <c r="B598" s="17">
        <v>45340</v>
      </c>
      <c r="C598" s="58">
        <v>72</v>
      </c>
      <c r="D598" s="24">
        <v>5.22300004959106</v>
      </c>
      <c r="F598" s="17">
        <v>45340</v>
      </c>
      <c r="G598" s="58">
        <v>72</v>
      </c>
      <c r="H598" s="3">
        <v>72</v>
      </c>
      <c r="I598" s="3">
        <v>72</v>
      </c>
      <c r="J598" s="23">
        <v>5.22300004959106</v>
      </c>
      <c r="K598" s="23">
        <v>5.22300004959106</v>
      </c>
      <c r="L598" s="24">
        <v>5.22300004959106</v>
      </c>
    </row>
    <row r="599" spans="2:12" x14ac:dyDescent="0.25">
      <c r="B599" s="17">
        <v>45341</v>
      </c>
      <c r="C599" s="58">
        <v>75</v>
      </c>
      <c r="D599" s="24">
        <v>5.22300004959106</v>
      </c>
      <c r="F599" s="17">
        <v>45341</v>
      </c>
      <c r="G599" s="58">
        <v>75</v>
      </c>
      <c r="H599" s="3">
        <v>75</v>
      </c>
      <c r="I599" s="3">
        <v>75</v>
      </c>
      <c r="J599" s="23">
        <v>5.22300004959106</v>
      </c>
      <c r="K599" s="23">
        <v>5.22300004959106</v>
      </c>
      <c r="L599" s="24">
        <v>5.22300004959106</v>
      </c>
    </row>
    <row r="600" spans="2:12" x14ac:dyDescent="0.25">
      <c r="B600" s="17">
        <v>45342</v>
      </c>
      <c r="C600" s="58">
        <v>72</v>
      </c>
      <c r="D600" s="24">
        <v>5.2129998207092196</v>
      </c>
      <c r="F600" s="17">
        <v>45342</v>
      </c>
      <c r="G600" s="58">
        <v>72</v>
      </c>
      <c r="H600" s="3">
        <v>72</v>
      </c>
      <c r="I600" s="3">
        <v>72</v>
      </c>
      <c r="J600" s="23">
        <v>5.2129998207092196</v>
      </c>
      <c r="K600" s="23">
        <v>5.2129998207092196</v>
      </c>
      <c r="L600" s="24">
        <v>5.2129998207092196</v>
      </c>
    </row>
    <row r="601" spans="2:12" x14ac:dyDescent="0.25">
      <c r="B601" s="17">
        <v>45343</v>
      </c>
      <c r="C601" s="58">
        <v>78</v>
      </c>
      <c r="D601" s="24">
        <v>5.2350001335143999</v>
      </c>
      <c r="F601" s="17">
        <v>45343</v>
      </c>
      <c r="G601" s="58">
        <v>78</v>
      </c>
      <c r="H601" s="3">
        <v>78</v>
      </c>
      <c r="I601" s="3">
        <v>78</v>
      </c>
      <c r="J601" s="23">
        <v>5.2350001335143999</v>
      </c>
      <c r="K601" s="23">
        <v>5.2350001335143999</v>
      </c>
      <c r="L601" s="24">
        <v>5.2350001335143999</v>
      </c>
    </row>
    <row r="602" spans="2:12" x14ac:dyDescent="0.25">
      <c r="B602" s="17">
        <v>45344</v>
      </c>
      <c r="C602" s="58">
        <v>74</v>
      </c>
      <c r="D602" s="24">
        <v>5.2329998016357404</v>
      </c>
      <c r="F602" s="17">
        <v>45344</v>
      </c>
      <c r="G602" s="58">
        <v>74</v>
      </c>
      <c r="H602" s="3">
        <v>74</v>
      </c>
      <c r="I602" s="3">
        <v>74</v>
      </c>
      <c r="J602" s="23">
        <v>5.2329998016357404</v>
      </c>
      <c r="K602" s="23">
        <v>5.2329998016357404</v>
      </c>
      <c r="L602" s="24">
        <v>5.2329998016357404</v>
      </c>
    </row>
    <row r="603" spans="2:12" ht="15.75" thickBot="1" x14ac:dyDescent="0.3">
      <c r="B603" s="18">
        <v>45345</v>
      </c>
      <c r="C603" s="58">
        <v>76</v>
      </c>
      <c r="D603" s="24">
        <v>5.2399997711181596</v>
      </c>
      <c r="F603" s="18">
        <v>45345</v>
      </c>
      <c r="G603" s="58">
        <v>76</v>
      </c>
      <c r="H603" s="3">
        <v>76</v>
      </c>
      <c r="I603" s="3">
        <v>76</v>
      </c>
      <c r="J603" s="23">
        <v>5.2399997711181596</v>
      </c>
      <c r="K603" s="23">
        <v>5.2399997711181596</v>
      </c>
      <c r="L603" s="24">
        <v>5.2399997711181596</v>
      </c>
    </row>
    <row r="604" spans="2:12" x14ac:dyDescent="0.25">
      <c r="B604" s="16">
        <v>45346</v>
      </c>
      <c r="C604" s="58">
        <v>72</v>
      </c>
      <c r="D604" s="24">
        <v>5.2399997711181596</v>
      </c>
      <c r="F604" s="16">
        <v>45346</v>
      </c>
      <c r="G604" s="58">
        <v>72</v>
      </c>
      <c r="H604" s="3">
        <v>72</v>
      </c>
      <c r="I604" s="3">
        <v>72</v>
      </c>
      <c r="J604" s="23">
        <v>5.2399997711181596</v>
      </c>
      <c r="K604" s="23">
        <v>5.2399997711181596</v>
      </c>
      <c r="L604" s="24">
        <v>5.2399997711181596</v>
      </c>
    </row>
    <row r="605" spans="2:12" x14ac:dyDescent="0.25">
      <c r="B605" s="17">
        <v>45347</v>
      </c>
      <c r="C605" s="58">
        <v>74</v>
      </c>
      <c r="D605" s="24">
        <v>5.2399997711181596</v>
      </c>
      <c r="F605" s="17">
        <v>45347</v>
      </c>
      <c r="G605" s="58">
        <v>74</v>
      </c>
      <c r="H605" s="3">
        <v>74</v>
      </c>
      <c r="I605" s="3">
        <v>74</v>
      </c>
      <c r="J605" s="23">
        <v>5.2399997711181596</v>
      </c>
      <c r="K605" s="23">
        <v>5.2399997711181596</v>
      </c>
      <c r="L605" s="24">
        <v>5.2399997711181596</v>
      </c>
    </row>
    <row r="606" spans="2:12" x14ac:dyDescent="0.25">
      <c r="B606" s="17">
        <v>45348</v>
      </c>
      <c r="C606" s="58">
        <v>72</v>
      </c>
      <c r="D606" s="24">
        <v>5.25</v>
      </c>
      <c r="F606" s="17">
        <v>45348</v>
      </c>
      <c r="G606" s="58">
        <v>72</v>
      </c>
      <c r="H606" s="3">
        <v>72</v>
      </c>
      <c r="I606" s="3">
        <v>72</v>
      </c>
      <c r="J606" s="23">
        <v>5.25</v>
      </c>
      <c r="K606" s="23">
        <v>5.25</v>
      </c>
      <c r="L606" s="24">
        <v>5.25</v>
      </c>
    </row>
    <row r="607" spans="2:12" x14ac:dyDescent="0.25">
      <c r="B607" s="17">
        <v>45349</v>
      </c>
      <c r="C607" s="58">
        <v>79</v>
      </c>
      <c r="D607" s="24">
        <v>5.2449998855590803</v>
      </c>
      <c r="F607" s="17">
        <v>45349</v>
      </c>
      <c r="G607" s="58">
        <v>79</v>
      </c>
      <c r="H607" s="3">
        <v>79</v>
      </c>
      <c r="I607" s="3">
        <v>79</v>
      </c>
      <c r="J607" s="23">
        <v>5.2449998855590803</v>
      </c>
      <c r="K607" s="23">
        <v>5.2449998855590803</v>
      </c>
      <c r="L607" s="24">
        <v>5.2449998855590803</v>
      </c>
    </row>
    <row r="608" spans="2:12" x14ac:dyDescent="0.25">
      <c r="B608" s="17">
        <v>45350</v>
      </c>
      <c r="C608" s="58">
        <v>82</v>
      </c>
      <c r="D608" s="24">
        <v>5.2399997711181596</v>
      </c>
      <c r="F608" s="17">
        <v>45350</v>
      </c>
      <c r="G608" s="58">
        <v>82</v>
      </c>
      <c r="H608" s="3">
        <v>82</v>
      </c>
      <c r="I608" s="3">
        <v>82</v>
      </c>
      <c r="J608" s="23">
        <v>5.2399997711181596</v>
      </c>
      <c r="K608" s="23">
        <v>5.2399997711181596</v>
      </c>
      <c r="L608" s="24">
        <v>5.2399997711181596</v>
      </c>
    </row>
    <row r="609" spans="2:12" x14ac:dyDescent="0.25">
      <c r="B609" s="17">
        <v>45351</v>
      </c>
      <c r="C609" s="58">
        <v>80</v>
      </c>
      <c r="D609" s="24">
        <v>5.22300004959106</v>
      </c>
      <c r="F609" s="17">
        <v>45351</v>
      </c>
      <c r="G609" s="58">
        <v>80</v>
      </c>
      <c r="H609" s="3">
        <v>80</v>
      </c>
      <c r="I609" s="3">
        <v>80</v>
      </c>
      <c r="J609" s="23">
        <v>5.22300004959106</v>
      </c>
      <c r="K609" s="23">
        <v>5.22300004959106</v>
      </c>
      <c r="L609" s="24">
        <v>5.22300004959106</v>
      </c>
    </row>
    <row r="610" spans="2:12" x14ac:dyDescent="0.25">
      <c r="B610" s="17">
        <v>45352</v>
      </c>
      <c r="C610" s="58">
        <v>80</v>
      </c>
      <c r="D610" s="24">
        <v>5.2150001525878897</v>
      </c>
      <c r="F610" s="17">
        <v>45352</v>
      </c>
      <c r="G610" s="58">
        <v>80</v>
      </c>
      <c r="H610" s="3">
        <v>80</v>
      </c>
      <c r="I610" s="3">
        <v>80</v>
      </c>
      <c r="J610" s="23">
        <v>5.2150001525878897</v>
      </c>
      <c r="K610" s="23">
        <v>5.2150001525878897</v>
      </c>
      <c r="L610" s="24">
        <v>5.2150001525878897</v>
      </c>
    </row>
    <row r="611" spans="2:12" x14ac:dyDescent="0.25">
      <c r="B611" s="17">
        <v>45353</v>
      </c>
      <c r="C611" s="58">
        <v>80</v>
      </c>
      <c r="D611" s="24">
        <v>5.2150001525878897</v>
      </c>
      <c r="F611" s="17">
        <v>45353</v>
      </c>
      <c r="G611" s="58">
        <v>80</v>
      </c>
      <c r="H611" s="3">
        <v>80</v>
      </c>
      <c r="I611" s="3">
        <v>80</v>
      </c>
      <c r="J611" s="23">
        <v>5.2150001525878897</v>
      </c>
      <c r="K611" s="23">
        <v>5.2150001525878897</v>
      </c>
      <c r="L611" s="24">
        <v>5.2150001525878897</v>
      </c>
    </row>
    <row r="612" spans="2:12" x14ac:dyDescent="0.25">
      <c r="B612" s="17">
        <v>45354</v>
      </c>
      <c r="C612" s="58">
        <v>83</v>
      </c>
      <c r="D612" s="24">
        <v>5.2150001525878897</v>
      </c>
      <c r="F612" s="17">
        <v>45354</v>
      </c>
      <c r="G612" s="58">
        <v>83</v>
      </c>
      <c r="H612" s="3">
        <v>83</v>
      </c>
      <c r="I612" s="3">
        <v>83</v>
      </c>
      <c r="J612" s="23">
        <v>5.2150001525878897</v>
      </c>
      <c r="K612" s="23">
        <v>5.2150001525878897</v>
      </c>
      <c r="L612" s="24">
        <v>5.2150001525878897</v>
      </c>
    </row>
    <row r="613" spans="2:12" x14ac:dyDescent="0.25">
      <c r="B613" s="17">
        <v>45355</v>
      </c>
      <c r="C613" s="58">
        <v>82</v>
      </c>
      <c r="D613" s="24">
        <v>5.22300004959106</v>
      </c>
      <c r="F613" s="17">
        <v>45355</v>
      </c>
      <c r="G613" s="58">
        <v>82</v>
      </c>
      <c r="H613" s="3">
        <v>82</v>
      </c>
      <c r="I613" s="3">
        <v>82</v>
      </c>
      <c r="J613" s="23">
        <v>5.22300004959106</v>
      </c>
      <c r="K613" s="23">
        <v>5.22300004959106</v>
      </c>
      <c r="L613" s="24">
        <v>5.22300004959106</v>
      </c>
    </row>
    <row r="614" spans="2:12" x14ac:dyDescent="0.25">
      <c r="B614" s="17">
        <v>45356</v>
      </c>
      <c r="C614" s="58">
        <v>90</v>
      </c>
      <c r="D614" s="24">
        <v>5.2249999046325604</v>
      </c>
      <c r="F614" s="17">
        <v>45356</v>
      </c>
      <c r="G614" s="58">
        <v>90</v>
      </c>
      <c r="H614" s="3">
        <v>90</v>
      </c>
      <c r="I614" s="3">
        <v>90</v>
      </c>
      <c r="J614" s="23">
        <v>5.2249999046325604</v>
      </c>
      <c r="K614" s="23">
        <v>5.2249999046325604</v>
      </c>
      <c r="L614" s="24">
        <v>5.2249999046325604</v>
      </c>
    </row>
    <row r="615" spans="2:12" x14ac:dyDescent="0.25">
      <c r="B615" s="17">
        <v>45357</v>
      </c>
      <c r="C615" s="58">
        <v>75</v>
      </c>
      <c r="D615" s="24">
        <v>5.2300000190734801</v>
      </c>
      <c r="F615" s="17">
        <v>45357</v>
      </c>
      <c r="G615" s="58">
        <v>75</v>
      </c>
      <c r="H615" s="3">
        <v>75</v>
      </c>
      <c r="I615" s="3">
        <v>75</v>
      </c>
      <c r="J615" s="23">
        <v>5.2300000190734801</v>
      </c>
      <c r="K615" s="23">
        <v>5.2300000190734801</v>
      </c>
      <c r="L615" s="24">
        <v>5.2300000190734801</v>
      </c>
    </row>
    <row r="616" spans="2:12" x14ac:dyDescent="0.25">
      <c r="B616" s="17">
        <v>45358</v>
      </c>
      <c r="C616" s="58">
        <v>82</v>
      </c>
      <c r="D616" s="24">
        <v>5.2280001640319798</v>
      </c>
      <c r="F616" s="17">
        <v>45358</v>
      </c>
      <c r="G616" s="58">
        <v>82</v>
      </c>
      <c r="H616" s="3">
        <v>82</v>
      </c>
      <c r="I616" s="3">
        <v>82</v>
      </c>
      <c r="J616" s="23">
        <v>5.2280001640319798</v>
      </c>
      <c r="K616" s="23">
        <v>5.2280001640319798</v>
      </c>
      <c r="L616" s="24">
        <v>5.2280001640319798</v>
      </c>
    </row>
    <row r="617" spans="2:12" x14ac:dyDescent="0.25">
      <c r="B617" s="17">
        <v>45359</v>
      </c>
      <c r="C617" s="58">
        <v>81</v>
      </c>
      <c r="D617" s="24">
        <v>5.2280001640319798</v>
      </c>
      <c r="F617" s="17">
        <v>45359</v>
      </c>
      <c r="G617" s="58">
        <v>81</v>
      </c>
      <c r="H617" s="3">
        <v>81</v>
      </c>
      <c r="I617" s="3">
        <v>81</v>
      </c>
      <c r="J617" s="23">
        <v>5.2280001640319798</v>
      </c>
      <c r="K617" s="23">
        <v>5.2280001640319798</v>
      </c>
      <c r="L617" s="24">
        <v>5.2280001640319798</v>
      </c>
    </row>
    <row r="618" spans="2:12" x14ac:dyDescent="0.25">
      <c r="B618" s="17">
        <v>45360</v>
      </c>
      <c r="C618" s="58">
        <v>84</v>
      </c>
      <c r="D618" s="24">
        <v>5.2280001640319798</v>
      </c>
      <c r="F618" s="17">
        <v>45360</v>
      </c>
      <c r="G618" s="58">
        <v>84</v>
      </c>
      <c r="H618" s="3">
        <v>84</v>
      </c>
      <c r="I618" s="3">
        <v>84</v>
      </c>
      <c r="J618" s="23">
        <v>5.2280001640319798</v>
      </c>
      <c r="K618" s="23">
        <v>5.2280001640319798</v>
      </c>
      <c r="L618" s="24">
        <v>5.2280001640319798</v>
      </c>
    </row>
    <row r="619" spans="2:12" x14ac:dyDescent="0.25">
      <c r="B619" s="17">
        <v>45361</v>
      </c>
      <c r="C619" s="58">
        <v>79</v>
      </c>
      <c r="D619" s="24">
        <v>5.2280001640319798</v>
      </c>
      <c r="F619" s="17">
        <v>45361</v>
      </c>
      <c r="G619" s="58">
        <v>79</v>
      </c>
      <c r="H619" s="3">
        <v>79</v>
      </c>
      <c r="I619" s="3">
        <v>79</v>
      </c>
      <c r="J619" s="23">
        <v>5.2280001640319798</v>
      </c>
      <c r="K619" s="23">
        <v>5.2280001640319798</v>
      </c>
      <c r="L619" s="24">
        <v>5.2280001640319798</v>
      </c>
    </row>
    <row r="620" spans="2:12" x14ac:dyDescent="0.25">
      <c r="B620" s="17">
        <v>45362</v>
      </c>
      <c r="C620" s="58">
        <v>82</v>
      </c>
      <c r="D620" s="24">
        <v>5.2399997711181596</v>
      </c>
      <c r="F620" s="17">
        <v>45362</v>
      </c>
      <c r="G620" s="58">
        <v>82</v>
      </c>
      <c r="H620" s="3">
        <v>82</v>
      </c>
      <c r="I620" s="3">
        <v>82</v>
      </c>
      <c r="J620" s="23">
        <v>5.2399997711181596</v>
      </c>
      <c r="K620" s="23">
        <v>5.2399997711181596</v>
      </c>
      <c r="L620" s="24">
        <v>5.2399997711181596</v>
      </c>
    </row>
    <row r="621" spans="2:12" x14ac:dyDescent="0.25">
      <c r="B621" s="17">
        <v>45363</v>
      </c>
      <c r="C621" s="58">
        <v>81</v>
      </c>
      <c r="D621" s="24">
        <v>5.2399997711181596</v>
      </c>
      <c r="F621" s="17">
        <v>45363</v>
      </c>
      <c r="G621" s="58">
        <v>81</v>
      </c>
      <c r="H621" s="3">
        <v>81</v>
      </c>
      <c r="I621" s="3">
        <v>81</v>
      </c>
      <c r="J621" s="23">
        <v>5.2399997711181596</v>
      </c>
      <c r="K621" s="23">
        <v>5.2399997711181596</v>
      </c>
      <c r="L621" s="24">
        <v>5.2399997711181596</v>
      </c>
    </row>
    <row r="622" spans="2:12" x14ac:dyDescent="0.25">
      <c r="B622" s="17">
        <v>45364</v>
      </c>
      <c r="C622" s="58">
        <v>81</v>
      </c>
      <c r="D622" s="24">
        <v>5.2379999160766602</v>
      </c>
      <c r="F622" s="17">
        <v>45364</v>
      </c>
      <c r="G622" s="58">
        <v>81</v>
      </c>
      <c r="H622" s="3">
        <v>81</v>
      </c>
      <c r="I622" s="3">
        <v>81</v>
      </c>
      <c r="J622" s="23">
        <v>5.2379999160766602</v>
      </c>
      <c r="K622" s="23">
        <v>5.2379999160766602</v>
      </c>
      <c r="L622" s="24">
        <v>5.2379999160766602</v>
      </c>
    </row>
    <row r="623" spans="2:12" x14ac:dyDescent="0.25">
      <c r="B623" s="17">
        <v>45365</v>
      </c>
      <c r="C623" s="58">
        <v>88</v>
      </c>
      <c r="D623" s="24">
        <v>5.2379999160766602</v>
      </c>
      <c r="F623" s="17">
        <v>45365</v>
      </c>
      <c r="G623" s="58">
        <v>88</v>
      </c>
      <c r="H623" s="3">
        <v>88</v>
      </c>
      <c r="I623" s="3">
        <v>88</v>
      </c>
      <c r="J623" s="23">
        <v>5.2379999160766602</v>
      </c>
      <c r="K623" s="23">
        <v>5.2379999160766602</v>
      </c>
      <c r="L623" s="24">
        <v>5.2379999160766602</v>
      </c>
    </row>
    <row r="624" spans="2:12" x14ac:dyDescent="0.25">
      <c r="B624" s="17">
        <v>45366</v>
      </c>
      <c r="C624" s="58">
        <v>83</v>
      </c>
      <c r="D624" s="24">
        <v>5.2379999160766602</v>
      </c>
      <c r="F624" s="17">
        <v>45366</v>
      </c>
      <c r="G624" s="58">
        <v>83</v>
      </c>
      <c r="H624" s="3">
        <v>83</v>
      </c>
      <c r="I624" s="3">
        <v>83</v>
      </c>
      <c r="J624" s="23">
        <v>5.2379999160766602</v>
      </c>
      <c r="K624" s="23">
        <v>5.2379999160766602</v>
      </c>
      <c r="L624" s="24">
        <v>5.2379999160766602</v>
      </c>
    </row>
    <row r="625" spans="2:12" x14ac:dyDescent="0.25">
      <c r="B625" s="17">
        <v>45367</v>
      </c>
      <c r="C625" s="58">
        <v>81</v>
      </c>
      <c r="D625" s="24">
        <v>5.2379999160766602</v>
      </c>
      <c r="F625" s="17">
        <v>45367</v>
      </c>
      <c r="G625" s="58">
        <v>81</v>
      </c>
      <c r="H625" s="3">
        <v>81</v>
      </c>
      <c r="I625" s="3">
        <v>81</v>
      </c>
      <c r="J625" s="23">
        <v>5.2379999160766602</v>
      </c>
      <c r="K625" s="23">
        <v>5.2379999160766602</v>
      </c>
      <c r="L625" s="24">
        <v>5.2379999160766602</v>
      </c>
    </row>
    <row r="626" spans="2:12" x14ac:dyDescent="0.25">
      <c r="B626" s="17">
        <v>45368</v>
      </c>
      <c r="C626" s="58">
        <v>79</v>
      </c>
      <c r="D626" s="24">
        <v>5.2379999160766602</v>
      </c>
      <c r="F626" s="17">
        <v>45368</v>
      </c>
      <c r="G626" s="58">
        <v>79</v>
      </c>
      <c r="H626" s="3">
        <v>79</v>
      </c>
      <c r="I626" s="3">
        <v>79</v>
      </c>
      <c r="J626" s="23">
        <v>5.2379999160766602</v>
      </c>
      <c r="K626" s="23">
        <v>5.2379999160766602</v>
      </c>
      <c r="L626" s="24">
        <v>5.2379999160766602</v>
      </c>
    </row>
    <row r="627" spans="2:12" x14ac:dyDescent="0.25">
      <c r="B627" s="17">
        <v>45369</v>
      </c>
      <c r="C627" s="58">
        <v>77</v>
      </c>
      <c r="D627" s="24">
        <v>5.2379999160766602</v>
      </c>
      <c r="F627" s="17">
        <v>45369</v>
      </c>
      <c r="G627" s="58">
        <v>77</v>
      </c>
      <c r="H627" s="3">
        <v>77</v>
      </c>
      <c r="I627" s="3">
        <v>77</v>
      </c>
      <c r="J627" s="23">
        <v>5.2379999160766602</v>
      </c>
      <c r="K627" s="23">
        <v>5.2379999160766602</v>
      </c>
      <c r="L627" s="24">
        <v>5.2379999160766602</v>
      </c>
    </row>
    <row r="628" spans="2:12" x14ac:dyDescent="0.25">
      <c r="B628" s="17">
        <v>45370</v>
      </c>
      <c r="C628" s="58">
        <v>79</v>
      </c>
      <c r="D628" s="24">
        <v>5.2379999160766602</v>
      </c>
      <c r="F628" s="17">
        <v>45370</v>
      </c>
      <c r="G628" s="58">
        <v>79</v>
      </c>
      <c r="H628" s="3">
        <v>79</v>
      </c>
      <c r="I628" s="3">
        <v>79</v>
      </c>
      <c r="J628" s="23">
        <v>5.2379999160766602</v>
      </c>
      <c r="K628" s="23">
        <v>5.2379999160766602</v>
      </c>
      <c r="L628" s="24">
        <v>5.2379999160766602</v>
      </c>
    </row>
    <row r="629" spans="2:12" x14ac:dyDescent="0.25">
      <c r="B629" s="17">
        <v>45371</v>
      </c>
      <c r="C629" s="58">
        <v>74</v>
      </c>
      <c r="D629" s="24">
        <v>5.2280001640319798</v>
      </c>
      <c r="F629" s="17">
        <v>45371</v>
      </c>
      <c r="G629" s="58">
        <v>74</v>
      </c>
      <c r="H629" s="3">
        <v>74</v>
      </c>
      <c r="I629" s="3">
        <v>74</v>
      </c>
      <c r="J629" s="23">
        <v>5.2280001640319798</v>
      </c>
      <c r="K629" s="23">
        <v>5.2280001640319798</v>
      </c>
      <c r="L629" s="24">
        <v>5.2280001640319798</v>
      </c>
    </row>
    <row r="630" spans="2:12" x14ac:dyDescent="0.25">
      <c r="B630" s="17">
        <v>45372</v>
      </c>
      <c r="C630" s="58">
        <v>78</v>
      </c>
      <c r="D630" s="24">
        <v>5.2280001640319798</v>
      </c>
      <c r="F630" s="17">
        <v>45372</v>
      </c>
      <c r="G630" s="58">
        <v>78</v>
      </c>
      <c r="H630" s="3">
        <v>78</v>
      </c>
      <c r="I630" s="3">
        <v>78</v>
      </c>
      <c r="J630" s="23">
        <v>5.2280001640319798</v>
      </c>
      <c r="K630" s="23">
        <v>5.2280001640319798</v>
      </c>
      <c r="L630" s="24">
        <v>5.2280001640319798</v>
      </c>
    </row>
    <row r="631" spans="2:12" x14ac:dyDescent="0.25">
      <c r="B631" s="17">
        <v>45373</v>
      </c>
      <c r="C631" s="58">
        <v>75</v>
      </c>
      <c r="D631" s="24">
        <v>5.2199997901916504</v>
      </c>
      <c r="F631" s="17">
        <v>45373</v>
      </c>
      <c r="G631" s="58">
        <v>75</v>
      </c>
      <c r="H631" s="3">
        <v>75</v>
      </c>
      <c r="I631" s="3">
        <v>75</v>
      </c>
      <c r="J631" s="23">
        <v>5.2199997901916504</v>
      </c>
      <c r="K631" s="23">
        <v>5.2199997901916504</v>
      </c>
      <c r="L631" s="24">
        <v>5.2199997901916504</v>
      </c>
    </row>
    <row r="632" spans="2:12" x14ac:dyDescent="0.25">
      <c r="B632" s="17">
        <v>45374</v>
      </c>
      <c r="C632" s="58">
        <v>73</v>
      </c>
      <c r="D632" s="24">
        <v>5.2199997901916504</v>
      </c>
      <c r="F632" s="17">
        <v>45374</v>
      </c>
      <c r="G632" s="58">
        <v>73</v>
      </c>
      <c r="H632" s="3">
        <v>73</v>
      </c>
      <c r="I632" s="3">
        <v>73</v>
      </c>
      <c r="J632" s="23">
        <v>5.2199997901916504</v>
      </c>
      <c r="K632" s="23">
        <v>5.2199997901916504</v>
      </c>
      <c r="L632" s="24">
        <v>5.2199997901916504</v>
      </c>
    </row>
    <row r="633" spans="2:12" x14ac:dyDescent="0.25">
      <c r="B633" s="17">
        <v>45375</v>
      </c>
      <c r="C633" s="58">
        <v>74</v>
      </c>
      <c r="D633" s="24">
        <v>5.2199997901916504</v>
      </c>
      <c r="F633" s="17">
        <v>45375</v>
      </c>
      <c r="G633" s="58">
        <v>74</v>
      </c>
      <c r="H633" s="3">
        <v>74</v>
      </c>
      <c r="I633" s="3">
        <v>74</v>
      </c>
      <c r="J633" s="23">
        <v>5.2199997901916504</v>
      </c>
      <c r="K633" s="23">
        <v>5.2199997901916504</v>
      </c>
      <c r="L633" s="24">
        <v>5.2199997901916504</v>
      </c>
    </row>
    <row r="634" spans="2:12" x14ac:dyDescent="0.25">
      <c r="B634" s="17">
        <v>45376</v>
      </c>
      <c r="C634" s="58">
        <v>75</v>
      </c>
      <c r="D634" s="24">
        <v>5.2179999351501403</v>
      </c>
      <c r="F634" s="17">
        <v>45376</v>
      </c>
      <c r="G634" s="58">
        <v>75</v>
      </c>
      <c r="H634" s="3">
        <v>75</v>
      </c>
      <c r="I634" s="3">
        <v>75</v>
      </c>
      <c r="J634" s="23">
        <v>5.2179999351501403</v>
      </c>
      <c r="K634" s="23">
        <v>5.2179999351501403</v>
      </c>
      <c r="L634" s="24">
        <v>5.2179999351501403</v>
      </c>
    </row>
    <row r="635" spans="2:12" x14ac:dyDescent="0.25">
      <c r="B635" s="17">
        <v>45377</v>
      </c>
      <c r="C635" s="58">
        <v>81</v>
      </c>
      <c r="D635" s="24">
        <v>5.2179999351501403</v>
      </c>
      <c r="F635" s="17">
        <v>45377</v>
      </c>
      <c r="G635" s="58">
        <v>81</v>
      </c>
      <c r="H635" s="3">
        <v>81</v>
      </c>
      <c r="I635" s="3">
        <v>81</v>
      </c>
      <c r="J635" s="23">
        <v>5.2179999351501403</v>
      </c>
      <c r="K635" s="23">
        <v>5.2179999351501403</v>
      </c>
      <c r="L635" s="24">
        <v>5.2179999351501403</v>
      </c>
    </row>
    <row r="636" spans="2:12" x14ac:dyDescent="0.25">
      <c r="B636" s="17">
        <v>45378</v>
      </c>
      <c r="C636" s="58">
        <v>83</v>
      </c>
      <c r="D636" s="24">
        <v>5.2150001525878897</v>
      </c>
      <c r="F636" s="17">
        <v>45378</v>
      </c>
      <c r="G636" s="58">
        <v>83</v>
      </c>
      <c r="H636" s="3">
        <v>83</v>
      </c>
      <c r="I636" s="3">
        <v>83</v>
      </c>
      <c r="J636" s="23">
        <v>5.2150001525878897</v>
      </c>
      <c r="K636" s="23">
        <v>5.2150001525878897</v>
      </c>
      <c r="L636" s="24">
        <v>5.2150001525878897</v>
      </c>
    </row>
    <row r="637" spans="2:12" x14ac:dyDescent="0.25">
      <c r="B637" s="17">
        <v>45379</v>
      </c>
      <c r="C637" s="58">
        <v>80</v>
      </c>
      <c r="D637" s="24">
        <v>5.2030000686645499</v>
      </c>
      <c r="F637" s="17">
        <v>45379</v>
      </c>
      <c r="G637" s="58">
        <v>80</v>
      </c>
      <c r="H637" s="3">
        <v>80</v>
      </c>
      <c r="I637" s="3">
        <v>80</v>
      </c>
      <c r="J637" s="23">
        <v>5.2030000686645499</v>
      </c>
      <c r="K637" s="23">
        <v>5.2030000686645499</v>
      </c>
      <c r="L637" s="24">
        <v>5.2030000686645499</v>
      </c>
    </row>
    <row r="638" spans="2:12" x14ac:dyDescent="0.25">
      <c r="B638" s="17">
        <v>45380</v>
      </c>
      <c r="C638" s="58">
        <v>79</v>
      </c>
      <c r="D638" s="24">
        <v>5.2030000686645499</v>
      </c>
      <c r="F638" s="17">
        <v>45380</v>
      </c>
      <c r="G638" s="58">
        <v>79</v>
      </c>
      <c r="H638" s="3">
        <v>79</v>
      </c>
      <c r="I638" s="3">
        <v>79</v>
      </c>
      <c r="J638" s="23">
        <v>5.2030000686645499</v>
      </c>
      <c r="K638" s="23">
        <v>5.2030000686645499</v>
      </c>
      <c r="L638" s="24">
        <v>5.2030000686645499</v>
      </c>
    </row>
    <row r="639" spans="2:12" x14ac:dyDescent="0.25">
      <c r="B639" s="17">
        <v>45381</v>
      </c>
      <c r="C639" s="58">
        <v>75</v>
      </c>
      <c r="D639" s="24">
        <v>5.2030000686645499</v>
      </c>
      <c r="F639" s="17">
        <v>45381</v>
      </c>
      <c r="G639" s="58">
        <v>75</v>
      </c>
      <c r="H639" s="3">
        <v>75</v>
      </c>
      <c r="I639" s="3">
        <v>75</v>
      </c>
      <c r="J639" s="23">
        <v>5.2030000686645499</v>
      </c>
      <c r="K639" s="23">
        <v>5.2030000686645499</v>
      </c>
      <c r="L639" s="24">
        <v>5.2030000686645499</v>
      </c>
    </row>
    <row r="640" spans="2:12" x14ac:dyDescent="0.25">
      <c r="B640" s="17">
        <v>45382</v>
      </c>
      <c r="C640" s="58">
        <v>75</v>
      </c>
      <c r="D640" s="24">
        <v>5.2030000686645499</v>
      </c>
      <c r="F640" s="17">
        <v>45382</v>
      </c>
      <c r="G640" s="58">
        <v>75</v>
      </c>
      <c r="H640" s="3">
        <v>75</v>
      </c>
      <c r="I640" s="3">
        <v>75</v>
      </c>
      <c r="J640" s="23">
        <v>5.2030000686645499</v>
      </c>
      <c r="K640" s="23">
        <v>5.2030000686645499</v>
      </c>
      <c r="L640" s="24">
        <v>5.2030000686645499</v>
      </c>
    </row>
    <row r="641" spans="2:12" x14ac:dyDescent="0.25">
      <c r="B641" s="17">
        <v>45383</v>
      </c>
      <c r="C641" s="58">
        <v>79</v>
      </c>
      <c r="D641" s="24">
        <v>5.2179999351501403</v>
      </c>
      <c r="F641" s="17">
        <v>45383</v>
      </c>
      <c r="G641" s="58">
        <v>79</v>
      </c>
      <c r="H641" s="3">
        <v>79</v>
      </c>
      <c r="I641" s="3">
        <v>79</v>
      </c>
      <c r="J641" s="23">
        <v>5.2179999351501403</v>
      </c>
      <c r="K641" s="23">
        <v>5.2179999351501403</v>
      </c>
      <c r="L641" s="24">
        <v>5.2179999351501403</v>
      </c>
    </row>
    <row r="642" spans="2:12" x14ac:dyDescent="0.25">
      <c r="B642" s="17">
        <v>45384</v>
      </c>
      <c r="C642" s="58">
        <v>79</v>
      </c>
      <c r="D642" s="24">
        <v>5.2129998207092196</v>
      </c>
      <c r="F642" s="17">
        <v>45384</v>
      </c>
      <c r="G642" s="58">
        <v>79</v>
      </c>
      <c r="H642" s="3">
        <v>79</v>
      </c>
      <c r="I642" s="3">
        <v>79</v>
      </c>
      <c r="J642" s="23">
        <v>5.2129998207092196</v>
      </c>
      <c r="K642" s="23">
        <v>5.2129998207092196</v>
      </c>
      <c r="L642" s="24">
        <v>5.2129998207092196</v>
      </c>
    </row>
    <row r="643" spans="2:12" x14ac:dyDescent="0.25">
      <c r="B643" s="17">
        <v>45385</v>
      </c>
      <c r="C643" s="58">
        <v>71</v>
      </c>
      <c r="D643" s="24">
        <v>5.21000003814697</v>
      </c>
      <c r="F643" s="17">
        <v>45385</v>
      </c>
      <c r="G643" s="58">
        <v>71</v>
      </c>
      <c r="H643" s="3">
        <v>71</v>
      </c>
      <c r="I643" s="3">
        <v>71</v>
      </c>
      <c r="J643" s="23">
        <v>5.21000003814697</v>
      </c>
      <c r="K643" s="23">
        <v>5.21000003814697</v>
      </c>
      <c r="L643" s="24">
        <v>5.21000003814697</v>
      </c>
    </row>
    <row r="644" spans="2:12" x14ac:dyDescent="0.25">
      <c r="B644" s="17">
        <v>45386</v>
      </c>
      <c r="C644" s="58">
        <v>70</v>
      </c>
      <c r="D644" s="24">
        <v>5.2030000686645499</v>
      </c>
      <c r="F644" s="17">
        <v>45386</v>
      </c>
      <c r="G644" s="58">
        <v>70</v>
      </c>
      <c r="H644" s="3">
        <v>70</v>
      </c>
      <c r="I644" s="3">
        <v>70</v>
      </c>
      <c r="J644" s="23">
        <v>5.2030000686645499</v>
      </c>
      <c r="K644" s="23">
        <v>5.2030000686645499</v>
      </c>
      <c r="L644" s="24">
        <v>5.2030000686645499</v>
      </c>
    </row>
    <row r="645" spans="2:12" x14ac:dyDescent="0.25">
      <c r="B645" s="17">
        <v>45387</v>
      </c>
      <c r="C645" s="58">
        <v>79</v>
      </c>
      <c r="D645" s="24">
        <v>5.2150001525878897</v>
      </c>
      <c r="F645" s="17">
        <v>45387</v>
      </c>
      <c r="G645" s="58">
        <v>79</v>
      </c>
      <c r="H645" s="3">
        <v>79</v>
      </c>
      <c r="I645" s="3">
        <v>79</v>
      </c>
      <c r="J645" s="23">
        <v>5.2150001525878897</v>
      </c>
      <c r="K645" s="23">
        <v>5.2150001525878897</v>
      </c>
      <c r="L645" s="24">
        <v>5.2150001525878897</v>
      </c>
    </row>
    <row r="646" spans="2:12" x14ac:dyDescent="0.25">
      <c r="B646" s="17">
        <v>45388</v>
      </c>
      <c r="C646" s="58">
        <v>75</v>
      </c>
      <c r="D646" s="24">
        <v>5.2150001525878897</v>
      </c>
      <c r="F646" s="17">
        <v>45388</v>
      </c>
      <c r="G646" s="58">
        <v>75</v>
      </c>
      <c r="H646" s="3">
        <v>75</v>
      </c>
      <c r="I646" s="3">
        <v>75</v>
      </c>
      <c r="J646" s="23">
        <v>5.2150001525878897</v>
      </c>
      <c r="K646" s="23">
        <v>5.2150001525878897</v>
      </c>
      <c r="L646" s="24">
        <v>5.2150001525878897</v>
      </c>
    </row>
    <row r="647" spans="2:12" x14ac:dyDescent="0.25">
      <c r="B647" s="17">
        <v>45389</v>
      </c>
      <c r="C647" s="58">
        <v>78</v>
      </c>
      <c r="D647" s="24">
        <v>5.2150001525878897</v>
      </c>
      <c r="F647" s="17">
        <v>45389</v>
      </c>
      <c r="G647" s="58">
        <v>78</v>
      </c>
      <c r="H647" s="3">
        <v>78</v>
      </c>
      <c r="I647" s="3">
        <v>78</v>
      </c>
      <c r="J647" s="23">
        <v>5.2150001525878897</v>
      </c>
      <c r="K647" s="23">
        <v>5.2150001525878897</v>
      </c>
      <c r="L647" s="24">
        <v>5.2150001525878897</v>
      </c>
    </row>
    <row r="648" spans="2:12" x14ac:dyDescent="0.25">
      <c r="B648" s="17">
        <v>45390</v>
      </c>
      <c r="C648" s="58">
        <v>76</v>
      </c>
      <c r="D648" s="24">
        <v>5.22300004959106</v>
      </c>
      <c r="F648" s="17">
        <v>45390</v>
      </c>
      <c r="G648" s="58">
        <v>76</v>
      </c>
      <c r="H648" s="3">
        <v>76</v>
      </c>
      <c r="I648" s="3">
        <v>76</v>
      </c>
      <c r="J648" s="23">
        <v>5.22300004959106</v>
      </c>
      <c r="K648" s="23">
        <v>5.22300004959106</v>
      </c>
      <c r="L648" s="24">
        <v>5.22300004959106</v>
      </c>
    </row>
    <row r="649" spans="2:12" x14ac:dyDescent="0.25">
      <c r="B649" s="17">
        <v>45391</v>
      </c>
      <c r="C649" s="58">
        <v>80</v>
      </c>
      <c r="D649" s="24">
        <v>5.2199997901916504</v>
      </c>
      <c r="F649" s="17">
        <v>45391</v>
      </c>
      <c r="G649" s="58">
        <v>80</v>
      </c>
      <c r="H649" s="3">
        <v>80</v>
      </c>
      <c r="I649" s="3">
        <v>80</v>
      </c>
      <c r="J649" s="23">
        <v>5.2199997901916504</v>
      </c>
      <c r="K649" s="23">
        <v>5.2199997901916504</v>
      </c>
      <c r="L649" s="24">
        <v>5.2199997901916504</v>
      </c>
    </row>
    <row r="650" spans="2:12" x14ac:dyDescent="0.25">
      <c r="B650" s="17">
        <v>45392</v>
      </c>
      <c r="C650" s="58">
        <v>78</v>
      </c>
      <c r="D650" s="24">
        <v>5.2430000305175701</v>
      </c>
      <c r="F650" s="17">
        <v>45392</v>
      </c>
      <c r="G650" s="58">
        <v>78</v>
      </c>
      <c r="H650" s="3">
        <v>78</v>
      </c>
      <c r="I650" s="3">
        <v>78</v>
      </c>
      <c r="J650" s="23">
        <v>5.2430000305175701</v>
      </c>
      <c r="K650" s="23">
        <v>5.2430000305175701</v>
      </c>
      <c r="L650" s="24">
        <v>5.2430000305175701</v>
      </c>
    </row>
    <row r="651" spans="2:12" x14ac:dyDescent="0.25">
      <c r="B651" s="17">
        <v>45393</v>
      </c>
      <c r="C651" s="58">
        <v>76</v>
      </c>
      <c r="D651" s="24">
        <v>5.2379999160766602</v>
      </c>
      <c r="F651" s="17">
        <v>45393</v>
      </c>
      <c r="G651" s="58">
        <v>76</v>
      </c>
      <c r="H651" s="3">
        <v>76</v>
      </c>
      <c r="I651" s="3">
        <v>76</v>
      </c>
      <c r="J651" s="23">
        <v>5.2379999160766602</v>
      </c>
      <c r="K651" s="23">
        <v>5.2379999160766602</v>
      </c>
      <c r="L651" s="24">
        <v>5.2379999160766602</v>
      </c>
    </row>
    <row r="652" spans="2:12" x14ac:dyDescent="0.25">
      <c r="B652" s="17">
        <v>45394</v>
      </c>
      <c r="C652" s="58">
        <v>79</v>
      </c>
      <c r="D652" s="24">
        <v>5.2300000190734801</v>
      </c>
      <c r="F652" s="17">
        <v>45394</v>
      </c>
      <c r="G652" s="58">
        <v>79</v>
      </c>
      <c r="H652" s="3">
        <v>79</v>
      </c>
      <c r="I652" s="3">
        <v>79</v>
      </c>
      <c r="J652" s="23">
        <v>5.2300000190734801</v>
      </c>
      <c r="K652" s="23">
        <v>5.2300000190734801</v>
      </c>
      <c r="L652" s="24">
        <v>5.2300000190734801</v>
      </c>
    </row>
    <row r="653" spans="2:12" ht="15.75" thickBot="1" x14ac:dyDescent="0.3">
      <c r="B653" s="18">
        <v>45395</v>
      </c>
      <c r="C653" s="58">
        <v>72</v>
      </c>
      <c r="D653" s="24">
        <v>5.2300000190734801</v>
      </c>
      <c r="F653" s="18">
        <v>45395</v>
      </c>
      <c r="G653" s="58">
        <v>72</v>
      </c>
      <c r="H653" s="3">
        <v>72</v>
      </c>
      <c r="I653" s="3">
        <v>72</v>
      </c>
      <c r="J653" s="23">
        <v>5.2300000190734801</v>
      </c>
      <c r="K653" s="23">
        <v>5.2300000190734801</v>
      </c>
      <c r="L653" s="24">
        <v>5.2300000190734801</v>
      </c>
    </row>
    <row r="654" spans="2:12" x14ac:dyDescent="0.25">
      <c r="B654" s="16">
        <v>45396</v>
      </c>
      <c r="C654" s="58">
        <v>72</v>
      </c>
      <c r="D654" s="24">
        <v>5.2300000190734801</v>
      </c>
      <c r="F654" s="16">
        <v>45396</v>
      </c>
      <c r="G654" s="58">
        <v>72</v>
      </c>
      <c r="H654" s="3">
        <v>72</v>
      </c>
      <c r="I654" s="3">
        <v>72</v>
      </c>
      <c r="J654" s="23">
        <v>5.2300000190734801</v>
      </c>
      <c r="K654" s="23">
        <v>5.2300000190734801</v>
      </c>
      <c r="L654" s="24">
        <v>5.2300000190734801</v>
      </c>
    </row>
    <row r="655" spans="2:12" x14ac:dyDescent="0.25">
      <c r="B655" s="17">
        <v>45397</v>
      </c>
      <c r="C655" s="58">
        <v>74</v>
      </c>
      <c r="D655" s="24">
        <v>5.2379999160766602</v>
      </c>
      <c r="F655" s="17">
        <v>45397</v>
      </c>
      <c r="G655" s="58">
        <v>74</v>
      </c>
      <c r="H655" s="3">
        <v>74</v>
      </c>
      <c r="I655" s="3">
        <v>74</v>
      </c>
      <c r="J655" s="23">
        <v>5.2379999160766602</v>
      </c>
      <c r="K655" s="23">
        <v>5.2379999160766602</v>
      </c>
      <c r="L655" s="24">
        <v>5.2379999160766602</v>
      </c>
    </row>
    <row r="656" spans="2:12" x14ac:dyDescent="0.25">
      <c r="B656" s="17">
        <v>45398</v>
      </c>
      <c r="C656" s="58">
        <v>65</v>
      </c>
      <c r="D656" s="24">
        <v>5.2329998016357404</v>
      </c>
      <c r="F656" s="17">
        <v>45398</v>
      </c>
      <c r="G656" s="58">
        <v>65</v>
      </c>
      <c r="H656" s="3">
        <v>65</v>
      </c>
      <c r="I656" s="3">
        <v>65</v>
      </c>
      <c r="J656" s="23">
        <v>5.2329998016357404</v>
      </c>
      <c r="K656" s="23">
        <v>5.2329998016357404</v>
      </c>
      <c r="L656" s="24">
        <v>5.2329998016357404</v>
      </c>
    </row>
    <row r="657" spans="2:12" x14ac:dyDescent="0.25">
      <c r="B657" s="17">
        <v>45399</v>
      </c>
      <c r="C657" s="58">
        <v>67</v>
      </c>
      <c r="D657" s="24">
        <v>5.2399997711181596</v>
      </c>
      <c r="F657" s="17">
        <v>45399</v>
      </c>
      <c r="G657" s="58">
        <v>67</v>
      </c>
      <c r="H657" s="3">
        <v>67</v>
      </c>
      <c r="I657" s="3">
        <v>67</v>
      </c>
      <c r="J657" s="23">
        <v>5.2399997711181596</v>
      </c>
      <c r="K657" s="23">
        <v>5.2399997711181596</v>
      </c>
      <c r="L657" s="24">
        <v>5.2399997711181596</v>
      </c>
    </row>
    <row r="658" spans="2:12" x14ac:dyDescent="0.25">
      <c r="B658" s="17">
        <v>45400</v>
      </c>
      <c r="C658" s="58">
        <v>57</v>
      </c>
      <c r="D658" s="24">
        <v>5.2430000305175701</v>
      </c>
      <c r="F658" s="17">
        <v>45400</v>
      </c>
      <c r="G658" s="58">
        <v>57</v>
      </c>
      <c r="H658" s="3">
        <v>57</v>
      </c>
      <c r="I658" s="3">
        <v>57</v>
      </c>
      <c r="J658" s="23">
        <v>5.2430000305175701</v>
      </c>
      <c r="K658" s="23">
        <v>5.2430000305175701</v>
      </c>
      <c r="L658" s="24">
        <v>5.2430000305175701</v>
      </c>
    </row>
    <row r="659" spans="2:12" x14ac:dyDescent="0.25">
      <c r="B659" s="17">
        <v>45401</v>
      </c>
      <c r="C659" s="58">
        <v>66</v>
      </c>
      <c r="D659" s="24">
        <v>5.2449998855590803</v>
      </c>
      <c r="F659" s="17">
        <v>45401</v>
      </c>
      <c r="G659" s="58">
        <v>66</v>
      </c>
      <c r="H659" s="3">
        <v>66</v>
      </c>
      <c r="I659" s="3">
        <v>66</v>
      </c>
      <c r="J659" s="23">
        <v>5.2449998855590803</v>
      </c>
      <c r="K659" s="23">
        <v>5.2449998855590803</v>
      </c>
      <c r="L659" s="24">
        <v>5.2449998855590803</v>
      </c>
    </row>
    <row r="660" spans="2:12" x14ac:dyDescent="0.25">
      <c r="B660" s="17">
        <v>45402</v>
      </c>
      <c r="C660" s="58">
        <v>66</v>
      </c>
      <c r="D660" s="24">
        <v>5.2449998855590803</v>
      </c>
      <c r="F660" s="17">
        <v>45402</v>
      </c>
      <c r="G660" s="58">
        <v>66</v>
      </c>
      <c r="H660" s="3">
        <v>66</v>
      </c>
      <c r="I660" s="3">
        <v>66</v>
      </c>
      <c r="J660" s="23">
        <v>5.2449998855590803</v>
      </c>
      <c r="K660" s="23">
        <v>5.2449998855590803</v>
      </c>
      <c r="L660" s="24">
        <v>5.2449998855590803</v>
      </c>
    </row>
    <row r="661" spans="2:12" x14ac:dyDescent="0.25">
      <c r="B661" s="17">
        <v>45403</v>
      </c>
      <c r="C661" s="58">
        <v>72</v>
      </c>
      <c r="D661" s="24">
        <v>5.2449998855590803</v>
      </c>
      <c r="F661" s="17">
        <v>45403</v>
      </c>
      <c r="G661" s="58">
        <v>72</v>
      </c>
      <c r="H661" s="3">
        <v>72</v>
      </c>
      <c r="I661" s="3">
        <v>72</v>
      </c>
      <c r="J661" s="23">
        <v>5.2449998855590803</v>
      </c>
      <c r="K661" s="23">
        <v>5.2449998855590803</v>
      </c>
      <c r="L661" s="24">
        <v>5.2449998855590803</v>
      </c>
    </row>
    <row r="662" spans="2:12" x14ac:dyDescent="0.25">
      <c r="B662" s="17">
        <v>45404</v>
      </c>
      <c r="C662" s="58">
        <v>73</v>
      </c>
      <c r="D662" s="24">
        <v>5.2449998855590803</v>
      </c>
      <c r="F662" s="17">
        <v>45404</v>
      </c>
      <c r="G662" s="58">
        <v>73</v>
      </c>
      <c r="H662" s="3">
        <v>73</v>
      </c>
      <c r="I662" s="3">
        <v>73</v>
      </c>
      <c r="J662" s="23">
        <v>5.2449998855590803</v>
      </c>
      <c r="K662" s="23">
        <v>5.2449998855590803</v>
      </c>
      <c r="L662" s="24">
        <v>5.2449998855590803</v>
      </c>
    </row>
    <row r="663" spans="2:12" x14ac:dyDescent="0.25">
      <c r="B663" s="17">
        <v>45405</v>
      </c>
      <c r="C663" s="58">
        <v>71</v>
      </c>
      <c r="D663" s="24">
        <v>5.2449998855590803</v>
      </c>
      <c r="F663" s="17">
        <v>45405</v>
      </c>
      <c r="G663" s="58">
        <v>71</v>
      </c>
      <c r="H663" s="3">
        <v>71</v>
      </c>
      <c r="I663" s="3">
        <v>71</v>
      </c>
      <c r="J663" s="23">
        <v>5.2449998855590803</v>
      </c>
      <c r="K663" s="23">
        <v>5.2449998855590803</v>
      </c>
      <c r="L663" s="24">
        <v>5.2449998855590803</v>
      </c>
    </row>
    <row r="664" spans="2:12" x14ac:dyDescent="0.25">
      <c r="B664" s="17">
        <v>45406</v>
      </c>
      <c r="C664" s="58">
        <v>72</v>
      </c>
      <c r="D664" s="24">
        <v>5.25500011444091</v>
      </c>
      <c r="F664" s="17">
        <v>45406</v>
      </c>
      <c r="G664" s="58">
        <v>72</v>
      </c>
      <c r="H664" s="3">
        <v>72</v>
      </c>
      <c r="I664" s="3">
        <v>72</v>
      </c>
      <c r="J664" s="23">
        <v>5.25500011444091</v>
      </c>
      <c r="K664" s="23">
        <v>5.25500011444091</v>
      </c>
      <c r="L664" s="24">
        <v>5.25500011444091</v>
      </c>
    </row>
    <row r="665" spans="2:12" x14ac:dyDescent="0.25">
      <c r="B665" s="17">
        <v>45407</v>
      </c>
      <c r="C665" s="58">
        <v>72</v>
      </c>
      <c r="D665" s="24">
        <v>5.2449998855590803</v>
      </c>
      <c r="F665" s="17">
        <v>45407</v>
      </c>
      <c r="G665" s="58">
        <v>72</v>
      </c>
      <c r="H665" s="3">
        <v>72</v>
      </c>
      <c r="I665" s="3">
        <v>72</v>
      </c>
      <c r="J665" s="23">
        <v>5.2449998855590803</v>
      </c>
      <c r="K665" s="23">
        <v>5.2449998855590803</v>
      </c>
      <c r="L665" s="24">
        <v>5.2449998855590803</v>
      </c>
    </row>
    <row r="666" spans="2:12" x14ac:dyDescent="0.25">
      <c r="B666" s="17">
        <v>45408</v>
      </c>
      <c r="C666" s="58">
        <v>70</v>
      </c>
      <c r="D666" s="24">
        <v>5.2379999160766602</v>
      </c>
      <c r="F666" s="17">
        <v>45408</v>
      </c>
      <c r="G666" s="58">
        <v>70</v>
      </c>
      <c r="H666" s="3">
        <v>70</v>
      </c>
      <c r="I666" s="3">
        <v>70</v>
      </c>
      <c r="J666" s="23">
        <v>5.2379999160766602</v>
      </c>
      <c r="K666" s="23">
        <v>5.2379999160766602</v>
      </c>
      <c r="L666" s="24">
        <v>5.2379999160766602</v>
      </c>
    </row>
    <row r="667" spans="2:12" x14ac:dyDescent="0.25">
      <c r="B667" s="17">
        <v>45409</v>
      </c>
      <c r="C667" s="58">
        <v>67</v>
      </c>
      <c r="D667" s="24">
        <v>5.2379999160766602</v>
      </c>
      <c r="F667" s="17">
        <v>45409</v>
      </c>
      <c r="G667" s="58">
        <v>67</v>
      </c>
      <c r="H667" s="3">
        <v>67</v>
      </c>
      <c r="I667" s="3">
        <v>67</v>
      </c>
      <c r="J667" s="23">
        <v>5.2379999160766602</v>
      </c>
      <c r="K667" s="23">
        <v>5.2379999160766602</v>
      </c>
      <c r="L667" s="24">
        <v>5.2379999160766602</v>
      </c>
    </row>
    <row r="668" spans="2:12" x14ac:dyDescent="0.25">
      <c r="B668" s="17">
        <v>45410</v>
      </c>
      <c r="C668" s="58">
        <v>65</v>
      </c>
      <c r="D668" s="24">
        <v>5.2379999160766602</v>
      </c>
      <c r="F668" s="17">
        <v>45410</v>
      </c>
      <c r="G668" s="58">
        <v>65</v>
      </c>
      <c r="H668" s="3">
        <v>65</v>
      </c>
      <c r="I668" s="3">
        <v>65</v>
      </c>
      <c r="J668" s="23">
        <v>5.2379999160766602</v>
      </c>
      <c r="K668" s="23">
        <v>5.2379999160766602</v>
      </c>
      <c r="L668" s="24">
        <v>5.2379999160766602</v>
      </c>
    </row>
    <row r="669" spans="2:12" x14ac:dyDescent="0.25">
      <c r="B669" s="17">
        <v>45411</v>
      </c>
      <c r="C669" s="58">
        <v>67</v>
      </c>
      <c r="D669" s="24">
        <v>5.2430000305175701</v>
      </c>
      <c r="F669" s="17">
        <v>45411</v>
      </c>
      <c r="G669" s="58">
        <v>67</v>
      </c>
      <c r="H669" s="3">
        <v>67</v>
      </c>
      <c r="I669" s="3">
        <v>67</v>
      </c>
      <c r="J669" s="23">
        <v>5.2430000305175701</v>
      </c>
      <c r="K669" s="23">
        <v>5.2430000305175701</v>
      </c>
      <c r="L669" s="24">
        <v>5.2430000305175701</v>
      </c>
    </row>
    <row r="670" spans="2:12" x14ac:dyDescent="0.25">
      <c r="B670" s="17">
        <v>45412</v>
      </c>
      <c r="C670" s="58">
        <v>67</v>
      </c>
      <c r="D670" s="24">
        <v>5.2449998855590803</v>
      </c>
      <c r="F670" s="17">
        <v>45412</v>
      </c>
      <c r="G670" s="58">
        <v>67</v>
      </c>
      <c r="H670" s="3">
        <v>67</v>
      </c>
      <c r="I670" s="3">
        <v>67</v>
      </c>
      <c r="J670" s="23">
        <v>5.2449998855590803</v>
      </c>
      <c r="K670" s="23">
        <v>5.2449998855590803</v>
      </c>
      <c r="L670" s="24">
        <v>5.2449998855590803</v>
      </c>
    </row>
    <row r="671" spans="2:12" x14ac:dyDescent="0.25">
      <c r="B671" s="17">
        <v>45413</v>
      </c>
      <c r="C671" s="58">
        <v>54</v>
      </c>
      <c r="D671" s="24">
        <v>5.25</v>
      </c>
      <c r="F671" s="17">
        <v>45413</v>
      </c>
      <c r="G671" s="58">
        <v>54</v>
      </c>
      <c r="H671" s="3">
        <v>54</v>
      </c>
      <c r="I671" s="3">
        <v>54</v>
      </c>
      <c r="J671" s="23">
        <v>5.25</v>
      </c>
      <c r="K671" s="23">
        <v>5.25</v>
      </c>
      <c r="L671" s="24">
        <v>5.25</v>
      </c>
    </row>
    <row r="672" spans="2:12" x14ac:dyDescent="0.25">
      <c r="B672" s="17">
        <v>45414</v>
      </c>
      <c r="C672" s="58">
        <v>43</v>
      </c>
      <c r="D672" s="24">
        <v>5.2379999160766602</v>
      </c>
      <c r="F672" s="17">
        <v>45414</v>
      </c>
      <c r="G672" s="58">
        <v>43</v>
      </c>
      <c r="H672" s="3">
        <v>43</v>
      </c>
      <c r="I672" s="3">
        <v>43</v>
      </c>
      <c r="J672" s="23">
        <v>5.2379999160766602</v>
      </c>
      <c r="K672" s="23">
        <v>5.2379999160766602</v>
      </c>
      <c r="L672" s="24">
        <v>5.2379999160766602</v>
      </c>
    </row>
    <row r="673" spans="2:12" x14ac:dyDescent="0.25">
      <c r="B673" s="17">
        <v>45415</v>
      </c>
      <c r="C673" s="58">
        <v>48</v>
      </c>
      <c r="D673" s="24">
        <v>5.2350001335143999</v>
      </c>
      <c r="F673" s="17">
        <v>45415</v>
      </c>
      <c r="G673" s="58">
        <v>48</v>
      </c>
      <c r="H673" s="3">
        <v>48</v>
      </c>
      <c r="I673" s="3">
        <v>48</v>
      </c>
      <c r="J673" s="23">
        <v>5.2350001335143999</v>
      </c>
      <c r="K673" s="23">
        <v>5.2350001335143999</v>
      </c>
      <c r="L673" s="24">
        <v>5.2350001335143999</v>
      </c>
    </row>
    <row r="674" spans="2:12" x14ac:dyDescent="0.25">
      <c r="B674" s="17">
        <v>45416</v>
      </c>
      <c r="C674" s="58">
        <v>67</v>
      </c>
      <c r="D674" s="24">
        <v>5.2350001335143999</v>
      </c>
      <c r="F674" s="17">
        <v>45416</v>
      </c>
      <c r="G674" s="58">
        <v>67</v>
      </c>
      <c r="H674" s="3">
        <v>67</v>
      </c>
      <c r="I674" s="3">
        <v>67</v>
      </c>
      <c r="J674" s="23">
        <v>5.2350001335143999</v>
      </c>
      <c r="K674" s="23">
        <v>5.2350001335143999</v>
      </c>
      <c r="L674" s="24">
        <v>5.2350001335143999</v>
      </c>
    </row>
    <row r="675" spans="2:12" x14ac:dyDescent="0.25">
      <c r="B675" s="17">
        <v>45417</v>
      </c>
      <c r="C675" s="58">
        <v>69</v>
      </c>
      <c r="D675" s="24">
        <v>5.2350001335143999</v>
      </c>
      <c r="F675" s="17">
        <v>45417</v>
      </c>
      <c r="G675" s="58">
        <v>69</v>
      </c>
      <c r="H675" s="3">
        <v>69</v>
      </c>
      <c r="I675" s="3">
        <v>69</v>
      </c>
      <c r="J675" s="23">
        <v>5.2350001335143999</v>
      </c>
      <c r="K675" s="23">
        <v>5.2350001335143999</v>
      </c>
      <c r="L675" s="24">
        <v>5.2350001335143999</v>
      </c>
    </row>
    <row r="676" spans="2:12" x14ac:dyDescent="0.25">
      <c r="B676" s="17">
        <v>45418</v>
      </c>
      <c r="C676" s="58">
        <v>71</v>
      </c>
      <c r="D676" s="24">
        <v>5.2399997711181596</v>
      </c>
      <c r="F676" s="17">
        <v>45418</v>
      </c>
      <c r="G676" s="58">
        <v>71</v>
      </c>
      <c r="H676" s="3">
        <v>71</v>
      </c>
      <c r="I676" s="3">
        <v>71</v>
      </c>
      <c r="J676" s="23">
        <v>5.2399997711181596</v>
      </c>
      <c r="K676" s="23">
        <v>5.2399997711181596</v>
      </c>
      <c r="L676" s="24">
        <v>5.2399997711181596</v>
      </c>
    </row>
    <row r="677" spans="2:12" x14ac:dyDescent="0.25">
      <c r="B677" s="17">
        <v>45419</v>
      </c>
      <c r="C677" s="58">
        <v>68</v>
      </c>
      <c r="D677" s="24">
        <v>5.2430000305175701</v>
      </c>
      <c r="F677" s="17">
        <v>45419</v>
      </c>
      <c r="G677" s="58">
        <v>68</v>
      </c>
      <c r="H677" s="3">
        <v>68</v>
      </c>
      <c r="I677" s="3">
        <v>68</v>
      </c>
      <c r="J677" s="23">
        <v>5.2430000305175701</v>
      </c>
      <c r="K677" s="23">
        <v>5.2430000305175701</v>
      </c>
      <c r="L677" s="24">
        <v>5.2430000305175701</v>
      </c>
    </row>
    <row r="678" spans="2:12" x14ac:dyDescent="0.25">
      <c r="B678" s="17">
        <v>45420</v>
      </c>
      <c r="C678" s="58">
        <v>64</v>
      </c>
      <c r="D678" s="24">
        <v>5.2449998855590803</v>
      </c>
      <c r="F678" s="17">
        <v>45420</v>
      </c>
      <c r="G678" s="58">
        <v>64</v>
      </c>
      <c r="H678" s="3">
        <v>64</v>
      </c>
      <c r="I678" s="3">
        <v>64</v>
      </c>
      <c r="J678" s="23">
        <v>5.2449998855590803</v>
      </c>
      <c r="K678" s="23">
        <v>5.2449998855590803</v>
      </c>
      <c r="L678" s="24">
        <v>5.2449998855590803</v>
      </c>
    </row>
    <row r="679" spans="2:12" x14ac:dyDescent="0.25">
      <c r="B679" s="17">
        <v>45421</v>
      </c>
      <c r="C679" s="58">
        <v>55</v>
      </c>
      <c r="D679" s="24">
        <v>5.2399997711181596</v>
      </c>
      <c r="F679" s="17">
        <v>45421</v>
      </c>
      <c r="G679" s="58">
        <v>55</v>
      </c>
      <c r="H679" s="3">
        <v>55</v>
      </c>
      <c r="I679" s="3">
        <v>55</v>
      </c>
      <c r="J679" s="23">
        <v>5.2399997711181596</v>
      </c>
      <c r="K679" s="23">
        <v>5.2399997711181596</v>
      </c>
      <c r="L679" s="24">
        <v>5.2399997711181596</v>
      </c>
    </row>
    <row r="680" spans="2:12" x14ac:dyDescent="0.25">
      <c r="B680" s="17">
        <v>45422</v>
      </c>
      <c r="C680" s="58">
        <v>66</v>
      </c>
      <c r="D680" s="24">
        <v>5.2430000305175701</v>
      </c>
      <c r="F680" s="17">
        <v>45422</v>
      </c>
      <c r="G680" s="58">
        <v>66</v>
      </c>
      <c r="H680" s="3">
        <v>66</v>
      </c>
      <c r="I680" s="3">
        <v>66</v>
      </c>
      <c r="J680" s="23">
        <v>5.2430000305175701</v>
      </c>
      <c r="K680" s="23">
        <v>5.2430000305175701</v>
      </c>
      <c r="L680" s="24">
        <v>5.2430000305175701</v>
      </c>
    </row>
    <row r="681" spans="2:12" x14ac:dyDescent="0.25">
      <c r="B681" s="17">
        <v>45423</v>
      </c>
      <c r="C681" s="58">
        <v>53</v>
      </c>
      <c r="D681" s="24">
        <v>5.2430000305175701</v>
      </c>
      <c r="F681" s="17">
        <v>45423</v>
      </c>
      <c r="G681" s="58">
        <v>53</v>
      </c>
      <c r="H681" s="3">
        <v>53</v>
      </c>
      <c r="I681" s="3">
        <v>53</v>
      </c>
      <c r="J681" s="23">
        <v>5.2430000305175701</v>
      </c>
      <c r="K681" s="23">
        <v>5.2430000305175701</v>
      </c>
      <c r="L681" s="24">
        <v>5.2430000305175701</v>
      </c>
    </row>
    <row r="682" spans="2:12" x14ac:dyDescent="0.25">
      <c r="B682" s="17">
        <v>45424</v>
      </c>
      <c r="C682" s="58">
        <v>56</v>
      </c>
      <c r="D682" s="24">
        <v>5.2430000305175701</v>
      </c>
      <c r="F682" s="17">
        <v>45424</v>
      </c>
      <c r="G682" s="58">
        <v>56</v>
      </c>
      <c r="H682" s="3">
        <v>56</v>
      </c>
      <c r="I682" s="3">
        <v>56</v>
      </c>
      <c r="J682" s="23">
        <v>5.2430000305175701</v>
      </c>
      <c r="K682" s="23">
        <v>5.2430000305175701</v>
      </c>
      <c r="L682" s="24">
        <v>5.2430000305175701</v>
      </c>
    </row>
    <row r="683" spans="2:12" x14ac:dyDescent="0.25">
      <c r="B683" s="17">
        <v>45425</v>
      </c>
      <c r="C683" s="58">
        <v>57</v>
      </c>
      <c r="D683" s="24">
        <v>5.2399997711181596</v>
      </c>
      <c r="F683" s="17">
        <v>45425</v>
      </c>
      <c r="G683" s="58">
        <v>57</v>
      </c>
      <c r="H683" s="3">
        <v>57</v>
      </c>
      <c r="I683" s="3">
        <v>57</v>
      </c>
      <c r="J683" s="23">
        <v>5.2399997711181596</v>
      </c>
      <c r="K683" s="23">
        <v>5.2399997711181596</v>
      </c>
      <c r="L683" s="24">
        <v>5.2399997711181596</v>
      </c>
    </row>
    <row r="684" spans="2:12" x14ac:dyDescent="0.25">
      <c r="B684" s="17">
        <v>45426</v>
      </c>
      <c r="C684" s="58">
        <v>66</v>
      </c>
      <c r="D684" s="24">
        <v>5.2350001335143999</v>
      </c>
      <c r="F684" s="17">
        <v>45426</v>
      </c>
      <c r="G684" s="58">
        <v>66</v>
      </c>
      <c r="H684" s="3">
        <v>66</v>
      </c>
      <c r="I684" s="3">
        <v>66</v>
      </c>
      <c r="J684" s="23">
        <v>5.2350001335143999</v>
      </c>
      <c r="K684" s="23">
        <v>5.2350001335143999</v>
      </c>
      <c r="L684" s="24">
        <v>5.2350001335143999</v>
      </c>
    </row>
    <row r="685" spans="2:12" x14ac:dyDescent="0.25">
      <c r="B685" s="17">
        <v>45427</v>
      </c>
      <c r="C685" s="58">
        <v>64</v>
      </c>
      <c r="D685" s="24">
        <v>5.2399997711181596</v>
      </c>
      <c r="F685" s="17">
        <v>45427</v>
      </c>
      <c r="G685" s="58">
        <v>64</v>
      </c>
      <c r="H685" s="3">
        <v>64</v>
      </c>
      <c r="I685" s="3">
        <v>64</v>
      </c>
      <c r="J685" s="23">
        <v>5.2399997711181596</v>
      </c>
      <c r="K685" s="23">
        <v>5.2399997711181596</v>
      </c>
      <c r="L685" s="24">
        <v>5.2399997711181596</v>
      </c>
    </row>
    <row r="686" spans="2:12" x14ac:dyDescent="0.25">
      <c r="B686" s="17">
        <v>45428</v>
      </c>
      <c r="C686" s="58">
        <v>70</v>
      </c>
      <c r="D686" s="24">
        <v>5.2430000305175701</v>
      </c>
      <c r="F686" s="17">
        <v>45428</v>
      </c>
      <c r="G686" s="58">
        <v>70</v>
      </c>
      <c r="H686" s="3">
        <v>70</v>
      </c>
      <c r="I686" s="3">
        <v>70</v>
      </c>
      <c r="J686" s="23">
        <v>5.2430000305175701</v>
      </c>
      <c r="K686" s="23">
        <v>5.2430000305175701</v>
      </c>
      <c r="L686" s="24">
        <v>5.2430000305175701</v>
      </c>
    </row>
    <row r="687" spans="2:12" x14ac:dyDescent="0.25">
      <c r="B687" s="17">
        <v>45429</v>
      </c>
      <c r="C687" s="58">
        <v>74</v>
      </c>
      <c r="D687" s="24">
        <v>5.2399997711181596</v>
      </c>
      <c r="F687" s="17">
        <v>45429</v>
      </c>
      <c r="G687" s="58">
        <v>74</v>
      </c>
      <c r="H687" s="3">
        <v>74</v>
      </c>
      <c r="I687" s="3">
        <v>74</v>
      </c>
      <c r="J687" s="23">
        <v>5.2399997711181596</v>
      </c>
      <c r="K687" s="23">
        <v>5.2399997711181596</v>
      </c>
      <c r="L687" s="24">
        <v>5.2399997711181596</v>
      </c>
    </row>
    <row r="688" spans="2:12" x14ac:dyDescent="0.25">
      <c r="B688" s="17">
        <v>45430</v>
      </c>
      <c r="C688" s="58">
        <v>73</v>
      </c>
      <c r="D688" s="24">
        <v>5.2399997711181596</v>
      </c>
      <c r="F688" s="17">
        <v>45430</v>
      </c>
      <c r="G688" s="58">
        <v>73</v>
      </c>
      <c r="H688" s="3">
        <v>73</v>
      </c>
      <c r="I688" s="3">
        <v>73</v>
      </c>
      <c r="J688" s="23">
        <v>5.2399997711181596</v>
      </c>
      <c r="K688" s="23">
        <v>5.2399997711181596</v>
      </c>
      <c r="L688" s="24">
        <v>5.2399997711181596</v>
      </c>
    </row>
    <row r="689" spans="2:12" x14ac:dyDescent="0.25">
      <c r="B689" s="17">
        <v>45431</v>
      </c>
      <c r="C689" s="58">
        <v>72</v>
      </c>
      <c r="D689" s="24">
        <v>5.2399997711181596</v>
      </c>
      <c r="F689" s="17">
        <v>45431</v>
      </c>
      <c r="G689" s="58">
        <v>72</v>
      </c>
      <c r="H689" s="3">
        <v>72</v>
      </c>
      <c r="I689" s="3">
        <v>72</v>
      </c>
      <c r="J689" s="23">
        <v>5.2399997711181596</v>
      </c>
      <c r="K689" s="23">
        <v>5.2399997711181596</v>
      </c>
      <c r="L689" s="24">
        <v>5.2399997711181596</v>
      </c>
    </row>
    <row r="690" spans="2:12" x14ac:dyDescent="0.25">
      <c r="B690" s="17">
        <v>45432</v>
      </c>
      <c r="C690" s="58">
        <v>70</v>
      </c>
      <c r="D690" s="24">
        <v>5.2399997711181596</v>
      </c>
      <c r="F690" s="17">
        <v>45432</v>
      </c>
      <c r="G690" s="58">
        <v>70</v>
      </c>
      <c r="H690" s="3">
        <v>70</v>
      </c>
      <c r="I690" s="3">
        <v>70</v>
      </c>
      <c r="J690" s="23">
        <v>5.2399997711181596</v>
      </c>
      <c r="K690" s="23">
        <v>5.2399997711181596</v>
      </c>
      <c r="L690" s="24">
        <v>5.2399997711181596</v>
      </c>
    </row>
    <row r="691" spans="2:12" x14ac:dyDescent="0.25">
      <c r="B691" s="17">
        <v>45433</v>
      </c>
      <c r="C691" s="58">
        <v>76</v>
      </c>
      <c r="D691" s="24">
        <v>5.2399997711181596</v>
      </c>
      <c r="F691" s="17">
        <v>45433</v>
      </c>
      <c r="G691" s="58">
        <v>76</v>
      </c>
      <c r="H691" s="3">
        <v>76</v>
      </c>
      <c r="I691" s="3">
        <v>76</v>
      </c>
      <c r="J691" s="23">
        <v>5.2399997711181596</v>
      </c>
      <c r="K691" s="23">
        <v>5.2399997711181596</v>
      </c>
      <c r="L691" s="24">
        <v>5.2399997711181596</v>
      </c>
    </row>
    <row r="692" spans="2:12" x14ac:dyDescent="0.25">
      <c r="B692" s="17">
        <v>45434</v>
      </c>
      <c r="C692" s="58">
        <v>76</v>
      </c>
      <c r="D692" s="24">
        <v>5.2449998855590803</v>
      </c>
      <c r="F692" s="17">
        <v>45434</v>
      </c>
      <c r="G692" s="58">
        <v>76</v>
      </c>
      <c r="H692" s="3">
        <v>76</v>
      </c>
      <c r="I692" s="3">
        <v>76</v>
      </c>
      <c r="J692" s="23">
        <v>5.2449998855590803</v>
      </c>
      <c r="K692" s="23">
        <v>5.2449998855590803</v>
      </c>
      <c r="L692" s="24">
        <v>5.2449998855590803</v>
      </c>
    </row>
    <row r="693" spans="2:12" x14ac:dyDescent="0.25">
      <c r="B693" s="17">
        <v>45435</v>
      </c>
      <c r="C693" s="58">
        <v>76</v>
      </c>
      <c r="D693" s="24">
        <v>5.2449998855590803</v>
      </c>
      <c r="F693" s="17">
        <v>45435</v>
      </c>
      <c r="G693" s="58">
        <v>76</v>
      </c>
      <c r="H693" s="3">
        <v>76</v>
      </c>
      <c r="I693" s="3">
        <v>76</v>
      </c>
      <c r="J693" s="23">
        <v>5.2449998855590803</v>
      </c>
      <c r="K693" s="23">
        <v>5.2449998855590803</v>
      </c>
      <c r="L693" s="24">
        <v>5.2449998855590803</v>
      </c>
    </row>
    <row r="694" spans="2:12" x14ac:dyDescent="0.25">
      <c r="B694" s="17">
        <v>45436</v>
      </c>
      <c r="C694" s="58">
        <v>74</v>
      </c>
      <c r="D694" s="24">
        <v>5.2449998855590803</v>
      </c>
      <c r="F694" s="17">
        <v>45436</v>
      </c>
      <c r="G694" s="58">
        <v>74</v>
      </c>
      <c r="H694" s="3">
        <v>74</v>
      </c>
      <c r="I694" s="3">
        <v>74</v>
      </c>
      <c r="J694" s="23">
        <v>5.2449998855590803</v>
      </c>
      <c r="K694" s="23">
        <v>5.2449998855590803</v>
      </c>
      <c r="L694" s="24">
        <v>5.2449998855590803</v>
      </c>
    </row>
    <row r="695" spans="2:12" x14ac:dyDescent="0.25">
      <c r="B695" s="17">
        <v>45437</v>
      </c>
      <c r="C695" s="58">
        <v>76</v>
      </c>
      <c r="D695" s="24">
        <v>5.2449998855590803</v>
      </c>
      <c r="F695" s="17">
        <v>45437</v>
      </c>
      <c r="G695" s="58">
        <v>76</v>
      </c>
      <c r="H695" s="3">
        <v>76</v>
      </c>
      <c r="I695" s="3">
        <v>76</v>
      </c>
      <c r="J695" s="23">
        <v>5.2449998855590803</v>
      </c>
      <c r="K695" s="23">
        <v>5.2449998855590803</v>
      </c>
      <c r="L695" s="24">
        <v>5.2449998855590803</v>
      </c>
    </row>
    <row r="696" spans="2:12" x14ac:dyDescent="0.25">
      <c r="B696" s="17">
        <v>45438</v>
      </c>
      <c r="C696" s="58">
        <v>75</v>
      </c>
      <c r="D696" s="24">
        <v>5.2449998855590803</v>
      </c>
      <c r="F696" s="17">
        <v>45438</v>
      </c>
      <c r="G696" s="58">
        <v>75</v>
      </c>
      <c r="H696" s="3">
        <v>75</v>
      </c>
      <c r="I696" s="3">
        <v>75</v>
      </c>
      <c r="J696" s="23">
        <v>5.2449998855590803</v>
      </c>
      <c r="K696" s="23">
        <v>5.2449998855590803</v>
      </c>
      <c r="L696" s="24">
        <v>5.2449998855590803</v>
      </c>
    </row>
    <row r="697" spans="2:12" x14ac:dyDescent="0.25">
      <c r="B697" s="17">
        <v>45439</v>
      </c>
      <c r="C697" s="58">
        <v>74</v>
      </c>
      <c r="D697" s="24">
        <v>5.2449998855590803</v>
      </c>
      <c r="F697" s="17">
        <v>45439</v>
      </c>
      <c r="G697" s="58">
        <v>74</v>
      </c>
      <c r="H697" s="3">
        <v>74</v>
      </c>
      <c r="I697" s="3">
        <v>74</v>
      </c>
      <c r="J697" s="23">
        <v>5.2449998855590803</v>
      </c>
      <c r="K697" s="23">
        <v>5.2449998855590803</v>
      </c>
      <c r="L697" s="24">
        <v>5.2449998855590803</v>
      </c>
    </row>
    <row r="698" spans="2:12" x14ac:dyDescent="0.25">
      <c r="B698" s="17">
        <v>45440</v>
      </c>
      <c r="C698" s="58">
        <v>72</v>
      </c>
      <c r="D698" s="24">
        <v>5.2480001449584899</v>
      </c>
      <c r="F698" s="17">
        <v>45440</v>
      </c>
      <c r="G698" s="58">
        <v>72</v>
      </c>
      <c r="H698" s="3">
        <v>72</v>
      </c>
      <c r="I698" s="3">
        <v>72</v>
      </c>
      <c r="J698" s="23">
        <v>5.2480001449584899</v>
      </c>
      <c r="K698" s="23">
        <v>5.2480001449584899</v>
      </c>
      <c r="L698" s="24">
        <v>5.2480001449584899</v>
      </c>
    </row>
    <row r="699" spans="2:12" x14ac:dyDescent="0.25">
      <c r="B699" s="17">
        <v>45441</v>
      </c>
      <c r="C699" s="58">
        <v>72</v>
      </c>
      <c r="D699" s="24">
        <v>5.25</v>
      </c>
      <c r="F699" s="17">
        <v>45441</v>
      </c>
      <c r="G699" s="58">
        <v>72</v>
      </c>
      <c r="H699" s="3">
        <v>72</v>
      </c>
      <c r="I699" s="3">
        <v>72</v>
      </c>
      <c r="J699" s="23">
        <v>5.25</v>
      </c>
      <c r="K699" s="23">
        <v>5.25</v>
      </c>
      <c r="L699" s="24">
        <v>5.25</v>
      </c>
    </row>
    <row r="700" spans="2:12" x14ac:dyDescent="0.25">
      <c r="B700" s="17">
        <v>45442</v>
      </c>
      <c r="C700" s="58">
        <v>73</v>
      </c>
      <c r="D700" s="24">
        <v>5.2480001449584899</v>
      </c>
      <c r="F700" s="17">
        <v>45442</v>
      </c>
      <c r="G700" s="58">
        <v>73</v>
      </c>
      <c r="H700" s="3">
        <v>73</v>
      </c>
      <c r="I700" s="3">
        <v>73</v>
      </c>
      <c r="J700" s="23">
        <v>5.2480001449584899</v>
      </c>
      <c r="K700" s="23">
        <v>5.2480001449584899</v>
      </c>
      <c r="L700" s="24">
        <v>5.2480001449584899</v>
      </c>
    </row>
    <row r="701" spans="2:12" x14ac:dyDescent="0.25">
      <c r="B701" s="17">
        <v>45443</v>
      </c>
      <c r="C701" s="58">
        <v>73</v>
      </c>
      <c r="D701" s="24">
        <v>5.2449998855590803</v>
      </c>
      <c r="F701" s="17">
        <v>45443</v>
      </c>
      <c r="G701" s="58">
        <v>73</v>
      </c>
      <c r="H701" s="3">
        <v>73</v>
      </c>
      <c r="I701" s="3">
        <v>73</v>
      </c>
      <c r="J701" s="23">
        <v>5.2449998855590803</v>
      </c>
      <c r="K701" s="23">
        <v>5.2449998855590803</v>
      </c>
      <c r="L701" s="24">
        <v>5.2449998855590803</v>
      </c>
    </row>
    <row r="702" spans="2:12" x14ac:dyDescent="0.25">
      <c r="B702" s="17">
        <v>45444</v>
      </c>
      <c r="C702" s="58">
        <v>72</v>
      </c>
      <c r="D702" s="24">
        <v>5.2449998855590803</v>
      </c>
      <c r="F702" s="17">
        <v>45444</v>
      </c>
      <c r="G702" s="58">
        <v>72</v>
      </c>
      <c r="H702" s="3">
        <v>72</v>
      </c>
      <c r="I702" s="3">
        <v>72</v>
      </c>
      <c r="J702" s="23">
        <v>5.2449998855590803</v>
      </c>
      <c r="K702" s="23">
        <v>5.2449998855590803</v>
      </c>
      <c r="L702" s="24">
        <v>5.2449998855590803</v>
      </c>
    </row>
    <row r="703" spans="2:12" ht="15.75" thickBot="1" x14ac:dyDescent="0.3">
      <c r="B703" s="18">
        <v>45445</v>
      </c>
      <c r="C703" s="58">
        <v>73</v>
      </c>
      <c r="D703" s="24">
        <v>5.2449998855590803</v>
      </c>
      <c r="F703" s="18">
        <v>45445</v>
      </c>
      <c r="G703" s="58">
        <v>73</v>
      </c>
      <c r="H703" s="3">
        <v>73</v>
      </c>
      <c r="I703" s="3">
        <v>73</v>
      </c>
      <c r="J703" s="23">
        <v>5.2449998855590803</v>
      </c>
      <c r="K703" s="23">
        <v>5.2449998855590803</v>
      </c>
      <c r="L703" s="24">
        <v>5.2449998855590803</v>
      </c>
    </row>
    <row r="704" spans="2:12" x14ac:dyDescent="0.25">
      <c r="B704" s="16">
        <v>45446</v>
      </c>
      <c r="C704" s="58">
        <v>73</v>
      </c>
      <c r="D704" s="24">
        <v>5.2430000305175701</v>
      </c>
      <c r="F704" s="16">
        <v>45446</v>
      </c>
      <c r="G704" s="58">
        <v>73</v>
      </c>
      <c r="H704" s="3">
        <v>73</v>
      </c>
      <c r="I704" s="3">
        <v>73</v>
      </c>
      <c r="J704" s="23">
        <v>5.2430000305175701</v>
      </c>
      <c r="K704" s="23">
        <v>5.2430000305175701</v>
      </c>
      <c r="L704" s="24">
        <v>5.2430000305175701</v>
      </c>
    </row>
    <row r="705" spans="2:12" x14ac:dyDescent="0.25">
      <c r="B705" s="17">
        <v>45447</v>
      </c>
      <c r="C705" s="58">
        <v>73</v>
      </c>
      <c r="D705" s="24">
        <v>5.2399997711181596</v>
      </c>
      <c r="F705" s="17">
        <v>45447</v>
      </c>
      <c r="G705" s="58">
        <v>73</v>
      </c>
      <c r="H705" s="3">
        <v>73</v>
      </c>
      <c r="I705" s="3">
        <v>73</v>
      </c>
      <c r="J705" s="23">
        <v>5.2399997711181596</v>
      </c>
      <c r="K705" s="23">
        <v>5.2399997711181596</v>
      </c>
      <c r="L705" s="24">
        <v>5.2399997711181596</v>
      </c>
    </row>
    <row r="706" spans="2:12" x14ac:dyDescent="0.25">
      <c r="B706" s="17">
        <v>45448</v>
      </c>
      <c r="C706" s="58">
        <v>75</v>
      </c>
      <c r="D706" s="24">
        <v>5.2399997711181596</v>
      </c>
      <c r="F706" s="17">
        <v>45448</v>
      </c>
      <c r="G706" s="58">
        <v>75</v>
      </c>
      <c r="H706" s="3">
        <v>75</v>
      </c>
      <c r="I706" s="3">
        <v>75</v>
      </c>
      <c r="J706" s="23">
        <v>5.2399997711181596</v>
      </c>
      <c r="K706" s="23">
        <v>5.2399997711181596</v>
      </c>
      <c r="L706" s="24">
        <v>5.2399997711181596</v>
      </c>
    </row>
    <row r="707" spans="2:12" x14ac:dyDescent="0.25">
      <c r="B707" s="17">
        <v>45449</v>
      </c>
      <c r="C707" s="58">
        <v>78</v>
      </c>
      <c r="D707" s="24">
        <v>5.2329998016357404</v>
      </c>
      <c r="F707" s="17">
        <v>45449</v>
      </c>
      <c r="G707" s="58">
        <v>78</v>
      </c>
      <c r="H707" s="3">
        <v>78</v>
      </c>
      <c r="I707" s="3">
        <v>78</v>
      </c>
      <c r="J707" s="23">
        <v>5.2329998016357404</v>
      </c>
      <c r="K707" s="23">
        <v>5.2329998016357404</v>
      </c>
      <c r="L707" s="24">
        <v>5.2329998016357404</v>
      </c>
    </row>
    <row r="708" spans="2:12" x14ac:dyDescent="0.25">
      <c r="B708" s="17">
        <v>45450</v>
      </c>
      <c r="C708" s="58">
        <v>77</v>
      </c>
      <c r="D708" s="24">
        <v>5.2379999160766602</v>
      </c>
      <c r="F708" s="17">
        <v>45450</v>
      </c>
      <c r="G708" s="58">
        <v>77</v>
      </c>
      <c r="H708" s="3">
        <v>77</v>
      </c>
      <c r="I708" s="3">
        <v>77</v>
      </c>
      <c r="J708" s="23">
        <v>5.2379999160766602</v>
      </c>
      <c r="K708" s="23">
        <v>5.2379999160766602</v>
      </c>
      <c r="L708" s="24">
        <v>5.2379999160766602</v>
      </c>
    </row>
    <row r="709" spans="2:12" x14ac:dyDescent="0.25">
      <c r="B709" s="17">
        <v>45451</v>
      </c>
      <c r="C709" s="58">
        <v>72</v>
      </c>
      <c r="D709" s="24">
        <v>5.2379999160766602</v>
      </c>
      <c r="F709" s="17">
        <v>45451</v>
      </c>
      <c r="G709" s="58">
        <v>72</v>
      </c>
      <c r="H709" s="3">
        <v>72</v>
      </c>
      <c r="I709" s="3">
        <v>72</v>
      </c>
      <c r="J709" s="23">
        <v>5.2379999160766602</v>
      </c>
      <c r="K709" s="23">
        <v>5.2379999160766602</v>
      </c>
      <c r="L709" s="24">
        <v>5.2379999160766602</v>
      </c>
    </row>
    <row r="710" spans="2:12" x14ac:dyDescent="0.25">
      <c r="B710" s="17">
        <v>45452</v>
      </c>
      <c r="C710" s="58">
        <v>75</v>
      </c>
      <c r="D710" s="24">
        <v>5.2379999160766602</v>
      </c>
      <c r="F710" s="17">
        <v>45452</v>
      </c>
      <c r="G710" s="58">
        <v>75</v>
      </c>
      <c r="H710" s="3">
        <v>75</v>
      </c>
      <c r="I710" s="3">
        <v>75</v>
      </c>
      <c r="J710" s="23">
        <v>5.2379999160766602</v>
      </c>
      <c r="K710" s="23">
        <v>5.2379999160766602</v>
      </c>
      <c r="L710" s="24">
        <v>5.2379999160766602</v>
      </c>
    </row>
    <row r="711" spans="2:12" x14ac:dyDescent="0.25">
      <c r="B711" s="17">
        <v>45453</v>
      </c>
      <c r="C711" s="58">
        <v>72</v>
      </c>
      <c r="D711" s="24">
        <v>5.2329998016357404</v>
      </c>
      <c r="F711" s="17">
        <v>45453</v>
      </c>
      <c r="G711" s="58">
        <v>72</v>
      </c>
      <c r="H711" s="3">
        <v>72</v>
      </c>
      <c r="I711" s="3">
        <v>72</v>
      </c>
      <c r="J711" s="23">
        <v>5.2329998016357404</v>
      </c>
      <c r="K711" s="23">
        <v>5.2329998016357404</v>
      </c>
      <c r="L711" s="24">
        <v>5.2329998016357404</v>
      </c>
    </row>
    <row r="712" spans="2:12" x14ac:dyDescent="0.25">
      <c r="B712" s="17">
        <v>45454</v>
      </c>
      <c r="C712" s="58">
        <v>74</v>
      </c>
      <c r="D712" s="24">
        <v>5.2449998855590803</v>
      </c>
      <c r="F712" s="17">
        <v>45454</v>
      </c>
      <c r="G712" s="58">
        <v>74</v>
      </c>
      <c r="H712" s="3">
        <v>74</v>
      </c>
      <c r="I712" s="3">
        <v>74</v>
      </c>
      <c r="J712" s="23">
        <v>5.2449998855590803</v>
      </c>
      <c r="K712" s="23">
        <v>5.2449998855590803</v>
      </c>
      <c r="L712" s="24">
        <v>5.2449998855590803</v>
      </c>
    </row>
    <row r="713" spans="2:12" x14ac:dyDescent="0.25">
      <c r="B713" s="17">
        <v>45455</v>
      </c>
      <c r="C713" s="58">
        <v>72</v>
      </c>
      <c r="D713" s="24">
        <v>5.2430000305175701</v>
      </c>
      <c r="F713" s="17">
        <v>45455</v>
      </c>
      <c r="G713" s="58">
        <v>72</v>
      </c>
      <c r="H713" s="3">
        <v>72</v>
      </c>
      <c r="I713" s="3">
        <v>72</v>
      </c>
      <c r="J713" s="23">
        <v>5.2430000305175701</v>
      </c>
      <c r="K713" s="23">
        <v>5.2430000305175701</v>
      </c>
      <c r="L713" s="24">
        <v>5.2430000305175701</v>
      </c>
    </row>
    <row r="714" spans="2:12" x14ac:dyDescent="0.25">
      <c r="B714" s="17">
        <v>45456</v>
      </c>
      <c r="C714" s="58">
        <v>70</v>
      </c>
      <c r="D714" s="24">
        <v>5.2399997711181596</v>
      </c>
      <c r="F714" s="17">
        <v>45456</v>
      </c>
      <c r="G714" s="58">
        <v>70</v>
      </c>
      <c r="H714" s="3">
        <v>70</v>
      </c>
      <c r="I714" s="3">
        <v>70</v>
      </c>
      <c r="J714" s="23">
        <v>5.2399997711181596</v>
      </c>
      <c r="K714" s="23">
        <v>5.2399997711181596</v>
      </c>
      <c r="L714" s="24">
        <v>5.2399997711181596</v>
      </c>
    </row>
    <row r="715" spans="2:12" x14ac:dyDescent="0.25">
      <c r="B715" s="17">
        <v>45457</v>
      </c>
      <c r="C715" s="58">
        <v>74</v>
      </c>
      <c r="D715" s="24">
        <v>5.2399997711181596</v>
      </c>
      <c r="F715" s="17">
        <v>45457</v>
      </c>
      <c r="G715" s="58">
        <v>74</v>
      </c>
      <c r="H715" s="3">
        <v>74</v>
      </c>
      <c r="I715" s="3">
        <v>74</v>
      </c>
      <c r="J715" s="23">
        <v>5.2399997711181596</v>
      </c>
      <c r="K715" s="23">
        <v>5.2399997711181596</v>
      </c>
      <c r="L715" s="24">
        <v>5.2399997711181596</v>
      </c>
    </row>
    <row r="716" spans="2:12" x14ac:dyDescent="0.25">
      <c r="B716" s="17">
        <v>45458</v>
      </c>
      <c r="C716" s="58">
        <v>74</v>
      </c>
      <c r="D716" s="24">
        <v>5.2399997711181596</v>
      </c>
      <c r="F716" s="17">
        <v>45458</v>
      </c>
      <c r="G716" s="58">
        <v>74</v>
      </c>
      <c r="H716" s="3">
        <v>74</v>
      </c>
      <c r="I716" s="3">
        <v>74</v>
      </c>
      <c r="J716" s="23">
        <v>5.2399997711181596</v>
      </c>
      <c r="K716" s="23">
        <v>5.2399997711181596</v>
      </c>
      <c r="L716" s="24">
        <v>5.2399997711181596</v>
      </c>
    </row>
    <row r="717" spans="2:12" x14ac:dyDescent="0.25">
      <c r="B717" s="17">
        <v>45459</v>
      </c>
      <c r="C717" s="58">
        <v>71</v>
      </c>
      <c r="D717" s="24">
        <v>5.2399997711181596</v>
      </c>
      <c r="F717" s="17">
        <v>45459</v>
      </c>
      <c r="G717" s="58">
        <v>71</v>
      </c>
      <c r="H717" s="3">
        <v>71</v>
      </c>
      <c r="I717" s="3">
        <v>71</v>
      </c>
      <c r="J717" s="23">
        <v>5.2399997711181596</v>
      </c>
      <c r="K717" s="23">
        <v>5.2399997711181596</v>
      </c>
      <c r="L717" s="24">
        <v>5.2399997711181596</v>
      </c>
    </row>
    <row r="718" spans="2:12" x14ac:dyDescent="0.25">
      <c r="B718" s="17">
        <v>45460</v>
      </c>
      <c r="C718" s="58">
        <v>71</v>
      </c>
      <c r="D718" s="24">
        <v>5.2430000305175701</v>
      </c>
      <c r="F718" s="17">
        <v>45460</v>
      </c>
      <c r="G718" s="58">
        <v>71</v>
      </c>
      <c r="H718" s="3">
        <v>71</v>
      </c>
      <c r="I718" s="3">
        <v>71</v>
      </c>
      <c r="J718" s="23">
        <v>5.2430000305175701</v>
      </c>
      <c r="K718" s="23">
        <v>5.2430000305175701</v>
      </c>
      <c r="L718" s="24">
        <v>5.2430000305175701</v>
      </c>
    </row>
    <row r="719" spans="2:12" x14ac:dyDescent="0.25">
      <c r="B719" s="17">
        <v>45461</v>
      </c>
      <c r="C719" s="58">
        <v>74</v>
      </c>
      <c r="D719" s="24">
        <v>5.2350001335143999</v>
      </c>
      <c r="F719" s="17">
        <v>45461</v>
      </c>
      <c r="G719" s="58">
        <v>74</v>
      </c>
      <c r="H719" s="3">
        <v>74</v>
      </c>
      <c r="I719" s="3">
        <v>74</v>
      </c>
      <c r="J719" s="23">
        <v>5.2350001335143999</v>
      </c>
      <c r="K719" s="23">
        <v>5.2350001335143999</v>
      </c>
      <c r="L719" s="24">
        <v>5.2350001335143999</v>
      </c>
    </row>
    <row r="720" spans="2:12" x14ac:dyDescent="0.25">
      <c r="B720" s="17">
        <v>45462</v>
      </c>
      <c r="C720" s="58">
        <v>64</v>
      </c>
      <c r="D720" s="24">
        <v>5.2350001335143999</v>
      </c>
      <c r="F720" s="17">
        <v>45462</v>
      </c>
      <c r="G720" s="58">
        <v>64</v>
      </c>
      <c r="H720" s="3">
        <v>64</v>
      </c>
      <c r="I720" s="3">
        <v>64</v>
      </c>
      <c r="J720" s="23">
        <v>5.2350001335143999</v>
      </c>
      <c r="K720" s="23">
        <v>5.2350001335143999</v>
      </c>
      <c r="L720" s="24">
        <v>5.2350001335143999</v>
      </c>
    </row>
    <row r="721" spans="2:12" x14ac:dyDescent="0.25">
      <c r="B721" s="17">
        <v>45463</v>
      </c>
      <c r="C721" s="58">
        <v>60</v>
      </c>
      <c r="D721" s="24">
        <v>5.2249999046325604</v>
      </c>
      <c r="F721" s="17">
        <v>45463</v>
      </c>
      <c r="G721" s="58">
        <v>60</v>
      </c>
      <c r="H721" s="3">
        <v>60</v>
      </c>
      <c r="I721" s="3">
        <v>60</v>
      </c>
      <c r="J721" s="23">
        <v>5.2249999046325604</v>
      </c>
      <c r="K721" s="23">
        <v>5.2249999046325604</v>
      </c>
      <c r="L721" s="24">
        <v>5.2249999046325604</v>
      </c>
    </row>
    <row r="722" spans="2:12" x14ac:dyDescent="0.25">
      <c r="B722" s="17">
        <v>45464</v>
      </c>
      <c r="C722" s="58">
        <v>63</v>
      </c>
      <c r="D722" s="24">
        <v>5.2150001525878897</v>
      </c>
      <c r="F722" s="17">
        <v>45464</v>
      </c>
      <c r="G722" s="58">
        <v>63</v>
      </c>
      <c r="H722" s="3">
        <v>63</v>
      </c>
      <c r="I722" s="3">
        <v>63</v>
      </c>
      <c r="J722" s="23">
        <v>5.2150001525878897</v>
      </c>
      <c r="K722" s="23">
        <v>5.2150001525878897</v>
      </c>
      <c r="L722" s="24">
        <v>5.2150001525878897</v>
      </c>
    </row>
    <row r="723" spans="2:12" x14ac:dyDescent="0.25">
      <c r="B723" s="17">
        <v>45465</v>
      </c>
      <c r="C723" s="58">
        <v>53</v>
      </c>
      <c r="D723" s="24">
        <v>5.2150001525878897</v>
      </c>
      <c r="F723" s="17">
        <v>45465</v>
      </c>
      <c r="G723" s="58">
        <v>53</v>
      </c>
      <c r="H723" s="3">
        <v>53</v>
      </c>
      <c r="I723" s="3">
        <v>53</v>
      </c>
      <c r="J723" s="23">
        <v>5.2150001525878897</v>
      </c>
      <c r="K723" s="23">
        <v>5.2150001525878897</v>
      </c>
      <c r="L723" s="24">
        <v>5.2150001525878897</v>
      </c>
    </row>
    <row r="724" spans="2:12" x14ac:dyDescent="0.25">
      <c r="B724" s="17">
        <v>45466</v>
      </c>
      <c r="C724" s="58">
        <v>55</v>
      </c>
      <c r="D724" s="24">
        <v>5.2150001525878897</v>
      </c>
      <c r="F724" s="17">
        <v>45466</v>
      </c>
      <c r="G724" s="58">
        <v>55</v>
      </c>
      <c r="H724" s="3">
        <v>55</v>
      </c>
      <c r="I724" s="3">
        <v>55</v>
      </c>
      <c r="J724" s="23">
        <v>5.2150001525878897</v>
      </c>
      <c r="K724" s="23">
        <v>5.2150001525878897</v>
      </c>
      <c r="L724" s="24">
        <v>5.2150001525878897</v>
      </c>
    </row>
    <row r="725" spans="2:12" x14ac:dyDescent="0.25">
      <c r="B725" s="17">
        <v>45467</v>
      </c>
      <c r="C725" s="58">
        <v>51</v>
      </c>
      <c r="D725" s="24">
        <v>5.21000003814697</v>
      </c>
      <c r="F725" s="17">
        <v>45467</v>
      </c>
      <c r="G725" s="58">
        <v>51</v>
      </c>
      <c r="H725" s="3">
        <v>51</v>
      </c>
      <c r="I725" s="3">
        <v>51</v>
      </c>
      <c r="J725" s="23">
        <v>5.21000003814697</v>
      </c>
      <c r="K725" s="23">
        <v>5.21000003814697</v>
      </c>
      <c r="L725" s="24">
        <v>5.21000003814697</v>
      </c>
    </row>
    <row r="726" spans="2:12" x14ac:dyDescent="0.25">
      <c r="B726" s="17">
        <v>45468</v>
      </c>
      <c r="C726" s="58">
        <v>30</v>
      </c>
      <c r="D726" s="24">
        <v>5.22300004959106</v>
      </c>
      <c r="F726" s="17">
        <v>45468</v>
      </c>
      <c r="G726" s="58">
        <v>30</v>
      </c>
      <c r="H726" s="3">
        <v>30</v>
      </c>
      <c r="I726" s="3">
        <v>30</v>
      </c>
      <c r="J726" s="23">
        <v>5.22300004959106</v>
      </c>
      <c r="K726" s="23">
        <v>5.22300004959106</v>
      </c>
      <c r="L726" s="24">
        <v>5.22300004959106</v>
      </c>
    </row>
    <row r="727" spans="2:12" x14ac:dyDescent="0.25">
      <c r="B727" s="17">
        <v>45469</v>
      </c>
      <c r="C727" s="58">
        <v>46</v>
      </c>
      <c r="D727" s="24">
        <v>5.2300000190734801</v>
      </c>
      <c r="F727" s="17">
        <v>45469</v>
      </c>
      <c r="G727" s="58">
        <v>46</v>
      </c>
      <c r="H727" s="3">
        <v>46</v>
      </c>
      <c r="I727" s="3">
        <v>46</v>
      </c>
      <c r="J727" s="23">
        <v>5.2300000190734801</v>
      </c>
      <c r="K727" s="23">
        <v>5.2300000190734801</v>
      </c>
      <c r="L727" s="24">
        <v>5.2300000190734801</v>
      </c>
    </row>
    <row r="728" spans="2:12" x14ac:dyDescent="0.25">
      <c r="B728" s="17">
        <v>45470</v>
      </c>
      <c r="C728" s="58">
        <v>40</v>
      </c>
      <c r="D728" s="24">
        <v>5.22300004959106</v>
      </c>
      <c r="F728" s="17">
        <v>45470</v>
      </c>
      <c r="G728" s="58">
        <v>40</v>
      </c>
      <c r="H728" s="3">
        <v>40</v>
      </c>
      <c r="I728" s="3">
        <v>40</v>
      </c>
      <c r="J728" s="23">
        <v>5.22300004959106</v>
      </c>
      <c r="K728" s="23">
        <v>5.22300004959106</v>
      </c>
      <c r="L728" s="24">
        <v>5.22300004959106</v>
      </c>
    </row>
    <row r="729" spans="2:12" x14ac:dyDescent="0.25">
      <c r="B729" s="17">
        <v>45471</v>
      </c>
      <c r="C729" s="58">
        <v>47</v>
      </c>
      <c r="D729" s="24">
        <v>5.2129998207092196</v>
      </c>
      <c r="F729" s="17">
        <v>45471</v>
      </c>
      <c r="G729" s="58">
        <v>47</v>
      </c>
      <c r="H729" s="3">
        <v>47</v>
      </c>
      <c r="I729" s="3">
        <v>47</v>
      </c>
      <c r="J729" s="23">
        <v>5.2129998207092196</v>
      </c>
      <c r="K729" s="23">
        <v>5.2129998207092196</v>
      </c>
      <c r="L729" s="24">
        <v>5.2129998207092196</v>
      </c>
    </row>
    <row r="730" spans="2:12" x14ac:dyDescent="0.25">
      <c r="B730" s="17">
        <v>45472</v>
      </c>
      <c r="C730" s="58">
        <v>30</v>
      </c>
      <c r="D730" s="24">
        <v>5.2129998207092196</v>
      </c>
      <c r="F730" s="17">
        <v>45472</v>
      </c>
      <c r="G730" s="58">
        <v>30</v>
      </c>
      <c r="H730" s="3">
        <v>30</v>
      </c>
      <c r="I730" s="3">
        <v>30</v>
      </c>
      <c r="J730" s="23">
        <v>5.2129998207092196</v>
      </c>
      <c r="K730" s="23">
        <v>5.2129998207092196</v>
      </c>
      <c r="L730" s="24">
        <v>5.2129998207092196</v>
      </c>
    </row>
    <row r="731" spans="2:12" x14ac:dyDescent="0.25">
      <c r="B731" s="17">
        <v>45473</v>
      </c>
      <c r="C731" s="58">
        <v>47</v>
      </c>
      <c r="D731" s="24">
        <v>5.2129998207092196</v>
      </c>
      <c r="F731" s="17">
        <v>45473</v>
      </c>
      <c r="G731" s="58">
        <v>47</v>
      </c>
      <c r="H731" s="3">
        <v>47</v>
      </c>
      <c r="I731" s="3">
        <v>47</v>
      </c>
      <c r="J731" s="23">
        <v>5.2129998207092196</v>
      </c>
      <c r="K731" s="23">
        <v>5.2129998207092196</v>
      </c>
      <c r="L731" s="24">
        <v>5.2129998207092196</v>
      </c>
    </row>
    <row r="732" spans="2:12" x14ac:dyDescent="0.25">
      <c r="B732" s="17">
        <v>45474</v>
      </c>
      <c r="C732" s="58">
        <v>53</v>
      </c>
      <c r="D732" s="24">
        <v>5.2179999351501403</v>
      </c>
      <c r="F732" s="17">
        <v>45474</v>
      </c>
      <c r="G732" s="58">
        <v>53</v>
      </c>
      <c r="H732" s="3">
        <v>53</v>
      </c>
      <c r="I732" s="3">
        <v>53</v>
      </c>
      <c r="J732" s="23">
        <v>5.2179999351501403</v>
      </c>
      <c r="K732" s="23">
        <v>5.2179999351501403</v>
      </c>
      <c r="L732" s="24">
        <v>5.2179999351501403</v>
      </c>
    </row>
    <row r="733" spans="2:12" x14ac:dyDescent="0.25">
      <c r="B733" s="17">
        <v>45475</v>
      </c>
      <c r="C733" s="58">
        <v>51</v>
      </c>
      <c r="D733" s="24">
        <v>5.2280001640319798</v>
      </c>
      <c r="F733" s="17">
        <v>45475</v>
      </c>
      <c r="G733" s="58">
        <v>51</v>
      </c>
      <c r="H733" s="3">
        <v>51</v>
      </c>
      <c r="I733" s="3">
        <v>51</v>
      </c>
      <c r="J733" s="23">
        <v>5.2280001640319798</v>
      </c>
      <c r="K733" s="23">
        <v>5.2280001640319798</v>
      </c>
      <c r="L733" s="24">
        <v>5.2280001640319798</v>
      </c>
    </row>
    <row r="734" spans="2:12" x14ac:dyDescent="0.25">
      <c r="B734" s="17">
        <v>45476</v>
      </c>
      <c r="C734" s="58">
        <v>50</v>
      </c>
      <c r="D734" s="24">
        <v>5.2300000190734801</v>
      </c>
      <c r="F734" s="17">
        <v>45476</v>
      </c>
      <c r="G734" s="58">
        <v>50</v>
      </c>
      <c r="H734" s="3">
        <v>50</v>
      </c>
      <c r="I734" s="3">
        <v>50</v>
      </c>
      <c r="J734" s="23">
        <v>5.2300000190734801</v>
      </c>
      <c r="K734" s="23">
        <v>5.2300000190734801</v>
      </c>
      <c r="L734" s="24">
        <v>5.2300000190734801</v>
      </c>
    </row>
    <row r="735" spans="2:12" x14ac:dyDescent="0.25">
      <c r="B735" s="17">
        <v>45477</v>
      </c>
      <c r="C735" s="58">
        <v>44</v>
      </c>
      <c r="D735" s="24">
        <v>5.2300000190734801</v>
      </c>
      <c r="F735" s="17">
        <v>45477</v>
      </c>
      <c r="G735" s="58">
        <v>44</v>
      </c>
      <c r="H735" s="3">
        <v>44</v>
      </c>
      <c r="I735" s="3">
        <v>44</v>
      </c>
      <c r="J735" s="23">
        <v>5.2300000190734801</v>
      </c>
      <c r="K735" s="23">
        <v>5.2300000190734801</v>
      </c>
      <c r="L735" s="24">
        <v>5.2300000190734801</v>
      </c>
    </row>
    <row r="736" spans="2:12" x14ac:dyDescent="0.25">
      <c r="B736" s="17">
        <v>45478</v>
      </c>
      <c r="C736" s="58">
        <v>29</v>
      </c>
      <c r="D736" s="24">
        <v>5.2249999046325604</v>
      </c>
      <c r="F736" s="17">
        <v>45478</v>
      </c>
      <c r="G736" s="58">
        <v>29</v>
      </c>
      <c r="H736" s="3">
        <v>29</v>
      </c>
      <c r="I736" s="3">
        <v>29</v>
      </c>
      <c r="J736" s="23">
        <v>5.2249999046325604</v>
      </c>
      <c r="K736" s="23">
        <v>5.2249999046325604</v>
      </c>
      <c r="L736" s="24">
        <v>5.2249999046325604</v>
      </c>
    </row>
    <row r="737" spans="2:12" x14ac:dyDescent="0.25">
      <c r="B737" s="17">
        <v>45479</v>
      </c>
      <c r="C737" s="58">
        <v>26</v>
      </c>
      <c r="D737" s="24">
        <v>5.2249999046325604</v>
      </c>
      <c r="F737" s="17">
        <v>45479</v>
      </c>
      <c r="G737" s="58">
        <v>26</v>
      </c>
      <c r="H737" s="3">
        <v>26</v>
      </c>
      <c r="I737" s="3">
        <v>26</v>
      </c>
      <c r="J737" s="23">
        <v>5.2249999046325604</v>
      </c>
      <c r="K737" s="23">
        <v>5.2249999046325604</v>
      </c>
      <c r="L737" s="24">
        <v>5.2249999046325604</v>
      </c>
    </row>
    <row r="738" spans="2:12" x14ac:dyDescent="0.25">
      <c r="B738" s="17">
        <v>45480</v>
      </c>
      <c r="C738" s="58">
        <v>29</v>
      </c>
      <c r="D738" s="24">
        <v>5.2249999046325604</v>
      </c>
      <c r="F738" s="17">
        <v>45480</v>
      </c>
      <c r="G738" s="58">
        <v>29</v>
      </c>
      <c r="H738" s="3">
        <v>29</v>
      </c>
      <c r="I738" s="3">
        <v>29</v>
      </c>
      <c r="J738" s="23">
        <v>5.2249999046325604</v>
      </c>
      <c r="K738" s="23">
        <v>5.2249999046325604</v>
      </c>
      <c r="L738" s="24">
        <v>5.2249999046325604</v>
      </c>
    </row>
    <row r="739" spans="2:12" x14ac:dyDescent="0.25">
      <c r="B739" s="17">
        <v>45481</v>
      </c>
      <c r="C739" s="58">
        <v>28</v>
      </c>
      <c r="D739" s="24">
        <v>5.2179999351501403</v>
      </c>
      <c r="F739" s="17">
        <v>45481</v>
      </c>
      <c r="G739" s="58">
        <v>28</v>
      </c>
      <c r="H739" s="3">
        <v>28</v>
      </c>
      <c r="I739" s="3">
        <v>28</v>
      </c>
      <c r="J739" s="23">
        <v>5.2179999351501403</v>
      </c>
      <c r="K739" s="23">
        <v>5.2179999351501403</v>
      </c>
      <c r="L739" s="24">
        <v>5.2179999351501403</v>
      </c>
    </row>
    <row r="740" spans="2:12" x14ac:dyDescent="0.25">
      <c r="B740" s="17">
        <v>45482</v>
      </c>
      <c r="C740" s="58">
        <v>27</v>
      </c>
      <c r="D740" s="24">
        <v>5.2249999046325604</v>
      </c>
      <c r="F740" s="17">
        <v>45482</v>
      </c>
      <c r="G740" s="58">
        <v>27</v>
      </c>
      <c r="H740" s="3">
        <v>27</v>
      </c>
      <c r="I740" s="3">
        <v>27</v>
      </c>
      <c r="J740" s="23">
        <v>5.2249999046325604</v>
      </c>
      <c r="K740" s="23">
        <v>5.2249999046325604</v>
      </c>
      <c r="L740" s="24">
        <v>5.2249999046325604</v>
      </c>
    </row>
    <row r="741" spans="2:12" x14ac:dyDescent="0.25">
      <c r="B741" s="17">
        <v>45483</v>
      </c>
      <c r="C741" s="58">
        <v>28</v>
      </c>
      <c r="D741" s="24">
        <v>5.2249999046325604</v>
      </c>
      <c r="F741" s="17">
        <v>45483</v>
      </c>
      <c r="G741" s="58">
        <v>28</v>
      </c>
      <c r="H741" s="3">
        <v>28</v>
      </c>
      <c r="I741" s="3">
        <v>28</v>
      </c>
      <c r="J741" s="23">
        <v>5.2249999046325604</v>
      </c>
      <c r="K741" s="23">
        <v>5.2249999046325604</v>
      </c>
      <c r="L741" s="24">
        <v>5.2249999046325604</v>
      </c>
    </row>
    <row r="742" spans="2:12" x14ac:dyDescent="0.25">
      <c r="B742" s="17">
        <v>45484</v>
      </c>
      <c r="C742" s="58">
        <v>29</v>
      </c>
      <c r="D742" s="24">
        <v>5.1979999542236301</v>
      </c>
      <c r="F742" s="17">
        <v>45484</v>
      </c>
      <c r="G742" s="58">
        <v>29</v>
      </c>
      <c r="H742" s="3">
        <v>29</v>
      </c>
      <c r="I742" s="3">
        <v>29</v>
      </c>
      <c r="J742" s="23">
        <v>5.1979999542236301</v>
      </c>
      <c r="K742" s="23">
        <v>5.1979999542236301</v>
      </c>
      <c r="L742" s="24">
        <v>5.1979999542236301</v>
      </c>
    </row>
    <row r="743" spans="2:12" x14ac:dyDescent="0.25">
      <c r="B743" s="17">
        <v>45485</v>
      </c>
      <c r="C743" s="58">
        <v>25</v>
      </c>
      <c r="D743" s="24">
        <v>5.1979999542236301</v>
      </c>
      <c r="F743" s="17">
        <v>45485</v>
      </c>
      <c r="G743" s="58">
        <v>25</v>
      </c>
      <c r="H743" s="3">
        <v>25</v>
      </c>
      <c r="I743" s="3">
        <v>25</v>
      </c>
      <c r="J743" s="23">
        <v>5.1979999542236301</v>
      </c>
      <c r="K743" s="23">
        <v>5.1979999542236301</v>
      </c>
      <c r="L743" s="24">
        <v>5.1979999542236301</v>
      </c>
    </row>
    <row r="744" spans="2:12" x14ac:dyDescent="0.25">
      <c r="B744" s="17">
        <v>45486</v>
      </c>
      <c r="C744" s="58">
        <v>25</v>
      </c>
      <c r="D744" s="24">
        <v>5.1979999542236301</v>
      </c>
      <c r="F744" s="17">
        <v>45486</v>
      </c>
      <c r="G744" s="58">
        <v>25</v>
      </c>
      <c r="H744" s="3">
        <v>25</v>
      </c>
      <c r="I744" s="3">
        <v>25</v>
      </c>
      <c r="J744" s="23">
        <v>5.1979999542236301</v>
      </c>
      <c r="K744" s="23">
        <v>5.1979999542236301</v>
      </c>
      <c r="L744" s="24">
        <v>5.1979999542236301</v>
      </c>
    </row>
    <row r="745" spans="2:12" x14ac:dyDescent="0.25">
      <c r="B745" s="17">
        <v>45487</v>
      </c>
      <c r="C745" s="58">
        <v>33</v>
      </c>
      <c r="D745" s="24">
        <v>5.1979999542236301</v>
      </c>
      <c r="F745" s="17">
        <v>45487</v>
      </c>
      <c r="G745" s="58">
        <v>33</v>
      </c>
      <c r="H745" s="3">
        <v>33</v>
      </c>
      <c r="I745" s="3">
        <v>33</v>
      </c>
      <c r="J745" s="23">
        <v>5.1979999542236301</v>
      </c>
      <c r="K745" s="23">
        <v>5.1979999542236301</v>
      </c>
      <c r="L745" s="24">
        <v>5.1979999542236301</v>
      </c>
    </row>
    <row r="746" spans="2:12" x14ac:dyDescent="0.25">
      <c r="B746" s="17">
        <v>45488</v>
      </c>
      <c r="C746" s="58">
        <v>52</v>
      </c>
      <c r="D746" s="24">
        <v>5.1929998397827104</v>
      </c>
      <c r="F746" s="17">
        <v>45488</v>
      </c>
      <c r="G746" s="58">
        <v>52</v>
      </c>
      <c r="H746" s="3">
        <v>52</v>
      </c>
      <c r="I746" s="3">
        <v>52</v>
      </c>
      <c r="J746" s="23">
        <v>5.1929998397827104</v>
      </c>
      <c r="K746" s="23">
        <v>5.1929998397827104</v>
      </c>
      <c r="L746" s="24">
        <v>5.1929998397827104</v>
      </c>
    </row>
    <row r="747" spans="2:12" x14ac:dyDescent="0.25">
      <c r="B747" s="17">
        <v>45489</v>
      </c>
      <c r="C747" s="58">
        <v>65</v>
      </c>
      <c r="D747" s="24">
        <v>5.1929998397827104</v>
      </c>
      <c r="F747" s="17">
        <v>45489</v>
      </c>
      <c r="G747" s="58">
        <v>65</v>
      </c>
      <c r="H747" s="3">
        <v>65</v>
      </c>
      <c r="I747" s="3">
        <v>65</v>
      </c>
      <c r="J747" s="23">
        <v>5.1929998397827104</v>
      </c>
      <c r="K747" s="23">
        <v>5.1929998397827104</v>
      </c>
      <c r="L747" s="24">
        <v>5.1929998397827104</v>
      </c>
    </row>
    <row r="748" spans="2:12" x14ac:dyDescent="0.25">
      <c r="B748" s="17">
        <v>45490</v>
      </c>
      <c r="C748" s="58">
        <v>69</v>
      </c>
      <c r="D748" s="24">
        <v>5.1950001716613698</v>
      </c>
      <c r="F748" s="17">
        <v>45490</v>
      </c>
      <c r="G748" s="58">
        <v>69</v>
      </c>
      <c r="H748" s="3">
        <v>69</v>
      </c>
      <c r="I748" s="3">
        <v>69</v>
      </c>
      <c r="J748" s="23">
        <v>5.1950001716613698</v>
      </c>
      <c r="K748" s="23">
        <v>5.1950001716613698</v>
      </c>
      <c r="L748" s="24">
        <v>5.1950001716613698</v>
      </c>
    </row>
    <row r="749" spans="2:12" x14ac:dyDescent="0.25">
      <c r="B749" s="17">
        <v>45491</v>
      </c>
      <c r="C749" s="58">
        <v>61</v>
      </c>
      <c r="D749" s="24">
        <v>5.1929998397827104</v>
      </c>
      <c r="F749" s="17">
        <v>45491</v>
      </c>
      <c r="G749" s="58">
        <v>61</v>
      </c>
      <c r="H749" s="3">
        <v>61</v>
      </c>
      <c r="I749" s="3">
        <v>61</v>
      </c>
      <c r="J749" s="23">
        <v>5.1929998397827104</v>
      </c>
      <c r="K749" s="23">
        <v>5.1929998397827104</v>
      </c>
      <c r="L749" s="24">
        <v>5.1929998397827104</v>
      </c>
    </row>
    <row r="750" spans="2:12" x14ac:dyDescent="0.25">
      <c r="B750" s="17">
        <v>45492</v>
      </c>
      <c r="C750" s="58">
        <v>60</v>
      </c>
      <c r="D750" s="24">
        <v>5.1929998397827104</v>
      </c>
      <c r="F750" s="17">
        <v>45492</v>
      </c>
      <c r="G750" s="58">
        <v>60</v>
      </c>
      <c r="H750" s="3">
        <v>60</v>
      </c>
      <c r="I750" s="3">
        <v>60</v>
      </c>
      <c r="J750" s="23">
        <v>5.1929998397827104</v>
      </c>
      <c r="K750" s="23">
        <v>5.1929998397827104</v>
      </c>
      <c r="L750" s="24">
        <v>5.1929998397827104</v>
      </c>
    </row>
    <row r="751" spans="2:12" x14ac:dyDescent="0.25">
      <c r="B751" s="17">
        <v>45493</v>
      </c>
      <c r="C751" s="58">
        <v>74</v>
      </c>
      <c r="D751" s="24">
        <v>5.1929998397827104</v>
      </c>
      <c r="F751" s="17">
        <v>45493</v>
      </c>
      <c r="G751" s="58">
        <v>74</v>
      </c>
      <c r="H751" s="3">
        <v>74</v>
      </c>
      <c r="I751" s="3">
        <v>74</v>
      </c>
      <c r="J751" s="23">
        <v>5.1929998397827104</v>
      </c>
      <c r="K751" s="23">
        <v>5.1929998397827104</v>
      </c>
      <c r="L751" s="24">
        <v>5.1929998397827104</v>
      </c>
    </row>
    <row r="752" spans="2:12" x14ac:dyDescent="0.25">
      <c r="B752" s="17">
        <v>45494</v>
      </c>
      <c r="C752" s="58">
        <v>74</v>
      </c>
      <c r="D752" s="24">
        <v>5.1929998397827104</v>
      </c>
      <c r="F752" s="17">
        <v>45494</v>
      </c>
      <c r="G752" s="58">
        <v>74</v>
      </c>
      <c r="H752" s="3">
        <v>74</v>
      </c>
      <c r="I752" s="3">
        <v>74</v>
      </c>
      <c r="J752" s="23">
        <v>5.1929998397827104</v>
      </c>
      <c r="K752" s="23">
        <v>5.1929998397827104</v>
      </c>
      <c r="L752" s="24">
        <v>5.1929998397827104</v>
      </c>
    </row>
    <row r="753" spans="2:12" ht="15.75" thickBot="1" x14ac:dyDescent="0.3">
      <c r="B753" s="18">
        <v>45495</v>
      </c>
      <c r="C753" s="58">
        <v>70</v>
      </c>
      <c r="D753" s="24">
        <v>5.1900000572204501</v>
      </c>
      <c r="F753" s="18">
        <v>45495</v>
      </c>
      <c r="G753" s="58">
        <v>70</v>
      </c>
      <c r="H753" s="3">
        <v>70</v>
      </c>
      <c r="I753" s="3">
        <v>70</v>
      </c>
      <c r="J753" s="23">
        <v>5.1900000572204501</v>
      </c>
      <c r="K753" s="23">
        <v>5.1900000572204501</v>
      </c>
      <c r="L753" s="24">
        <v>5.1900000572204501</v>
      </c>
    </row>
    <row r="754" spans="2:12" x14ac:dyDescent="0.25">
      <c r="B754" s="16">
        <v>45496</v>
      </c>
      <c r="C754" s="58">
        <v>71</v>
      </c>
      <c r="D754" s="24">
        <v>5.1729998588562003</v>
      </c>
      <c r="F754" s="16">
        <v>45496</v>
      </c>
      <c r="G754" s="58">
        <v>71</v>
      </c>
      <c r="H754" s="3">
        <v>71</v>
      </c>
      <c r="I754" s="3">
        <v>71</v>
      </c>
      <c r="J754" s="23">
        <v>5.1729998588562003</v>
      </c>
      <c r="K754" s="23">
        <v>5.1729998588562003</v>
      </c>
      <c r="L754" s="24">
        <v>5.1729998588562003</v>
      </c>
    </row>
    <row r="755" spans="2:12" x14ac:dyDescent="0.25">
      <c r="B755" s="17">
        <v>45497</v>
      </c>
      <c r="C755" s="58">
        <v>69</v>
      </c>
      <c r="D755" s="24">
        <v>5.17000007629394</v>
      </c>
      <c r="F755" s="17">
        <v>45497</v>
      </c>
      <c r="G755" s="58">
        <v>69</v>
      </c>
      <c r="H755" s="3">
        <v>69</v>
      </c>
      <c r="I755" s="3">
        <v>69</v>
      </c>
      <c r="J755" s="23">
        <v>5.17000007629394</v>
      </c>
      <c r="K755" s="23">
        <v>5.17000007629394</v>
      </c>
      <c r="L755" s="24">
        <v>5.17000007629394</v>
      </c>
    </row>
    <row r="756" spans="2:12" x14ac:dyDescent="0.25">
      <c r="B756" s="17">
        <v>45498</v>
      </c>
      <c r="C756" s="58">
        <v>68</v>
      </c>
      <c r="D756" s="24">
        <v>5.1599998474120996</v>
      </c>
      <c r="F756" s="17">
        <v>45498</v>
      </c>
      <c r="G756" s="58">
        <v>68</v>
      </c>
      <c r="H756" s="3">
        <v>68</v>
      </c>
      <c r="I756" s="3">
        <v>68</v>
      </c>
      <c r="J756" s="23">
        <v>5.1599998474120996</v>
      </c>
      <c r="K756" s="23">
        <v>5.1599998474120996</v>
      </c>
      <c r="L756" s="24">
        <v>5.1599998474120996</v>
      </c>
    </row>
    <row r="757" spans="2:12" x14ac:dyDescent="0.25">
      <c r="B757" s="17">
        <v>45499</v>
      </c>
      <c r="C757" s="58">
        <v>68</v>
      </c>
      <c r="D757" s="24">
        <v>5.1550002098083496</v>
      </c>
      <c r="F757" s="17">
        <v>45499</v>
      </c>
      <c r="G757" s="58">
        <v>68</v>
      </c>
      <c r="H757" s="3">
        <v>68</v>
      </c>
      <c r="I757" s="3">
        <v>68</v>
      </c>
      <c r="J757" s="23">
        <v>5.1550002098083496</v>
      </c>
      <c r="K757" s="23">
        <v>5.1550002098083496</v>
      </c>
      <c r="L757" s="24">
        <v>5.1550002098083496</v>
      </c>
    </row>
    <row r="758" spans="2:12" x14ac:dyDescent="0.25">
      <c r="B758" s="17">
        <v>45500</v>
      </c>
      <c r="C758" s="58">
        <v>72</v>
      </c>
      <c r="D758" s="24">
        <v>5.1550002098083496</v>
      </c>
      <c r="F758" s="17">
        <v>45500</v>
      </c>
      <c r="G758" s="58">
        <v>72</v>
      </c>
      <c r="H758" s="3">
        <v>72</v>
      </c>
      <c r="I758" s="3">
        <v>72</v>
      </c>
      <c r="J758" s="23">
        <v>5.1550002098083496</v>
      </c>
      <c r="K758" s="23">
        <v>5.1550002098083496</v>
      </c>
      <c r="L758" s="24">
        <v>5.1550002098083496</v>
      </c>
    </row>
    <row r="759" spans="2:12" x14ac:dyDescent="0.25">
      <c r="B759" s="17">
        <v>45501</v>
      </c>
      <c r="C759" s="58">
        <v>71</v>
      </c>
      <c r="D759" s="24">
        <v>5.1550002098083496</v>
      </c>
      <c r="F759" s="17">
        <v>45501</v>
      </c>
      <c r="G759" s="58">
        <v>71</v>
      </c>
      <c r="H759" s="3">
        <v>71</v>
      </c>
      <c r="I759" s="3">
        <v>71</v>
      </c>
      <c r="J759" s="23">
        <v>5.1550002098083496</v>
      </c>
      <c r="K759" s="23">
        <v>5.1550002098083496</v>
      </c>
      <c r="L759" s="24">
        <v>5.1550002098083496</v>
      </c>
    </row>
    <row r="760" spans="2:12" x14ac:dyDescent="0.25">
      <c r="B760" s="17">
        <v>45502</v>
      </c>
      <c r="C760" s="58">
        <v>74</v>
      </c>
      <c r="D760" s="24">
        <v>5.1469998359680096</v>
      </c>
      <c r="F760" s="17">
        <v>45502</v>
      </c>
      <c r="G760" s="58">
        <v>74</v>
      </c>
      <c r="H760" s="3">
        <v>74</v>
      </c>
      <c r="I760" s="3">
        <v>74</v>
      </c>
      <c r="J760" s="23">
        <v>5.1469998359680096</v>
      </c>
      <c r="K760" s="23">
        <v>5.1469998359680096</v>
      </c>
      <c r="L760" s="24">
        <v>5.1469998359680096</v>
      </c>
    </row>
    <row r="761" spans="2:12" x14ac:dyDescent="0.25">
      <c r="B761" s="17">
        <v>45503</v>
      </c>
      <c r="C761" s="58">
        <v>67</v>
      </c>
      <c r="D761" s="24">
        <v>5.1350002288818297</v>
      </c>
      <c r="F761" s="17">
        <v>45503</v>
      </c>
      <c r="G761" s="58">
        <v>67</v>
      </c>
      <c r="H761" s="3">
        <v>67</v>
      </c>
      <c r="I761" s="3">
        <v>67</v>
      </c>
      <c r="J761" s="23">
        <v>5.1350002288818297</v>
      </c>
      <c r="K761" s="23">
        <v>5.1350002288818297</v>
      </c>
      <c r="L761" s="24">
        <v>5.1350002288818297</v>
      </c>
    </row>
    <row r="762" spans="2:12" x14ac:dyDescent="0.25">
      <c r="B762" s="17">
        <v>45504</v>
      </c>
      <c r="C762" s="58">
        <v>61</v>
      </c>
      <c r="D762" s="24">
        <v>5.1350002288818297</v>
      </c>
      <c r="F762" s="17">
        <v>45504</v>
      </c>
      <c r="G762" s="58">
        <v>61</v>
      </c>
      <c r="H762" s="3">
        <v>61</v>
      </c>
      <c r="I762" s="3">
        <v>61</v>
      </c>
      <c r="J762" s="23">
        <v>5.1350002288818297</v>
      </c>
      <c r="K762" s="23">
        <v>5.1350002288818297</v>
      </c>
      <c r="L762" s="24">
        <v>5.1350002288818297</v>
      </c>
    </row>
    <row r="763" spans="2:12" x14ac:dyDescent="0.25">
      <c r="B763" s="17">
        <v>45505</v>
      </c>
      <c r="C763" s="58">
        <v>52</v>
      </c>
      <c r="D763" s="24">
        <v>5.1149997711181596</v>
      </c>
      <c r="F763" s="17">
        <v>45505</v>
      </c>
      <c r="G763" s="58">
        <v>52</v>
      </c>
      <c r="H763" s="3">
        <v>52</v>
      </c>
      <c r="I763" s="3">
        <v>52</v>
      </c>
      <c r="J763" s="23">
        <v>5.1149997711181596</v>
      </c>
      <c r="K763" s="23">
        <v>5.1149997711181596</v>
      </c>
      <c r="L763" s="24">
        <v>5.1149997711181596</v>
      </c>
    </row>
    <row r="764" spans="2:12" x14ac:dyDescent="0.25">
      <c r="B764" s="17">
        <v>45506</v>
      </c>
      <c r="C764" s="58">
        <v>57</v>
      </c>
      <c r="D764" s="24">
        <v>5.0300002098083496</v>
      </c>
      <c r="F764" s="17">
        <v>45506</v>
      </c>
      <c r="G764" s="58">
        <v>57</v>
      </c>
      <c r="H764" s="3">
        <v>57</v>
      </c>
      <c r="I764" s="3">
        <v>57</v>
      </c>
      <c r="J764" s="23">
        <v>5.0300002098083496</v>
      </c>
      <c r="K764" s="23">
        <v>5.0300002098083496</v>
      </c>
      <c r="L764" s="24">
        <v>5.0300002098083496</v>
      </c>
    </row>
    <row r="765" spans="2:12" x14ac:dyDescent="0.25">
      <c r="B765" s="17">
        <v>45507</v>
      </c>
      <c r="C765" s="58">
        <v>37</v>
      </c>
      <c r="D765" s="24">
        <v>5.0300002098083496</v>
      </c>
      <c r="F765" s="17">
        <v>45507</v>
      </c>
      <c r="G765" s="58">
        <v>37</v>
      </c>
      <c r="H765" s="3">
        <v>37</v>
      </c>
      <c r="I765" s="3">
        <v>37</v>
      </c>
      <c r="J765" s="23">
        <v>5.0300002098083496</v>
      </c>
      <c r="K765" s="23">
        <v>5.0300002098083496</v>
      </c>
      <c r="L765" s="24">
        <v>5.0300002098083496</v>
      </c>
    </row>
    <row r="766" spans="2:12" x14ac:dyDescent="0.25">
      <c r="B766" s="17">
        <v>45508</v>
      </c>
      <c r="C766" s="58">
        <v>34</v>
      </c>
      <c r="D766" s="24">
        <v>5.0300002098083496</v>
      </c>
      <c r="F766" s="17">
        <v>45508</v>
      </c>
      <c r="G766" s="58">
        <v>34</v>
      </c>
      <c r="H766" s="3">
        <v>34</v>
      </c>
      <c r="I766" s="3">
        <v>34</v>
      </c>
      <c r="J766" s="23">
        <v>5.0300002098083496</v>
      </c>
      <c r="K766" s="23">
        <v>5.0300002098083496</v>
      </c>
      <c r="L766" s="24">
        <v>5.0300002098083496</v>
      </c>
    </row>
    <row r="767" spans="2:12" x14ac:dyDescent="0.25">
      <c r="B767" s="17">
        <v>45509</v>
      </c>
      <c r="C767" s="58">
        <v>26</v>
      </c>
      <c r="D767" s="24">
        <v>5.0599999427795401</v>
      </c>
      <c r="F767" s="17">
        <v>45509</v>
      </c>
      <c r="G767" s="58">
        <v>26</v>
      </c>
      <c r="H767" s="3">
        <v>26</v>
      </c>
      <c r="I767" s="3">
        <v>26</v>
      </c>
      <c r="J767" s="23">
        <v>5.0599999427795401</v>
      </c>
      <c r="K767" s="23">
        <v>5.0599999427795401</v>
      </c>
      <c r="L767" s="24">
        <v>5.0599999427795401</v>
      </c>
    </row>
    <row r="768" spans="2:12" x14ac:dyDescent="0.25">
      <c r="B768" s="17">
        <v>45510</v>
      </c>
      <c r="C768" s="58">
        <v>17</v>
      </c>
      <c r="D768" s="24">
        <v>5.0799999237060502</v>
      </c>
      <c r="F768" s="17">
        <v>45510</v>
      </c>
      <c r="G768" s="58">
        <v>17</v>
      </c>
      <c r="H768" s="3">
        <v>17</v>
      </c>
      <c r="I768" s="3">
        <v>17</v>
      </c>
      <c r="J768" s="23">
        <v>5.0799999237060502</v>
      </c>
      <c r="K768" s="23">
        <v>5.0799999237060502</v>
      </c>
      <c r="L768" s="24">
        <v>5.0799999237060502</v>
      </c>
    </row>
    <row r="769" spans="2:12" x14ac:dyDescent="0.25">
      <c r="B769" s="17">
        <v>45511</v>
      </c>
      <c r="C769" s="58">
        <v>29</v>
      </c>
      <c r="D769" s="24">
        <v>5.0799999237060502</v>
      </c>
      <c r="F769" s="17">
        <v>45511</v>
      </c>
      <c r="G769" s="58">
        <v>29</v>
      </c>
      <c r="H769" s="3">
        <v>29</v>
      </c>
      <c r="I769" s="3">
        <v>29</v>
      </c>
      <c r="J769" s="23">
        <v>5.0799999237060502</v>
      </c>
      <c r="K769" s="23">
        <v>5.0799999237060502</v>
      </c>
      <c r="L769" s="24">
        <v>5.0799999237060502</v>
      </c>
    </row>
    <row r="770" spans="2:12" x14ac:dyDescent="0.25">
      <c r="B770" s="17">
        <v>45512</v>
      </c>
      <c r="C770" s="58">
        <v>20</v>
      </c>
      <c r="D770" s="24">
        <v>5.0830001831054599</v>
      </c>
      <c r="F770" s="17">
        <v>45512</v>
      </c>
      <c r="G770" s="58">
        <v>20</v>
      </c>
      <c r="H770" s="3">
        <v>20</v>
      </c>
      <c r="I770" s="3">
        <v>20</v>
      </c>
      <c r="J770" s="23">
        <v>5.0830001831054599</v>
      </c>
      <c r="K770" s="23">
        <v>5.0830001831054599</v>
      </c>
      <c r="L770" s="24">
        <v>5.0830001831054599</v>
      </c>
    </row>
    <row r="771" spans="2:12" x14ac:dyDescent="0.25">
      <c r="B771" s="17">
        <v>45513</v>
      </c>
      <c r="C771" s="58">
        <v>48</v>
      </c>
      <c r="D771" s="24">
        <v>5.0749998092651296</v>
      </c>
      <c r="F771" s="17">
        <v>45513</v>
      </c>
      <c r="G771" s="58">
        <v>48</v>
      </c>
      <c r="H771" s="3">
        <v>48</v>
      </c>
      <c r="I771" s="3">
        <v>48</v>
      </c>
      <c r="J771" s="23">
        <v>5.0749998092651296</v>
      </c>
      <c r="K771" s="23">
        <v>5.0749998092651296</v>
      </c>
      <c r="L771" s="24">
        <v>5.0749998092651296</v>
      </c>
    </row>
    <row r="772" spans="2:12" x14ac:dyDescent="0.25">
      <c r="B772" s="17">
        <v>45514</v>
      </c>
      <c r="C772" s="58">
        <v>40</v>
      </c>
      <c r="D772" s="24">
        <v>5.0749998092651296</v>
      </c>
      <c r="F772" s="17">
        <v>45514</v>
      </c>
      <c r="G772" s="58">
        <v>40</v>
      </c>
      <c r="H772" s="3">
        <v>40</v>
      </c>
      <c r="I772" s="3">
        <v>40</v>
      </c>
      <c r="J772" s="23">
        <v>5.0749998092651296</v>
      </c>
      <c r="K772" s="23">
        <v>5.0749998092651296</v>
      </c>
      <c r="L772" s="24">
        <v>5.0749998092651296</v>
      </c>
    </row>
    <row r="773" spans="2:12" x14ac:dyDescent="0.25">
      <c r="B773" s="17">
        <v>45515</v>
      </c>
      <c r="C773" s="58">
        <v>39</v>
      </c>
      <c r="D773" s="24">
        <v>5.0749998092651296</v>
      </c>
      <c r="F773" s="17">
        <v>45515</v>
      </c>
      <c r="G773" s="58">
        <v>39</v>
      </c>
      <c r="H773" s="3">
        <v>39</v>
      </c>
      <c r="I773" s="3">
        <v>39</v>
      </c>
      <c r="J773" s="23">
        <v>5.0749998092651296</v>
      </c>
      <c r="K773" s="23">
        <v>5.0749998092651296</v>
      </c>
      <c r="L773" s="24">
        <v>5.0749998092651296</v>
      </c>
    </row>
    <row r="774" spans="2:12" x14ac:dyDescent="0.25">
      <c r="B774" s="17">
        <v>45516</v>
      </c>
      <c r="C774" s="58">
        <v>25</v>
      </c>
      <c r="D774" s="24">
        <v>5.0729999542236301</v>
      </c>
      <c r="F774" s="17">
        <v>45516</v>
      </c>
      <c r="G774" s="58">
        <v>25</v>
      </c>
      <c r="H774" s="3">
        <v>25</v>
      </c>
      <c r="I774" s="3">
        <v>25</v>
      </c>
      <c r="J774" s="23">
        <v>5.0729999542236301</v>
      </c>
      <c r="K774" s="23">
        <v>5.0729999542236301</v>
      </c>
      <c r="L774" s="24">
        <v>5.0729999542236301</v>
      </c>
    </row>
    <row r="775" spans="2:12" x14ac:dyDescent="0.25">
      <c r="B775" s="17">
        <v>45517</v>
      </c>
      <c r="C775" s="58">
        <v>31</v>
      </c>
      <c r="D775" s="24">
        <v>5.0529999732971103</v>
      </c>
      <c r="F775" s="17">
        <v>45517</v>
      </c>
      <c r="G775" s="58">
        <v>31</v>
      </c>
      <c r="H775" s="3">
        <v>31</v>
      </c>
      <c r="I775" s="3">
        <v>31</v>
      </c>
      <c r="J775" s="23">
        <v>5.0529999732971103</v>
      </c>
      <c r="K775" s="23">
        <v>5.0529999732971103</v>
      </c>
      <c r="L775" s="24">
        <v>5.0529999732971103</v>
      </c>
    </row>
    <row r="776" spans="2:12" x14ac:dyDescent="0.25">
      <c r="B776" s="17">
        <v>45518</v>
      </c>
      <c r="C776" s="58">
        <v>30</v>
      </c>
      <c r="D776" s="24">
        <v>5.0630002021789497</v>
      </c>
      <c r="F776" s="17">
        <v>45518</v>
      </c>
      <c r="G776" s="58">
        <v>30</v>
      </c>
      <c r="H776" s="3">
        <v>30</v>
      </c>
      <c r="I776" s="3">
        <v>30</v>
      </c>
      <c r="J776" s="23">
        <v>5.0630002021789497</v>
      </c>
      <c r="K776" s="23">
        <v>5.0630002021789497</v>
      </c>
      <c r="L776" s="24">
        <v>5.0630002021789497</v>
      </c>
    </row>
    <row r="777" spans="2:12" x14ac:dyDescent="0.25">
      <c r="B777" s="17">
        <v>45519</v>
      </c>
      <c r="C777" s="58">
        <v>29</v>
      </c>
      <c r="D777" s="24">
        <v>5.0799999237060502</v>
      </c>
      <c r="F777" s="17">
        <v>45519</v>
      </c>
      <c r="G777" s="58">
        <v>29</v>
      </c>
      <c r="H777" s="3">
        <v>29</v>
      </c>
      <c r="I777" s="3">
        <v>29</v>
      </c>
      <c r="J777" s="23">
        <v>5.0799999237060502</v>
      </c>
      <c r="K777" s="23">
        <v>5.0799999237060502</v>
      </c>
      <c r="L777" s="24">
        <v>5.0799999237060502</v>
      </c>
    </row>
    <row r="778" spans="2:12" x14ac:dyDescent="0.25">
      <c r="B778" s="17">
        <v>45520</v>
      </c>
      <c r="C778" s="58">
        <v>27</v>
      </c>
      <c r="D778" s="24">
        <v>5.0749998092651296</v>
      </c>
      <c r="F778" s="17">
        <v>45520</v>
      </c>
      <c r="G778" s="58">
        <v>27</v>
      </c>
      <c r="H778" s="3">
        <v>27</v>
      </c>
      <c r="I778" s="3">
        <v>27</v>
      </c>
      <c r="J778" s="23">
        <v>5.0749998092651296</v>
      </c>
      <c r="K778" s="23">
        <v>5.0749998092651296</v>
      </c>
      <c r="L778" s="24">
        <v>5.0749998092651296</v>
      </c>
    </row>
    <row r="779" spans="2:12" x14ac:dyDescent="0.25">
      <c r="B779" s="17">
        <v>45521</v>
      </c>
      <c r="C779" s="58">
        <v>25</v>
      </c>
      <c r="D779" s="24">
        <v>5.0749998092651296</v>
      </c>
      <c r="F779" s="17">
        <v>45521</v>
      </c>
      <c r="G779" s="58">
        <v>25</v>
      </c>
      <c r="H779" s="3">
        <v>25</v>
      </c>
      <c r="I779" s="3">
        <v>25</v>
      </c>
      <c r="J779" s="23">
        <v>5.0749998092651296</v>
      </c>
      <c r="K779" s="23">
        <v>5.0749998092651296</v>
      </c>
      <c r="L779" s="24">
        <v>5.0749998092651296</v>
      </c>
    </row>
    <row r="780" spans="2:12" x14ac:dyDescent="0.25">
      <c r="B780" s="17">
        <v>45522</v>
      </c>
      <c r="C780" s="58">
        <v>31</v>
      </c>
      <c r="D780" s="24">
        <v>5.0749998092651296</v>
      </c>
      <c r="F780" s="17">
        <v>45522</v>
      </c>
      <c r="G780" s="58">
        <v>31</v>
      </c>
      <c r="H780" s="3">
        <v>31</v>
      </c>
      <c r="I780" s="3">
        <v>31</v>
      </c>
      <c r="J780" s="23">
        <v>5.0749998092651296</v>
      </c>
      <c r="K780" s="23">
        <v>5.0749998092651296</v>
      </c>
      <c r="L780" s="24">
        <v>5.0749998092651296</v>
      </c>
    </row>
    <row r="781" spans="2:12" x14ac:dyDescent="0.25">
      <c r="B781" s="17">
        <v>45523</v>
      </c>
      <c r="C781" s="58">
        <v>28</v>
      </c>
      <c r="D781" s="24">
        <v>5.0630002021789497</v>
      </c>
      <c r="F781" s="17">
        <v>45523</v>
      </c>
      <c r="G781" s="58">
        <v>28</v>
      </c>
      <c r="H781" s="3">
        <v>28</v>
      </c>
      <c r="I781" s="3">
        <v>28</v>
      </c>
      <c r="J781" s="23">
        <v>5.0630002021789497</v>
      </c>
      <c r="K781" s="23">
        <v>5.0630002021789497</v>
      </c>
      <c r="L781" s="24">
        <v>5.0630002021789497</v>
      </c>
    </row>
    <row r="782" spans="2:12" x14ac:dyDescent="0.25">
      <c r="B782" s="17">
        <v>45524</v>
      </c>
      <c r="C782" s="58">
        <v>30</v>
      </c>
      <c r="D782" s="24">
        <v>5.0329999923706001</v>
      </c>
      <c r="F782" s="17">
        <v>45524</v>
      </c>
      <c r="G782" s="58">
        <v>30</v>
      </c>
      <c r="H782" s="3">
        <v>30</v>
      </c>
      <c r="I782" s="3">
        <v>30</v>
      </c>
      <c r="J782" s="23">
        <v>5.0329999923706001</v>
      </c>
      <c r="K782" s="23">
        <v>5.0329999923706001</v>
      </c>
      <c r="L782" s="24">
        <v>5.0329999923706001</v>
      </c>
    </row>
    <row r="783" spans="2:12" x14ac:dyDescent="0.25">
      <c r="B783" s="17">
        <v>45525</v>
      </c>
      <c r="C783" s="58">
        <v>26</v>
      </c>
      <c r="D783" s="24">
        <v>5.00500011444091</v>
      </c>
      <c r="F783" s="17">
        <v>45525</v>
      </c>
      <c r="G783" s="58">
        <v>26</v>
      </c>
      <c r="H783" s="3">
        <v>26</v>
      </c>
      <c r="I783" s="3">
        <v>26</v>
      </c>
      <c r="J783" s="23">
        <v>5.00500011444091</v>
      </c>
      <c r="K783" s="23">
        <v>5.00500011444091</v>
      </c>
      <c r="L783" s="24">
        <v>5.00500011444091</v>
      </c>
    </row>
    <row r="784" spans="2:12" x14ac:dyDescent="0.25">
      <c r="B784" s="17">
        <v>45526</v>
      </c>
      <c r="C784" s="58">
        <v>39</v>
      </c>
      <c r="D784" s="24">
        <v>5.0250000953674299</v>
      </c>
      <c r="F784" s="17">
        <v>45526</v>
      </c>
      <c r="G784" s="58">
        <v>39</v>
      </c>
      <c r="H784" s="3">
        <v>39</v>
      </c>
      <c r="I784" s="3">
        <v>39</v>
      </c>
      <c r="J784" s="23">
        <v>5.0250000953674299</v>
      </c>
      <c r="K784" s="23">
        <v>5.0250000953674299</v>
      </c>
      <c r="L784" s="24">
        <v>5.0250000953674299</v>
      </c>
    </row>
    <row r="785" spans="2:12" x14ac:dyDescent="0.25">
      <c r="B785" s="17">
        <v>45527</v>
      </c>
      <c r="C785" s="58">
        <v>34</v>
      </c>
      <c r="D785" s="24">
        <v>5</v>
      </c>
      <c r="F785" s="17">
        <v>45527</v>
      </c>
      <c r="G785" s="58">
        <v>34</v>
      </c>
      <c r="H785" s="3">
        <v>34</v>
      </c>
      <c r="I785" s="3">
        <v>34</v>
      </c>
      <c r="J785" s="23">
        <v>5</v>
      </c>
      <c r="K785" s="23">
        <v>5</v>
      </c>
      <c r="L785" s="24">
        <v>5</v>
      </c>
    </row>
    <row r="786" spans="2:12" x14ac:dyDescent="0.25">
      <c r="B786" s="17">
        <v>45528</v>
      </c>
      <c r="C786" s="58">
        <v>56</v>
      </c>
      <c r="D786" s="24">
        <v>5</v>
      </c>
      <c r="F786" s="17">
        <v>45528</v>
      </c>
      <c r="G786" s="58">
        <v>56</v>
      </c>
      <c r="H786" s="3">
        <v>56</v>
      </c>
      <c r="I786" s="3">
        <v>56</v>
      </c>
      <c r="J786" s="23">
        <v>5</v>
      </c>
      <c r="K786" s="23">
        <v>5</v>
      </c>
      <c r="L786" s="24">
        <v>5</v>
      </c>
    </row>
    <row r="787" spans="2:12" x14ac:dyDescent="0.25">
      <c r="B787" s="17">
        <v>45529</v>
      </c>
      <c r="C787" s="58">
        <v>54</v>
      </c>
      <c r="D787" s="24">
        <v>5</v>
      </c>
      <c r="F787" s="17">
        <v>45529</v>
      </c>
      <c r="G787" s="58">
        <v>54</v>
      </c>
      <c r="H787" s="3">
        <v>54</v>
      </c>
      <c r="I787" s="3">
        <v>54</v>
      </c>
      <c r="J787" s="23">
        <v>5</v>
      </c>
      <c r="K787" s="23">
        <v>5</v>
      </c>
      <c r="L787" s="24">
        <v>5</v>
      </c>
    </row>
    <row r="788" spans="2:12" x14ac:dyDescent="0.25">
      <c r="B788" s="17">
        <v>45530</v>
      </c>
      <c r="C788" s="58">
        <v>55</v>
      </c>
      <c r="D788" s="24">
        <v>4.9980001449584899</v>
      </c>
      <c r="F788" s="17">
        <v>45530</v>
      </c>
      <c r="G788" s="58">
        <v>55</v>
      </c>
      <c r="H788" s="3">
        <v>55</v>
      </c>
      <c r="I788" s="3">
        <v>55</v>
      </c>
      <c r="J788" s="23">
        <v>4.9980001449584899</v>
      </c>
      <c r="K788" s="23">
        <v>4.9980001449584899</v>
      </c>
      <c r="L788" s="24">
        <v>4.9980001449584899</v>
      </c>
    </row>
    <row r="789" spans="2:12" x14ac:dyDescent="0.25">
      <c r="B789" s="17">
        <v>45531</v>
      </c>
      <c r="C789" s="58">
        <v>48</v>
      </c>
      <c r="D789" s="24">
        <v>4.9679999351501403</v>
      </c>
      <c r="F789" s="17">
        <v>45531</v>
      </c>
      <c r="G789" s="58">
        <v>48</v>
      </c>
      <c r="H789" s="3">
        <v>48</v>
      </c>
      <c r="I789" s="3">
        <v>48</v>
      </c>
      <c r="J789" s="23">
        <v>4.9679999351501403</v>
      </c>
      <c r="K789" s="23">
        <v>4.9679999351501403</v>
      </c>
      <c r="L789" s="24">
        <v>4.9679999351501403</v>
      </c>
    </row>
    <row r="790" spans="2:12" x14ac:dyDescent="0.25">
      <c r="B790" s="17">
        <v>45532</v>
      </c>
      <c r="C790" s="58">
        <v>30</v>
      </c>
      <c r="D790" s="24">
        <v>4.9549999237060502</v>
      </c>
      <c r="F790" s="17">
        <v>45532</v>
      </c>
      <c r="G790" s="58">
        <v>30</v>
      </c>
      <c r="H790" s="3">
        <v>30</v>
      </c>
      <c r="I790" s="3">
        <v>30</v>
      </c>
      <c r="J790" s="23">
        <v>4.9549999237060502</v>
      </c>
      <c r="K790" s="23">
        <v>4.9549999237060502</v>
      </c>
      <c r="L790" s="24">
        <v>4.9549999237060502</v>
      </c>
    </row>
    <row r="791" spans="2:12" x14ac:dyDescent="0.25">
      <c r="B791" s="17">
        <v>45533</v>
      </c>
      <c r="C791" s="58">
        <v>29</v>
      </c>
      <c r="D791" s="24">
        <v>4.9650001525878897</v>
      </c>
      <c r="F791" s="17">
        <v>45533</v>
      </c>
      <c r="G791" s="58">
        <v>29</v>
      </c>
      <c r="H791" s="3">
        <v>29</v>
      </c>
      <c r="I791" s="3">
        <v>29</v>
      </c>
      <c r="J791" s="23">
        <v>4.9650001525878897</v>
      </c>
      <c r="K791" s="23">
        <v>4.9650001525878897</v>
      </c>
      <c r="L791" s="24">
        <v>4.9650001525878897</v>
      </c>
    </row>
    <row r="792" spans="2:12" x14ac:dyDescent="0.25">
      <c r="B792" s="17">
        <v>45534</v>
      </c>
      <c r="C792" s="58">
        <v>34</v>
      </c>
      <c r="D792" s="24">
        <v>4.9679999351501403</v>
      </c>
      <c r="F792" s="17">
        <v>45534</v>
      </c>
      <c r="G792" s="58">
        <v>34</v>
      </c>
      <c r="H792" s="3">
        <v>34</v>
      </c>
      <c r="I792" s="3">
        <v>34</v>
      </c>
      <c r="J792" s="23">
        <v>4.9679999351501403</v>
      </c>
      <c r="K792" s="23">
        <v>4.9679999351501403</v>
      </c>
      <c r="L792" s="24">
        <v>4.9679999351501403</v>
      </c>
    </row>
    <row r="793" spans="2:12" x14ac:dyDescent="0.25">
      <c r="B793" s="17">
        <v>45535</v>
      </c>
      <c r="C793" s="58">
        <v>29</v>
      </c>
      <c r="D793" s="24">
        <v>4.9679999351501403</v>
      </c>
      <c r="F793" s="17">
        <v>45535</v>
      </c>
      <c r="G793" s="58">
        <v>29</v>
      </c>
      <c r="H793" s="3">
        <v>29</v>
      </c>
      <c r="I793" s="3">
        <v>29</v>
      </c>
      <c r="J793" s="23">
        <v>4.9679999351501403</v>
      </c>
      <c r="K793" s="23">
        <v>4.9679999351501403</v>
      </c>
      <c r="L793" s="24">
        <v>4.9679999351501403</v>
      </c>
    </row>
    <row r="794" spans="2:12" x14ac:dyDescent="0.25">
      <c r="B794" s="17">
        <v>45536</v>
      </c>
      <c r="C794" s="58">
        <v>26</v>
      </c>
      <c r="D794" s="24">
        <v>4.9679999351501403</v>
      </c>
      <c r="F794" s="17">
        <v>45536</v>
      </c>
      <c r="G794" s="58">
        <v>26</v>
      </c>
      <c r="H794" s="3">
        <v>26</v>
      </c>
      <c r="I794" s="3">
        <v>26</v>
      </c>
      <c r="J794" s="23">
        <v>4.9679999351501403</v>
      </c>
      <c r="K794" s="23">
        <v>4.9679999351501403</v>
      </c>
      <c r="L794" s="24">
        <v>4.9679999351501403</v>
      </c>
    </row>
    <row r="795" spans="2:12" x14ac:dyDescent="0.25">
      <c r="B795" s="17">
        <v>45537</v>
      </c>
      <c r="C795" s="58">
        <v>26</v>
      </c>
      <c r="D795" s="24">
        <v>4.9679999351501403</v>
      </c>
      <c r="F795" s="17">
        <v>45537</v>
      </c>
      <c r="G795" s="58">
        <v>26</v>
      </c>
      <c r="H795" s="3">
        <v>26</v>
      </c>
      <c r="I795" s="3">
        <v>26</v>
      </c>
      <c r="J795" s="23">
        <v>4.9679999351501403</v>
      </c>
      <c r="K795" s="23">
        <v>4.9679999351501403</v>
      </c>
      <c r="L795" s="24">
        <v>4.9679999351501403</v>
      </c>
    </row>
    <row r="796" spans="2:12" x14ac:dyDescent="0.25">
      <c r="B796" s="17">
        <v>45538</v>
      </c>
      <c r="C796" s="58">
        <v>26</v>
      </c>
      <c r="D796" s="24">
        <v>4.9699997901916504</v>
      </c>
      <c r="F796" s="17">
        <v>45538</v>
      </c>
      <c r="G796" s="58">
        <v>26</v>
      </c>
      <c r="H796" s="3">
        <v>26</v>
      </c>
      <c r="I796" s="3">
        <v>26</v>
      </c>
      <c r="J796" s="23">
        <v>4.9699997901916504</v>
      </c>
      <c r="K796" s="23">
        <v>4.9699997901916504</v>
      </c>
      <c r="L796" s="24">
        <v>4.9699997901916504</v>
      </c>
    </row>
    <row r="797" spans="2:12" x14ac:dyDescent="0.25">
      <c r="B797" s="17">
        <v>45539</v>
      </c>
      <c r="C797" s="58">
        <v>27</v>
      </c>
      <c r="D797" s="24">
        <v>4.9479999542236301</v>
      </c>
      <c r="F797" s="17">
        <v>45539</v>
      </c>
      <c r="G797" s="58">
        <v>27</v>
      </c>
      <c r="H797" s="3">
        <v>27</v>
      </c>
      <c r="I797" s="3">
        <v>27</v>
      </c>
      <c r="J797" s="23">
        <v>4.9479999542236301</v>
      </c>
      <c r="K797" s="23">
        <v>4.9479999542236301</v>
      </c>
      <c r="L797" s="24">
        <v>4.9479999542236301</v>
      </c>
    </row>
    <row r="798" spans="2:12" x14ac:dyDescent="0.25">
      <c r="B798" s="17">
        <v>45540</v>
      </c>
      <c r="C798" s="58">
        <v>29</v>
      </c>
      <c r="D798" s="24">
        <v>4.9320001602172798</v>
      </c>
      <c r="F798" s="17">
        <v>45540</v>
      </c>
      <c r="G798" s="58">
        <v>29</v>
      </c>
      <c r="H798" s="3">
        <v>29</v>
      </c>
      <c r="I798" s="3">
        <v>29</v>
      </c>
      <c r="J798" s="23">
        <v>4.9320001602172798</v>
      </c>
      <c r="K798" s="23">
        <v>4.9320001602172798</v>
      </c>
      <c r="L798" s="24">
        <v>4.9320001602172798</v>
      </c>
    </row>
    <row r="799" spans="2:12" x14ac:dyDescent="0.25">
      <c r="B799" s="17">
        <v>45541</v>
      </c>
      <c r="C799" s="58">
        <v>22</v>
      </c>
      <c r="D799" s="24">
        <v>4.9079999923706001</v>
      </c>
      <c r="F799" s="17">
        <v>45541</v>
      </c>
      <c r="G799" s="58">
        <v>22</v>
      </c>
      <c r="H799" s="3">
        <v>22</v>
      </c>
      <c r="I799" s="3">
        <v>22</v>
      </c>
      <c r="J799" s="23">
        <v>4.9079999923706001</v>
      </c>
      <c r="K799" s="23">
        <v>4.9079999923706001</v>
      </c>
      <c r="L799" s="24">
        <v>4.9079999923706001</v>
      </c>
    </row>
    <row r="800" spans="2:12" x14ac:dyDescent="0.25">
      <c r="B800" s="17">
        <v>45542</v>
      </c>
      <c r="C800" s="58">
        <v>23</v>
      </c>
      <c r="D800" s="24">
        <v>4.9079999923706001</v>
      </c>
      <c r="F800" s="17">
        <v>45542</v>
      </c>
      <c r="G800" s="58">
        <v>23</v>
      </c>
      <c r="H800" s="3">
        <v>23</v>
      </c>
      <c r="I800" s="3">
        <v>23</v>
      </c>
      <c r="J800" s="23">
        <v>4.9079999923706001</v>
      </c>
      <c r="K800" s="23">
        <v>4.9079999923706001</v>
      </c>
      <c r="L800" s="24">
        <v>4.9079999923706001</v>
      </c>
    </row>
    <row r="801" spans="2:12" x14ac:dyDescent="0.25">
      <c r="B801" s="17">
        <v>45543</v>
      </c>
      <c r="C801" s="58">
        <v>29</v>
      </c>
      <c r="D801" s="24">
        <v>4.9079999923706001</v>
      </c>
      <c r="F801" s="17">
        <v>45543</v>
      </c>
      <c r="G801" s="58">
        <v>29</v>
      </c>
      <c r="H801" s="3">
        <v>29</v>
      </c>
      <c r="I801" s="3">
        <v>29</v>
      </c>
      <c r="J801" s="23">
        <v>4.9079999923706001</v>
      </c>
      <c r="K801" s="23">
        <v>4.9079999923706001</v>
      </c>
      <c r="L801" s="24">
        <v>4.9079999923706001</v>
      </c>
    </row>
    <row r="802" spans="2:12" x14ac:dyDescent="0.25">
      <c r="B802" s="17">
        <v>45544</v>
      </c>
      <c r="C802" s="58">
        <v>26</v>
      </c>
      <c r="D802" s="24">
        <v>4.8949999809265101</v>
      </c>
      <c r="F802" s="17">
        <v>45544</v>
      </c>
      <c r="G802" s="58">
        <v>26</v>
      </c>
      <c r="H802" s="3">
        <v>26</v>
      </c>
      <c r="I802" s="3">
        <v>26</v>
      </c>
      <c r="J802" s="23">
        <v>4.8949999809265101</v>
      </c>
      <c r="K802" s="23">
        <v>4.8949999809265101</v>
      </c>
      <c r="L802" s="24">
        <v>4.8949999809265101</v>
      </c>
    </row>
    <row r="803" spans="2:12" ht="15.75" thickBot="1" x14ac:dyDescent="0.3">
      <c r="B803" s="18">
        <v>45545</v>
      </c>
      <c r="C803" s="58">
        <v>33</v>
      </c>
      <c r="D803" s="24">
        <v>4.83500003814697</v>
      </c>
      <c r="F803" s="18">
        <v>45545</v>
      </c>
      <c r="G803" s="58">
        <v>33</v>
      </c>
      <c r="H803" s="3">
        <v>33</v>
      </c>
      <c r="I803" s="3">
        <v>33</v>
      </c>
      <c r="J803" s="23">
        <v>4.83500003814697</v>
      </c>
      <c r="K803" s="23">
        <v>4.83500003814697</v>
      </c>
      <c r="L803" s="24">
        <v>4.83500003814697</v>
      </c>
    </row>
    <row r="804" spans="2:12" x14ac:dyDescent="0.25">
      <c r="B804" s="16">
        <v>45546</v>
      </c>
      <c r="C804" s="58">
        <v>37</v>
      </c>
      <c r="D804" s="24">
        <v>4.875</v>
      </c>
      <c r="F804" s="16">
        <v>45546</v>
      </c>
      <c r="G804" s="58">
        <v>37</v>
      </c>
      <c r="H804" s="3">
        <v>37</v>
      </c>
      <c r="I804" s="3">
        <v>37</v>
      </c>
      <c r="J804" s="23">
        <v>4.875</v>
      </c>
      <c r="K804" s="23">
        <v>4.875</v>
      </c>
      <c r="L804" s="24">
        <v>4.875</v>
      </c>
    </row>
    <row r="805" spans="2:12" x14ac:dyDescent="0.25">
      <c r="B805" s="17">
        <v>45547</v>
      </c>
      <c r="C805" s="58">
        <v>31</v>
      </c>
      <c r="D805" s="24">
        <v>4.8400001525878897</v>
      </c>
      <c r="F805" s="17">
        <v>45547</v>
      </c>
      <c r="G805" s="58">
        <v>31</v>
      </c>
      <c r="H805" s="3">
        <v>31</v>
      </c>
      <c r="I805" s="3">
        <v>31</v>
      </c>
      <c r="J805" s="23">
        <v>4.8400001525878897</v>
      </c>
      <c r="K805" s="23">
        <v>4.8400001525878897</v>
      </c>
      <c r="L805" s="24">
        <v>4.8400001525878897</v>
      </c>
    </row>
    <row r="806" spans="2:12" x14ac:dyDescent="0.25">
      <c r="B806" s="17">
        <v>45548</v>
      </c>
      <c r="C806" s="58">
        <v>32</v>
      </c>
      <c r="D806" s="24">
        <v>4.76300001144409</v>
      </c>
      <c r="F806" s="17">
        <v>45548</v>
      </c>
      <c r="G806" s="58">
        <v>32</v>
      </c>
      <c r="H806" s="3">
        <v>32</v>
      </c>
      <c r="I806" s="3">
        <v>32</v>
      </c>
      <c r="J806" s="23">
        <v>4.76300001144409</v>
      </c>
      <c r="K806" s="23">
        <v>4.76300001144409</v>
      </c>
      <c r="L806" s="24">
        <v>4.76300001144409</v>
      </c>
    </row>
    <row r="807" spans="2:12" x14ac:dyDescent="0.25">
      <c r="B807" s="17">
        <v>45549</v>
      </c>
      <c r="C807" s="58">
        <v>50</v>
      </c>
      <c r="D807" s="24">
        <v>4.76300001144409</v>
      </c>
      <c r="F807" s="17">
        <v>45549</v>
      </c>
      <c r="G807" s="58">
        <v>50</v>
      </c>
      <c r="H807" s="3">
        <v>50</v>
      </c>
      <c r="I807" s="3">
        <v>50</v>
      </c>
      <c r="J807" s="23">
        <v>4.76300001144409</v>
      </c>
      <c r="K807" s="23">
        <v>4.76300001144409</v>
      </c>
      <c r="L807" s="24">
        <v>4.76300001144409</v>
      </c>
    </row>
    <row r="808" spans="2:12" x14ac:dyDescent="0.25">
      <c r="B808" s="17">
        <v>45550</v>
      </c>
      <c r="C808" s="58">
        <v>51</v>
      </c>
      <c r="D808" s="24">
        <v>4.76300001144409</v>
      </c>
      <c r="F808" s="17">
        <v>45550</v>
      </c>
      <c r="G808" s="58">
        <v>51</v>
      </c>
      <c r="H808" s="3">
        <v>51</v>
      </c>
      <c r="I808" s="3">
        <v>51</v>
      </c>
      <c r="J808" s="23">
        <v>4.76300001144409</v>
      </c>
      <c r="K808" s="23">
        <v>4.76300001144409</v>
      </c>
      <c r="L808" s="24">
        <v>4.76300001144409</v>
      </c>
    </row>
    <row r="809" spans="2:12" x14ac:dyDescent="0.25">
      <c r="B809" s="17">
        <v>45551</v>
      </c>
      <c r="C809" s="58">
        <v>39</v>
      </c>
      <c r="D809" s="24">
        <v>4.7449998855590803</v>
      </c>
      <c r="F809" s="17">
        <v>45551</v>
      </c>
      <c r="G809" s="58">
        <v>39</v>
      </c>
      <c r="H809" s="3">
        <v>39</v>
      </c>
      <c r="I809" s="3">
        <v>39</v>
      </c>
      <c r="J809" s="23">
        <v>4.7449998855590803</v>
      </c>
      <c r="K809" s="23">
        <v>4.7449998855590803</v>
      </c>
      <c r="L809" s="24">
        <v>4.7449998855590803</v>
      </c>
    </row>
    <row r="810" spans="2:12" x14ac:dyDescent="0.25">
      <c r="B810" s="17">
        <v>45552</v>
      </c>
      <c r="C810" s="58">
        <v>33</v>
      </c>
      <c r="D810" s="24">
        <v>4.7350001335143999</v>
      </c>
      <c r="F810" s="17">
        <v>45552</v>
      </c>
      <c r="G810" s="58">
        <v>33</v>
      </c>
      <c r="H810" s="3">
        <v>33</v>
      </c>
      <c r="I810" s="3">
        <v>33</v>
      </c>
      <c r="J810" s="23">
        <v>4.7350001335143999</v>
      </c>
      <c r="K810" s="23">
        <v>4.7350001335143999</v>
      </c>
      <c r="L810" s="24">
        <v>4.7350001335143999</v>
      </c>
    </row>
    <row r="811" spans="2:12" x14ac:dyDescent="0.25">
      <c r="B811" s="17">
        <v>45553</v>
      </c>
      <c r="C811" s="58">
        <v>45</v>
      </c>
      <c r="D811" s="24">
        <v>4.6149997711181596</v>
      </c>
      <c r="F811" s="17">
        <v>45553</v>
      </c>
      <c r="G811" s="58">
        <v>45</v>
      </c>
      <c r="H811" s="3">
        <v>45</v>
      </c>
      <c r="I811" s="3">
        <v>45</v>
      </c>
      <c r="J811" s="23">
        <v>4.6149997711181596</v>
      </c>
      <c r="K811" s="23">
        <v>4.6149997711181596</v>
      </c>
      <c r="L811" s="24">
        <v>4.6149997711181596</v>
      </c>
    </row>
    <row r="812" spans="2:12" x14ac:dyDescent="0.25">
      <c r="B812" s="17">
        <v>45554</v>
      </c>
      <c r="C812" s="58">
        <v>49</v>
      </c>
      <c r="D812" s="24">
        <v>4.5929999351501403</v>
      </c>
      <c r="F812" s="17">
        <v>45554</v>
      </c>
      <c r="G812" s="58">
        <v>49</v>
      </c>
      <c r="H812" s="3">
        <v>49</v>
      </c>
      <c r="I812" s="3">
        <v>49</v>
      </c>
      <c r="J812" s="23">
        <v>4.5929999351501403</v>
      </c>
      <c r="K812" s="23">
        <v>4.5929999351501403</v>
      </c>
      <c r="L812" s="24">
        <v>4.5929999351501403</v>
      </c>
    </row>
    <row r="813" spans="2:12" x14ac:dyDescent="0.25">
      <c r="B813" s="17">
        <v>45555</v>
      </c>
      <c r="C813" s="58">
        <v>54</v>
      </c>
      <c r="D813" s="24">
        <v>4.54500007629394</v>
      </c>
      <c r="F813" s="17">
        <v>45555</v>
      </c>
      <c r="G813" s="58">
        <v>54</v>
      </c>
      <c r="H813" s="3">
        <v>54</v>
      </c>
      <c r="I813" s="3">
        <v>54</v>
      </c>
      <c r="J813" s="23">
        <v>4.54500007629394</v>
      </c>
      <c r="K813" s="23">
        <v>4.54500007629394</v>
      </c>
      <c r="L813" s="24">
        <v>4.54500007629394</v>
      </c>
    </row>
    <row r="814" spans="2:12" x14ac:dyDescent="0.25">
      <c r="B814" s="17">
        <v>45556</v>
      </c>
      <c r="C814" s="58">
        <v>54</v>
      </c>
      <c r="D814" s="24">
        <v>4.54500007629394</v>
      </c>
      <c r="F814" s="17">
        <v>45556</v>
      </c>
      <c r="G814" s="58">
        <v>54</v>
      </c>
      <c r="H814" s="3">
        <v>54</v>
      </c>
      <c r="I814" s="3">
        <v>54</v>
      </c>
      <c r="J814" s="23">
        <v>4.54500007629394</v>
      </c>
      <c r="K814" s="23">
        <v>4.54500007629394</v>
      </c>
      <c r="L814" s="24">
        <v>4.54500007629394</v>
      </c>
    </row>
    <row r="815" spans="2:12" x14ac:dyDescent="0.25">
      <c r="B815" s="17">
        <v>45557</v>
      </c>
      <c r="C815" s="58">
        <v>52</v>
      </c>
      <c r="D815" s="24">
        <v>4.54500007629394</v>
      </c>
      <c r="F815" s="17">
        <v>45557</v>
      </c>
      <c r="G815" s="58">
        <v>52</v>
      </c>
      <c r="H815" s="3">
        <v>52</v>
      </c>
      <c r="I815" s="3">
        <v>52</v>
      </c>
      <c r="J815" s="23">
        <v>4.54500007629394</v>
      </c>
      <c r="K815" s="23">
        <v>4.54500007629394</v>
      </c>
      <c r="L815" s="24">
        <v>4.54500007629394</v>
      </c>
    </row>
    <row r="816" spans="2:12" x14ac:dyDescent="0.25">
      <c r="B816" s="17">
        <v>45558</v>
      </c>
      <c r="C816" s="58">
        <v>50</v>
      </c>
      <c r="D816" s="24">
        <v>4.5029997825622496</v>
      </c>
      <c r="F816" s="17">
        <v>45558</v>
      </c>
      <c r="G816" s="58">
        <v>50</v>
      </c>
      <c r="H816" s="3">
        <v>50</v>
      </c>
      <c r="I816" s="3">
        <v>50</v>
      </c>
      <c r="J816" s="23">
        <v>4.5029997825622496</v>
      </c>
      <c r="K816" s="23">
        <v>4.5029997825622496</v>
      </c>
      <c r="L816" s="24">
        <v>4.5029997825622496</v>
      </c>
    </row>
    <row r="817" spans="2:12" x14ac:dyDescent="0.25">
      <c r="B817" s="17">
        <v>45559</v>
      </c>
      <c r="C817" s="58">
        <v>54</v>
      </c>
      <c r="D817" s="24">
        <v>4.4949998855590803</v>
      </c>
      <c r="F817" s="17">
        <v>45559</v>
      </c>
      <c r="G817" s="58">
        <v>54</v>
      </c>
      <c r="H817" s="3">
        <v>54</v>
      </c>
      <c r="I817" s="3">
        <v>54</v>
      </c>
      <c r="J817" s="23">
        <v>4.4949998855590803</v>
      </c>
      <c r="K817" s="23">
        <v>4.4949998855590803</v>
      </c>
      <c r="L817" s="24">
        <v>4.4949998855590803</v>
      </c>
    </row>
    <row r="818" spans="2:12" x14ac:dyDescent="0.25">
      <c r="B818" s="17">
        <v>45560</v>
      </c>
      <c r="C818" s="58">
        <v>59</v>
      </c>
      <c r="D818" s="24">
        <v>4.4869999885559002</v>
      </c>
      <c r="F818" s="17">
        <v>45560</v>
      </c>
      <c r="G818" s="58">
        <v>59</v>
      </c>
      <c r="H818" s="3">
        <v>59</v>
      </c>
      <c r="I818" s="3">
        <v>59</v>
      </c>
      <c r="J818" s="23">
        <v>4.4869999885559002</v>
      </c>
      <c r="K818" s="23">
        <v>4.4869999885559002</v>
      </c>
      <c r="L818" s="24">
        <v>4.4869999885559002</v>
      </c>
    </row>
    <row r="819" spans="2:12" x14ac:dyDescent="0.25">
      <c r="B819" s="17">
        <v>45561</v>
      </c>
      <c r="C819" s="58">
        <v>50</v>
      </c>
      <c r="D819" s="24">
        <v>4.4679999351501403</v>
      </c>
      <c r="F819" s="17">
        <v>45561</v>
      </c>
      <c r="G819" s="58">
        <v>50</v>
      </c>
      <c r="H819" s="3">
        <v>50</v>
      </c>
      <c r="I819" s="3">
        <v>50</v>
      </c>
      <c r="J819" s="23">
        <v>4.4679999351501403</v>
      </c>
      <c r="K819" s="23">
        <v>4.4679999351501403</v>
      </c>
      <c r="L819" s="24">
        <v>4.4679999351501403</v>
      </c>
    </row>
    <row r="820" spans="2:12" x14ac:dyDescent="0.25">
      <c r="B820" s="17">
        <v>45562</v>
      </c>
      <c r="C820" s="58">
        <v>61</v>
      </c>
      <c r="D820" s="24">
        <v>4.4819998741149902</v>
      </c>
      <c r="F820" s="17">
        <v>45562</v>
      </c>
      <c r="G820" s="58">
        <v>61</v>
      </c>
      <c r="H820" s="3">
        <v>61</v>
      </c>
      <c r="I820" s="3">
        <v>61</v>
      </c>
      <c r="J820" s="23">
        <v>4.4819998741149902</v>
      </c>
      <c r="K820" s="23">
        <v>4.4819998741149902</v>
      </c>
      <c r="L820" s="24">
        <v>4.4819998741149902</v>
      </c>
    </row>
    <row r="821" spans="2:12" x14ac:dyDescent="0.25">
      <c r="B821" s="17">
        <v>45563</v>
      </c>
      <c r="C821" s="58">
        <v>64</v>
      </c>
      <c r="D821" s="24">
        <v>4.4819998741149902</v>
      </c>
      <c r="F821" s="17">
        <v>45563</v>
      </c>
      <c r="G821" s="58">
        <v>64</v>
      </c>
      <c r="H821" s="3">
        <v>64</v>
      </c>
      <c r="I821" s="3">
        <v>64</v>
      </c>
      <c r="J821" s="23">
        <v>4.4819998741149902</v>
      </c>
      <c r="K821" s="23">
        <v>4.4819998741149902</v>
      </c>
      <c r="L821" s="24">
        <v>4.4819998741149902</v>
      </c>
    </row>
    <row r="822" spans="2:12" x14ac:dyDescent="0.25">
      <c r="B822" s="17">
        <v>45564</v>
      </c>
      <c r="C822" s="58">
        <v>63</v>
      </c>
      <c r="D822" s="24">
        <v>4.4819998741149902</v>
      </c>
      <c r="F822" s="17">
        <v>45564</v>
      </c>
      <c r="G822" s="58">
        <v>63</v>
      </c>
      <c r="H822" s="3">
        <v>63</v>
      </c>
      <c r="I822" s="3">
        <v>63</v>
      </c>
      <c r="J822" s="23">
        <v>4.4819998741149902</v>
      </c>
      <c r="K822" s="23">
        <v>4.4819998741149902</v>
      </c>
      <c r="L822" s="24">
        <v>4.4819998741149902</v>
      </c>
    </row>
    <row r="823" spans="2:12" x14ac:dyDescent="0.25">
      <c r="B823" s="17">
        <v>45565</v>
      </c>
      <c r="C823" s="58">
        <v>61</v>
      </c>
      <c r="D823" s="24">
        <v>4.4980001449584899</v>
      </c>
      <c r="F823" s="17">
        <v>45565</v>
      </c>
      <c r="G823" s="58">
        <v>61</v>
      </c>
      <c r="H823" s="3">
        <v>61</v>
      </c>
      <c r="I823" s="3">
        <v>61</v>
      </c>
      <c r="J823" s="23">
        <v>4.4980001449584899</v>
      </c>
      <c r="K823" s="23">
        <v>4.4980001449584899</v>
      </c>
      <c r="L823" s="24">
        <v>4.4980001449584899</v>
      </c>
    </row>
    <row r="824" spans="2:12" x14ac:dyDescent="0.25">
      <c r="B824" s="17">
        <v>45566</v>
      </c>
      <c r="C824" s="58">
        <v>50</v>
      </c>
      <c r="D824" s="24">
        <v>4.4819998741149902</v>
      </c>
      <c r="F824" s="17">
        <v>45566</v>
      </c>
      <c r="G824" s="58">
        <v>50</v>
      </c>
      <c r="H824" s="3">
        <v>50</v>
      </c>
      <c r="I824" s="3">
        <v>50</v>
      </c>
      <c r="J824" s="23">
        <v>4.4819998741149902</v>
      </c>
      <c r="K824" s="23">
        <v>4.4819998741149902</v>
      </c>
      <c r="L824" s="24">
        <v>4.4819998741149902</v>
      </c>
    </row>
    <row r="825" spans="2:12" x14ac:dyDescent="0.25">
      <c r="B825" s="17">
        <v>45567</v>
      </c>
      <c r="C825" s="58">
        <v>42</v>
      </c>
      <c r="D825" s="24">
        <v>4.47300004959106</v>
      </c>
      <c r="F825" s="17">
        <v>45567</v>
      </c>
      <c r="G825" s="58">
        <v>42</v>
      </c>
      <c r="H825" s="3">
        <v>42</v>
      </c>
      <c r="I825" s="3">
        <v>42</v>
      </c>
      <c r="J825" s="23">
        <v>4.47300004959106</v>
      </c>
      <c r="K825" s="23">
        <v>4.47300004959106</v>
      </c>
      <c r="L825" s="24">
        <v>4.47300004959106</v>
      </c>
    </row>
    <row r="826" spans="2:12" x14ac:dyDescent="0.25">
      <c r="B826" s="17">
        <v>45568</v>
      </c>
      <c r="C826" s="58">
        <v>37</v>
      </c>
      <c r="D826" s="24">
        <v>4.4650001525878897</v>
      </c>
      <c r="F826" s="17">
        <v>45568</v>
      </c>
      <c r="G826" s="58">
        <v>37</v>
      </c>
      <c r="H826" s="3">
        <v>37</v>
      </c>
      <c r="I826" s="3">
        <v>37</v>
      </c>
      <c r="J826" s="23">
        <v>4.4650001525878897</v>
      </c>
      <c r="K826" s="23">
        <v>4.4650001525878897</v>
      </c>
      <c r="L826" s="24">
        <v>4.4650001525878897</v>
      </c>
    </row>
    <row r="827" spans="2:12" x14ac:dyDescent="0.25">
      <c r="B827" s="17">
        <v>45569</v>
      </c>
      <c r="C827" s="58">
        <v>41</v>
      </c>
      <c r="D827" s="24">
        <v>4.50500011444091</v>
      </c>
      <c r="F827" s="17">
        <v>45569</v>
      </c>
      <c r="G827" s="58">
        <v>41</v>
      </c>
      <c r="H827" s="3">
        <v>41</v>
      </c>
      <c r="I827" s="3">
        <v>41</v>
      </c>
      <c r="J827" s="23">
        <v>4.50500011444091</v>
      </c>
      <c r="K827" s="23">
        <v>4.50500011444091</v>
      </c>
      <c r="L827" s="24">
        <v>4.50500011444091</v>
      </c>
    </row>
    <row r="828" spans="2:12" x14ac:dyDescent="0.25">
      <c r="B828" s="17">
        <v>45570</v>
      </c>
      <c r="C828" s="58">
        <v>49</v>
      </c>
      <c r="D828" s="24">
        <v>4.50500011444091</v>
      </c>
      <c r="F828" s="17">
        <v>45570</v>
      </c>
      <c r="G828" s="58">
        <v>49</v>
      </c>
      <c r="H828" s="3">
        <v>49</v>
      </c>
      <c r="I828" s="3">
        <v>49</v>
      </c>
      <c r="J828" s="23">
        <v>4.50500011444091</v>
      </c>
      <c r="K828" s="23">
        <v>4.50500011444091</v>
      </c>
      <c r="L828" s="24">
        <v>4.50500011444091</v>
      </c>
    </row>
    <row r="829" spans="2:12" x14ac:dyDescent="0.25">
      <c r="B829" s="17">
        <v>45571</v>
      </c>
      <c r="C829" s="58">
        <v>50</v>
      </c>
      <c r="D829" s="24">
        <v>4.50500011444091</v>
      </c>
      <c r="F829" s="17">
        <v>45571</v>
      </c>
      <c r="G829" s="58">
        <v>50</v>
      </c>
      <c r="H829" s="3">
        <v>50</v>
      </c>
      <c r="I829" s="3">
        <v>50</v>
      </c>
      <c r="J829" s="23">
        <v>4.50500011444091</v>
      </c>
      <c r="K829" s="23">
        <v>4.50500011444091</v>
      </c>
      <c r="L829" s="24">
        <v>4.50500011444091</v>
      </c>
    </row>
    <row r="830" spans="2:12" x14ac:dyDescent="0.25">
      <c r="B830" s="17">
        <v>45572</v>
      </c>
      <c r="C830" s="58">
        <v>50</v>
      </c>
      <c r="D830" s="24">
        <v>4.5250000953674299</v>
      </c>
      <c r="F830" s="17">
        <v>45572</v>
      </c>
      <c r="G830" s="58">
        <v>50</v>
      </c>
      <c r="H830" s="3">
        <v>50</v>
      </c>
      <c r="I830" s="3">
        <v>50</v>
      </c>
      <c r="J830" s="23">
        <v>4.5250000953674299</v>
      </c>
      <c r="K830" s="23">
        <v>4.5250000953674299</v>
      </c>
      <c r="L830" s="24">
        <v>4.5250000953674299</v>
      </c>
    </row>
    <row r="831" spans="2:12" x14ac:dyDescent="0.25">
      <c r="B831" s="17">
        <v>45573</v>
      </c>
      <c r="C831" s="58">
        <v>49</v>
      </c>
      <c r="D831" s="24">
        <v>4.5279998779296804</v>
      </c>
      <c r="F831" s="17">
        <v>45573</v>
      </c>
      <c r="G831" s="58">
        <v>49</v>
      </c>
      <c r="H831" s="3">
        <v>49</v>
      </c>
      <c r="I831" s="3">
        <v>49</v>
      </c>
      <c r="J831" s="23">
        <v>4.5279998779296804</v>
      </c>
      <c r="K831" s="23">
        <v>4.5279998779296804</v>
      </c>
      <c r="L831" s="24">
        <v>4.5279998779296804</v>
      </c>
    </row>
    <row r="832" spans="2:12" x14ac:dyDescent="0.25">
      <c r="B832" s="17">
        <v>45574</v>
      </c>
      <c r="C832" s="58">
        <v>49</v>
      </c>
      <c r="D832" s="24">
        <v>4.5349998474120996</v>
      </c>
      <c r="F832" s="17">
        <v>45574</v>
      </c>
      <c r="G832" s="58">
        <v>49</v>
      </c>
      <c r="H832" s="3">
        <v>49</v>
      </c>
      <c r="I832" s="3">
        <v>49</v>
      </c>
      <c r="J832" s="23">
        <v>4.5349998474120996</v>
      </c>
      <c r="K832" s="23">
        <v>4.5349998474120996</v>
      </c>
      <c r="L832" s="24">
        <v>4.5349998474120996</v>
      </c>
    </row>
    <row r="833" spans="2:12" x14ac:dyDescent="0.25">
      <c r="B833" s="17">
        <v>45575</v>
      </c>
      <c r="C833" s="58">
        <v>39</v>
      </c>
      <c r="D833" s="24">
        <v>4.5300002098083496</v>
      </c>
      <c r="F833" s="17">
        <v>45575</v>
      </c>
      <c r="G833" s="58">
        <v>39</v>
      </c>
      <c r="H833" s="3">
        <v>39</v>
      </c>
      <c r="I833" s="3">
        <v>39</v>
      </c>
      <c r="J833" s="23">
        <v>4.5300002098083496</v>
      </c>
      <c r="K833" s="23">
        <v>4.5300002098083496</v>
      </c>
      <c r="L833" s="24">
        <v>4.5300002098083496</v>
      </c>
    </row>
    <row r="834" spans="2:12" x14ac:dyDescent="0.25">
      <c r="B834" s="17">
        <v>45576</v>
      </c>
      <c r="C834" s="58">
        <v>32</v>
      </c>
      <c r="D834" s="24">
        <v>4.5149998664855904</v>
      </c>
      <c r="F834" s="17">
        <v>45576</v>
      </c>
      <c r="G834" s="58">
        <v>32</v>
      </c>
      <c r="H834" s="3">
        <v>32</v>
      </c>
      <c r="I834" s="3">
        <v>32</v>
      </c>
      <c r="J834" s="23">
        <v>4.5149998664855904</v>
      </c>
      <c r="K834" s="23">
        <v>4.5149998664855904</v>
      </c>
      <c r="L834" s="24">
        <v>4.5149998664855904</v>
      </c>
    </row>
    <row r="835" spans="2:12" x14ac:dyDescent="0.25">
      <c r="B835" s="17">
        <v>45577</v>
      </c>
      <c r="C835" s="58">
        <v>49</v>
      </c>
      <c r="D835" s="24">
        <v>4.5149998664855904</v>
      </c>
      <c r="F835" s="17">
        <v>45577</v>
      </c>
      <c r="G835" s="58">
        <v>49</v>
      </c>
      <c r="H835" s="3">
        <v>49</v>
      </c>
      <c r="I835" s="3">
        <v>49</v>
      </c>
      <c r="J835" s="23">
        <v>4.5149998664855904</v>
      </c>
      <c r="K835" s="23">
        <v>4.5149998664855904</v>
      </c>
      <c r="L835" s="24">
        <v>4.5149998664855904</v>
      </c>
    </row>
    <row r="836" spans="2:12" x14ac:dyDescent="0.25">
      <c r="B836" s="17">
        <v>45578</v>
      </c>
      <c r="C836" s="58">
        <v>50</v>
      </c>
      <c r="D836" s="24">
        <v>4.5149998664855904</v>
      </c>
      <c r="F836" s="17">
        <v>45578</v>
      </c>
      <c r="G836" s="58">
        <v>50</v>
      </c>
      <c r="H836" s="3">
        <v>50</v>
      </c>
      <c r="I836" s="3">
        <v>50</v>
      </c>
      <c r="J836" s="23">
        <v>4.5149998664855904</v>
      </c>
      <c r="K836" s="23">
        <v>4.5149998664855904</v>
      </c>
      <c r="L836" s="24">
        <v>4.5149998664855904</v>
      </c>
    </row>
    <row r="837" spans="2:12" x14ac:dyDescent="0.25">
      <c r="B837" s="17">
        <v>45579</v>
      </c>
      <c r="C837" s="58">
        <v>48</v>
      </c>
      <c r="D837" s="24">
        <v>4.5180001258850098</v>
      </c>
      <c r="F837" s="17">
        <v>45579</v>
      </c>
      <c r="G837" s="58">
        <v>48</v>
      </c>
      <c r="H837" s="3">
        <v>48</v>
      </c>
      <c r="I837" s="3">
        <v>48</v>
      </c>
      <c r="J837" s="23">
        <v>4.5180001258850098</v>
      </c>
      <c r="K837" s="23">
        <v>4.5180001258850098</v>
      </c>
      <c r="L837" s="24">
        <v>4.5180001258850098</v>
      </c>
    </row>
    <row r="838" spans="2:12" x14ac:dyDescent="0.25">
      <c r="B838" s="17">
        <v>45580</v>
      </c>
      <c r="C838" s="58">
        <v>65</v>
      </c>
      <c r="D838" s="24">
        <v>4.5149998664855904</v>
      </c>
      <c r="F838" s="17">
        <v>45580</v>
      </c>
      <c r="G838" s="58">
        <v>65</v>
      </c>
      <c r="H838" s="3">
        <v>65</v>
      </c>
      <c r="I838" s="3">
        <v>65</v>
      </c>
      <c r="J838" s="23">
        <v>4.5149998664855904</v>
      </c>
      <c r="K838" s="23">
        <v>4.5149998664855904</v>
      </c>
      <c r="L838" s="24">
        <v>4.5149998664855904</v>
      </c>
    </row>
    <row r="839" spans="2:12" x14ac:dyDescent="0.25">
      <c r="B839" s="17">
        <v>45581</v>
      </c>
      <c r="C839" s="58">
        <v>73</v>
      </c>
      <c r="D839" s="24">
        <v>4.5029997825622496</v>
      </c>
      <c r="F839" s="17">
        <v>45581</v>
      </c>
      <c r="G839" s="58">
        <v>73</v>
      </c>
      <c r="H839" s="3">
        <v>73</v>
      </c>
      <c r="I839" s="3">
        <v>73</v>
      </c>
      <c r="J839" s="23">
        <v>4.5029997825622496</v>
      </c>
      <c r="K839" s="23">
        <v>4.5029997825622496</v>
      </c>
      <c r="L839" s="24">
        <v>4.5029997825622496</v>
      </c>
    </row>
    <row r="840" spans="2:12" x14ac:dyDescent="0.25">
      <c r="B840" s="17">
        <v>45582</v>
      </c>
      <c r="C840" s="58">
        <v>71</v>
      </c>
      <c r="D840" s="24">
        <v>4.5149998664855904</v>
      </c>
      <c r="F840" s="17">
        <v>45582</v>
      </c>
      <c r="G840" s="58">
        <v>71</v>
      </c>
      <c r="H840" s="3">
        <v>71</v>
      </c>
      <c r="I840" s="3">
        <v>71</v>
      </c>
      <c r="J840" s="23">
        <v>4.5149998664855904</v>
      </c>
      <c r="K840" s="23">
        <v>4.5149998664855904</v>
      </c>
      <c r="L840" s="24">
        <v>4.5149998664855904</v>
      </c>
    </row>
    <row r="841" spans="2:12" x14ac:dyDescent="0.25">
      <c r="B841" s="17">
        <v>45583</v>
      </c>
      <c r="C841" s="58">
        <v>73</v>
      </c>
      <c r="D841" s="24">
        <v>4.51300001144409</v>
      </c>
      <c r="F841" s="17">
        <v>45583</v>
      </c>
      <c r="G841" s="58">
        <v>73</v>
      </c>
      <c r="H841" s="3">
        <v>73</v>
      </c>
      <c r="I841" s="3">
        <v>73</v>
      </c>
      <c r="J841" s="23">
        <v>4.51300001144409</v>
      </c>
      <c r="K841" s="23">
        <v>4.51300001144409</v>
      </c>
      <c r="L841" s="24">
        <v>4.51300001144409</v>
      </c>
    </row>
    <row r="842" spans="2:12" x14ac:dyDescent="0.25">
      <c r="B842" s="17">
        <v>45584</v>
      </c>
      <c r="C842" s="58">
        <v>72</v>
      </c>
      <c r="D842" s="24">
        <v>4.51300001144409</v>
      </c>
      <c r="F842" s="17">
        <v>45584</v>
      </c>
      <c r="G842" s="58">
        <v>72</v>
      </c>
      <c r="H842" s="3">
        <v>72</v>
      </c>
      <c r="I842" s="3">
        <v>72</v>
      </c>
      <c r="J842" s="23">
        <v>4.51300001144409</v>
      </c>
      <c r="K842" s="23">
        <v>4.51300001144409</v>
      </c>
      <c r="L842" s="24">
        <v>4.51300001144409</v>
      </c>
    </row>
    <row r="843" spans="2:12" x14ac:dyDescent="0.25">
      <c r="B843" s="17">
        <v>45585</v>
      </c>
      <c r="C843" s="58">
        <v>73</v>
      </c>
      <c r="D843" s="24">
        <v>4.51300001144409</v>
      </c>
      <c r="F843" s="17">
        <v>45585</v>
      </c>
      <c r="G843" s="58">
        <v>73</v>
      </c>
      <c r="H843" s="3">
        <v>73</v>
      </c>
      <c r="I843" s="3">
        <v>73</v>
      </c>
      <c r="J843" s="23">
        <v>4.51300001144409</v>
      </c>
      <c r="K843" s="23">
        <v>4.51300001144409</v>
      </c>
      <c r="L843" s="24">
        <v>4.51300001144409</v>
      </c>
    </row>
    <row r="844" spans="2:12" x14ac:dyDescent="0.25">
      <c r="B844" s="17">
        <v>45586</v>
      </c>
      <c r="C844" s="58">
        <v>72</v>
      </c>
      <c r="D844" s="24">
        <v>4.5180001258850098</v>
      </c>
      <c r="F844" s="17">
        <v>45586</v>
      </c>
      <c r="G844" s="58">
        <v>72</v>
      </c>
      <c r="H844" s="3">
        <v>72</v>
      </c>
      <c r="I844" s="3">
        <v>72</v>
      </c>
      <c r="J844" s="23">
        <v>4.5180001258850098</v>
      </c>
      <c r="K844" s="23">
        <v>4.5180001258850098</v>
      </c>
      <c r="L844" s="24">
        <v>4.5180001258850098</v>
      </c>
    </row>
    <row r="845" spans="2:12" x14ac:dyDescent="0.25">
      <c r="B845" s="17">
        <v>45587</v>
      </c>
      <c r="C845" s="58">
        <v>70</v>
      </c>
      <c r="D845" s="24">
        <v>4.5</v>
      </c>
      <c r="F845" s="17">
        <v>45587</v>
      </c>
      <c r="G845" s="58">
        <v>70</v>
      </c>
      <c r="H845" s="3">
        <v>70</v>
      </c>
      <c r="I845" s="3">
        <v>70</v>
      </c>
      <c r="J845" s="23">
        <v>4.5</v>
      </c>
      <c r="K845" s="23">
        <v>4.5</v>
      </c>
      <c r="L845" s="24">
        <v>4.5</v>
      </c>
    </row>
    <row r="846" spans="2:12" x14ac:dyDescent="0.25">
      <c r="B846" s="17">
        <v>45588</v>
      </c>
      <c r="C846" s="58">
        <v>71</v>
      </c>
      <c r="D846" s="24">
        <v>4.50500011444091</v>
      </c>
      <c r="F846" s="17">
        <v>45588</v>
      </c>
      <c r="G846" s="58">
        <v>71</v>
      </c>
      <c r="H846" s="3">
        <v>71</v>
      </c>
      <c r="I846" s="3">
        <v>71</v>
      </c>
      <c r="J846" s="23">
        <v>4.50500011444091</v>
      </c>
      <c r="K846" s="23">
        <v>4.50500011444091</v>
      </c>
      <c r="L846" s="24">
        <v>4.50500011444091</v>
      </c>
    </row>
    <row r="847" spans="2:12" x14ac:dyDescent="0.25">
      <c r="B847" s="17">
        <v>45589</v>
      </c>
      <c r="C847" s="58">
        <v>69</v>
      </c>
      <c r="D847" s="24">
        <v>4.4869999885559002</v>
      </c>
      <c r="F847" s="17">
        <v>45589</v>
      </c>
      <c r="G847" s="58">
        <v>69</v>
      </c>
      <c r="H847" s="3">
        <v>69</v>
      </c>
      <c r="I847" s="3">
        <v>69</v>
      </c>
      <c r="J847" s="23">
        <v>4.4869999885559002</v>
      </c>
      <c r="K847" s="23">
        <v>4.4869999885559002</v>
      </c>
      <c r="L847" s="24">
        <v>4.4869999885559002</v>
      </c>
    </row>
    <row r="848" spans="2:12" x14ac:dyDescent="0.25">
      <c r="B848" s="17">
        <v>45590</v>
      </c>
      <c r="C848" s="58">
        <v>72</v>
      </c>
      <c r="D848" s="24">
        <v>4.5100002288818297</v>
      </c>
      <c r="F848" s="17">
        <v>45590</v>
      </c>
      <c r="G848" s="58">
        <v>72</v>
      </c>
      <c r="H848" s="3">
        <v>72</v>
      </c>
      <c r="I848" s="3">
        <v>72</v>
      </c>
      <c r="J848" s="23">
        <v>4.5100002288818297</v>
      </c>
      <c r="K848" s="23">
        <v>4.5100002288818297</v>
      </c>
      <c r="L848" s="24">
        <v>4.5100002288818297</v>
      </c>
    </row>
    <row r="849" spans="2:12" x14ac:dyDescent="0.25">
      <c r="B849" s="17">
        <v>45591</v>
      </c>
      <c r="C849" s="58">
        <v>73</v>
      </c>
      <c r="D849" s="24">
        <v>4.5100002288818297</v>
      </c>
      <c r="F849" s="17">
        <v>45591</v>
      </c>
      <c r="G849" s="58">
        <v>73</v>
      </c>
      <c r="H849" s="3">
        <v>73</v>
      </c>
      <c r="I849" s="3">
        <v>73</v>
      </c>
      <c r="J849" s="23">
        <v>4.5100002288818297</v>
      </c>
      <c r="K849" s="23">
        <v>4.5100002288818297</v>
      </c>
      <c r="L849" s="24">
        <v>4.5100002288818297</v>
      </c>
    </row>
    <row r="850" spans="2:12" x14ac:dyDescent="0.25">
      <c r="B850" s="17">
        <v>45592</v>
      </c>
      <c r="C850" s="58">
        <v>74</v>
      </c>
      <c r="D850" s="24">
        <v>4.5100002288818297</v>
      </c>
      <c r="F850" s="17">
        <v>45592</v>
      </c>
      <c r="G850" s="58">
        <v>74</v>
      </c>
      <c r="H850" s="3">
        <v>74</v>
      </c>
      <c r="I850" s="3">
        <v>74</v>
      </c>
      <c r="J850" s="23">
        <v>4.5100002288818297</v>
      </c>
      <c r="K850" s="23">
        <v>4.5100002288818297</v>
      </c>
      <c r="L850" s="24">
        <v>4.5100002288818297</v>
      </c>
    </row>
    <row r="851" spans="2:12" x14ac:dyDescent="0.25">
      <c r="B851" s="17">
        <v>45593</v>
      </c>
      <c r="C851" s="58">
        <v>72</v>
      </c>
      <c r="D851" s="24">
        <v>4.4819998741149902</v>
      </c>
      <c r="F851" s="17">
        <v>45593</v>
      </c>
      <c r="G851" s="58">
        <v>72</v>
      </c>
      <c r="H851" s="3">
        <v>72</v>
      </c>
      <c r="I851" s="3">
        <v>72</v>
      </c>
      <c r="J851" s="23">
        <v>4.4819998741149902</v>
      </c>
      <c r="K851" s="23">
        <v>4.4819998741149902</v>
      </c>
      <c r="L851" s="24">
        <v>4.4819998741149902</v>
      </c>
    </row>
    <row r="852" spans="2:12" x14ac:dyDescent="0.25">
      <c r="B852" s="17">
        <v>45594</v>
      </c>
      <c r="C852" s="58">
        <v>72</v>
      </c>
      <c r="D852" s="24">
        <v>4.4800000190734801</v>
      </c>
      <c r="F852" s="17">
        <v>45594</v>
      </c>
      <c r="G852" s="58">
        <v>72</v>
      </c>
      <c r="H852" s="3">
        <v>72</v>
      </c>
      <c r="I852" s="3">
        <v>72</v>
      </c>
      <c r="J852" s="23">
        <v>4.4800000190734801</v>
      </c>
      <c r="K852" s="23">
        <v>4.4800000190734801</v>
      </c>
      <c r="L852" s="24">
        <v>4.4800000190734801</v>
      </c>
    </row>
    <row r="853" spans="2:12" ht="15.75" thickBot="1" x14ac:dyDescent="0.3">
      <c r="B853" s="18">
        <v>45595</v>
      </c>
      <c r="C853" s="58">
        <v>77</v>
      </c>
      <c r="D853" s="24">
        <v>4.4629998207092196</v>
      </c>
      <c r="F853" s="18">
        <v>45595</v>
      </c>
      <c r="G853" s="58">
        <v>77</v>
      </c>
      <c r="H853" s="3">
        <v>77</v>
      </c>
      <c r="I853" s="3">
        <v>77</v>
      </c>
      <c r="J853" s="23">
        <v>4.4629998207092196</v>
      </c>
      <c r="K853" s="23">
        <v>4.4629998207092196</v>
      </c>
      <c r="L853" s="24">
        <v>4.4629998207092196</v>
      </c>
    </row>
    <row r="854" spans="2:12" x14ac:dyDescent="0.25">
      <c r="B854" s="16">
        <v>45596</v>
      </c>
      <c r="C854" s="58">
        <v>77</v>
      </c>
      <c r="D854" s="24">
        <v>4.4320001602172798</v>
      </c>
      <c r="F854" s="16">
        <v>45596</v>
      </c>
      <c r="G854" s="58">
        <v>77</v>
      </c>
      <c r="H854" s="3">
        <v>77</v>
      </c>
      <c r="I854" s="3">
        <v>77</v>
      </c>
      <c r="J854" s="23">
        <v>4.4320001602172798</v>
      </c>
      <c r="K854" s="23">
        <v>4.4320001602172798</v>
      </c>
      <c r="L854" s="24">
        <v>4.4320001602172798</v>
      </c>
    </row>
    <row r="855" spans="2:12" x14ac:dyDescent="0.25">
      <c r="B855" s="17">
        <v>45597</v>
      </c>
      <c r="C855" s="58">
        <v>75</v>
      </c>
      <c r="D855" s="24">
        <v>4.4000000953674299</v>
      </c>
      <c r="F855" s="17">
        <v>45597</v>
      </c>
      <c r="G855" s="58">
        <v>75</v>
      </c>
      <c r="H855" s="3">
        <v>75</v>
      </c>
      <c r="I855" s="3">
        <v>75</v>
      </c>
      <c r="J855" s="23">
        <v>4.4000000953674299</v>
      </c>
      <c r="K855" s="23">
        <v>4.4000000953674299</v>
      </c>
      <c r="L855" s="24">
        <v>4.4000000953674299</v>
      </c>
    </row>
    <row r="856" spans="2:12" x14ac:dyDescent="0.25">
      <c r="B856" s="17">
        <v>45598</v>
      </c>
      <c r="C856" s="58">
        <v>72</v>
      </c>
      <c r="D856" s="24">
        <v>4.4000000953674299</v>
      </c>
      <c r="F856" s="17">
        <v>45598</v>
      </c>
      <c r="G856" s="58">
        <v>72</v>
      </c>
      <c r="H856" s="3">
        <v>72</v>
      </c>
      <c r="I856" s="3">
        <v>72</v>
      </c>
      <c r="J856" s="23">
        <v>4.4000000953674299</v>
      </c>
      <c r="K856" s="23">
        <v>4.4000000953674299</v>
      </c>
      <c r="L856" s="24">
        <v>4.4000000953674299</v>
      </c>
    </row>
    <row r="857" spans="2:12" x14ac:dyDescent="0.25">
      <c r="B857" s="17">
        <v>45599</v>
      </c>
      <c r="C857" s="58">
        <v>74</v>
      </c>
      <c r="D857" s="24">
        <v>4.4000000953674299</v>
      </c>
      <c r="F857" s="17">
        <v>45599</v>
      </c>
      <c r="G857" s="58">
        <v>74</v>
      </c>
      <c r="H857" s="3">
        <v>74</v>
      </c>
      <c r="I857" s="3">
        <v>74</v>
      </c>
      <c r="J857" s="23">
        <v>4.4000000953674299</v>
      </c>
      <c r="K857" s="23">
        <v>4.4000000953674299</v>
      </c>
      <c r="L857" s="24">
        <v>4.4000000953674299</v>
      </c>
    </row>
    <row r="858" spans="2:12" x14ac:dyDescent="0.25">
      <c r="B858" s="17">
        <v>45600</v>
      </c>
      <c r="C858" s="58">
        <v>70</v>
      </c>
      <c r="D858" s="24">
        <v>4.4180002212524396</v>
      </c>
      <c r="F858" s="17">
        <v>45600</v>
      </c>
      <c r="G858" s="58">
        <v>70</v>
      </c>
      <c r="H858" s="3">
        <v>70</v>
      </c>
      <c r="I858" s="3">
        <v>70</v>
      </c>
      <c r="J858" s="23">
        <v>4.4180002212524396</v>
      </c>
      <c r="K858" s="23">
        <v>4.4180002212524396</v>
      </c>
      <c r="L858" s="24">
        <v>4.4180002212524396</v>
      </c>
    </row>
    <row r="859" spans="2:12" x14ac:dyDescent="0.25">
      <c r="B859" s="17">
        <v>45601</v>
      </c>
      <c r="C859" s="58">
        <v>70</v>
      </c>
      <c r="D859" s="24">
        <v>4.4229998588562003</v>
      </c>
      <c r="F859" s="17">
        <v>45601</v>
      </c>
      <c r="G859" s="58">
        <v>70</v>
      </c>
      <c r="H859" s="3">
        <v>70</v>
      </c>
      <c r="I859" s="3">
        <v>70</v>
      </c>
      <c r="J859" s="23">
        <v>4.4229998588562003</v>
      </c>
      <c r="K859" s="23">
        <v>4.4229998588562003</v>
      </c>
      <c r="L859" s="24">
        <v>4.4229998588562003</v>
      </c>
    </row>
    <row r="860" spans="2:12" x14ac:dyDescent="0.25">
      <c r="B860" s="17">
        <v>45602</v>
      </c>
      <c r="C860" s="58">
        <v>70</v>
      </c>
      <c r="D860" s="24">
        <v>4.4299998283386204</v>
      </c>
      <c r="F860" s="17">
        <v>45602</v>
      </c>
      <c r="G860" s="58">
        <v>70</v>
      </c>
      <c r="H860" s="3">
        <v>70</v>
      </c>
      <c r="I860" s="3">
        <v>70</v>
      </c>
      <c r="J860" s="23">
        <v>4.4299998283386204</v>
      </c>
      <c r="K860" s="23">
        <v>4.4299998283386204</v>
      </c>
      <c r="L860" s="24">
        <v>4.4299998283386204</v>
      </c>
    </row>
    <row r="861" spans="2:12" x14ac:dyDescent="0.25">
      <c r="B861" s="17">
        <v>45603</v>
      </c>
      <c r="C861" s="58">
        <v>77</v>
      </c>
      <c r="D861" s="24">
        <v>4.42000007629394</v>
      </c>
      <c r="F861" s="17">
        <v>45603</v>
      </c>
      <c r="G861" s="58">
        <v>77</v>
      </c>
      <c r="H861" s="3">
        <v>77</v>
      </c>
      <c r="I861" s="3">
        <v>77</v>
      </c>
      <c r="J861" s="23">
        <v>4.42000007629394</v>
      </c>
      <c r="K861" s="23">
        <v>4.42000007629394</v>
      </c>
      <c r="L861" s="24">
        <v>4.42000007629394</v>
      </c>
    </row>
    <row r="862" spans="2:12" x14ac:dyDescent="0.25">
      <c r="B862" s="17">
        <v>45604</v>
      </c>
      <c r="C862" s="58">
        <v>75</v>
      </c>
      <c r="D862" s="24">
        <v>4.4229998588562003</v>
      </c>
      <c r="F862" s="17">
        <v>45604</v>
      </c>
      <c r="G862" s="58">
        <v>75</v>
      </c>
      <c r="H862" s="3">
        <v>75</v>
      </c>
      <c r="I862" s="3">
        <v>75</v>
      </c>
      <c r="J862" s="23">
        <v>4.4229998588562003</v>
      </c>
      <c r="K862" s="23">
        <v>4.4229998588562003</v>
      </c>
      <c r="L862" s="24">
        <v>4.4229998588562003</v>
      </c>
    </row>
    <row r="863" spans="2:12" x14ac:dyDescent="0.25">
      <c r="B863" s="17">
        <v>45605</v>
      </c>
      <c r="C863" s="58">
        <v>75</v>
      </c>
      <c r="D863" s="24">
        <v>4.4229998588562003</v>
      </c>
      <c r="F863" s="17">
        <v>45605</v>
      </c>
      <c r="G863" s="58">
        <v>75</v>
      </c>
      <c r="H863" s="3">
        <v>75</v>
      </c>
      <c r="I863" s="3">
        <v>75</v>
      </c>
      <c r="J863" s="23">
        <v>4.4229998588562003</v>
      </c>
      <c r="K863" s="23">
        <v>4.4229998588562003</v>
      </c>
      <c r="L863" s="24">
        <v>4.4229998588562003</v>
      </c>
    </row>
    <row r="864" spans="2:12" x14ac:dyDescent="0.25">
      <c r="B864" s="17">
        <v>45606</v>
      </c>
      <c r="C864" s="58">
        <v>78</v>
      </c>
      <c r="D864" s="24">
        <v>4.4229998588562003</v>
      </c>
      <c r="F864" s="17">
        <v>45606</v>
      </c>
      <c r="G864" s="58">
        <v>78</v>
      </c>
      <c r="H864" s="3">
        <v>78</v>
      </c>
      <c r="I864" s="3">
        <v>78</v>
      </c>
      <c r="J864" s="23">
        <v>4.4229998588562003</v>
      </c>
      <c r="K864" s="23">
        <v>4.4229998588562003</v>
      </c>
      <c r="L864" s="24">
        <v>4.4229998588562003</v>
      </c>
    </row>
    <row r="865" spans="2:12" x14ac:dyDescent="0.25">
      <c r="B865" s="17">
        <v>45607</v>
      </c>
      <c r="C865" s="58">
        <v>76</v>
      </c>
      <c r="D865" s="24">
        <v>4.4149999618530202</v>
      </c>
      <c r="F865" s="17">
        <v>45607</v>
      </c>
      <c r="G865" s="58">
        <v>76</v>
      </c>
      <c r="H865" s="3">
        <v>76</v>
      </c>
      <c r="I865" s="3">
        <v>76</v>
      </c>
      <c r="J865" s="23">
        <v>4.4149999618530202</v>
      </c>
      <c r="K865" s="23">
        <v>4.4149999618530202</v>
      </c>
      <c r="L865" s="24">
        <v>4.4149999618530202</v>
      </c>
    </row>
    <row r="866" spans="2:12" x14ac:dyDescent="0.25">
      <c r="B866" s="17">
        <v>45608</v>
      </c>
      <c r="C866" s="58">
        <v>80</v>
      </c>
      <c r="D866" s="24">
        <v>4.4229998588562003</v>
      </c>
      <c r="F866" s="17">
        <v>45608</v>
      </c>
      <c r="G866" s="58">
        <v>80</v>
      </c>
      <c r="H866" s="3">
        <v>80</v>
      </c>
      <c r="I866" s="3">
        <v>80</v>
      </c>
      <c r="J866" s="23">
        <v>4.4229998588562003</v>
      </c>
      <c r="K866" s="23">
        <v>4.4229998588562003</v>
      </c>
      <c r="L866" s="24">
        <v>4.4229998588562003</v>
      </c>
    </row>
    <row r="867" spans="2:12" x14ac:dyDescent="0.25">
      <c r="B867" s="17">
        <v>45609</v>
      </c>
      <c r="C867" s="58">
        <v>84</v>
      </c>
      <c r="D867" s="24">
        <v>4.3899998664855904</v>
      </c>
      <c r="F867" s="17">
        <v>45609</v>
      </c>
      <c r="G867" s="58">
        <v>84</v>
      </c>
      <c r="H867" s="3">
        <v>84</v>
      </c>
      <c r="I867" s="3">
        <v>84</v>
      </c>
      <c r="J867" s="23">
        <v>4.3899998664855904</v>
      </c>
      <c r="K867" s="23">
        <v>4.3899998664855904</v>
      </c>
      <c r="L867" s="24">
        <v>4.3899998664855904</v>
      </c>
    </row>
    <row r="868" spans="2:12" x14ac:dyDescent="0.25">
      <c r="B868" s="17">
        <v>45610</v>
      </c>
      <c r="C868" s="58">
        <v>88</v>
      </c>
      <c r="D868" s="24">
        <v>4.3829998970031703</v>
      </c>
      <c r="F868" s="17">
        <v>45610</v>
      </c>
      <c r="G868" s="58">
        <v>88</v>
      </c>
      <c r="H868" s="3">
        <v>88</v>
      </c>
      <c r="I868" s="3">
        <v>88</v>
      </c>
      <c r="J868" s="23">
        <v>4.3829998970031703</v>
      </c>
      <c r="K868" s="23">
        <v>4.3829998970031703</v>
      </c>
      <c r="L868" s="24">
        <v>4.3829998970031703</v>
      </c>
    </row>
    <row r="869" spans="2:12" x14ac:dyDescent="0.25">
      <c r="B869" s="17">
        <v>45611</v>
      </c>
      <c r="C869" s="58">
        <v>80</v>
      </c>
      <c r="D869" s="24">
        <v>4.3930001258850098</v>
      </c>
      <c r="F869" s="17">
        <v>45611</v>
      </c>
      <c r="G869" s="58">
        <v>80</v>
      </c>
      <c r="H869" s="3">
        <v>80</v>
      </c>
      <c r="I869" s="3">
        <v>80</v>
      </c>
      <c r="J869" s="23">
        <v>4.3930001258850098</v>
      </c>
      <c r="K869" s="23">
        <v>4.3930001258850098</v>
      </c>
      <c r="L869" s="24">
        <v>4.3930001258850098</v>
      </c>
    </row>
    <row r="870" spans="2:12" x14ac:dyDescent="0.25">
      <c r="B870" s="17">
        <v>45612</v>
      </c>
      <c r="C870" s="58">
        <v>86</v>
      </c>
      <c r="D870" s="24">
        <v>4.3930001258850098</v>
      </c>
      <c r="F870" s="17">
        <v>45612</v>
      </c>
      <c r="G870" s="58">
        <v>86</v>
      </c>
      <c r="H870" s="3">
        <v>86</v>
      </c>
      <c r="I870" s="3">
        <v>86</v>
      </c>
      <c r="J870" s="23">
        <v>4.3930001258850098</v>
      </c>
      <c r="K870" s="23">
        <v>4.3930001258850098</v>
      </c>
      <c r="L870" s="24">
        <v>4.3930001258850098</v>
      </c>
    </row>
    <row r="871" spans="2:12" x14ac:dyDescent="0.25">
      <c r="B871" s="17">
        <v>45613</v>
      </c>
      <c r="C871" s="58">
        <v>90</v>
      </c>
      <c r="D871" s="24">
        <v>4.3930001258850098</v>
      </c>
      <c r="F871" s="17">
        <v>45613</v>
      </c>
      <c r="G871" s="58">
        <v>90</v>
      </c>
      <c r="H871" s="3">
        <v>90</v>
      </c>
      <c r="I871" s="3">
        <v>90</v>
      </c>
      <c r="J871" s="23">
        <v>4.3930001258850098</v>
      </c>
      <c r="K871" s="23">
        <v>4.3930001258850098</v>
      </c>
      <c r="L871" s="24">
        <v>4.3930001258850098</v>
      </c>
    </row>
    <row r="872" spans="2:12" x14ac:dyDescent="0.25">
      <c r="B872" s="17">
        <v>45614</v>
      </c>
      <c r="C872" s="58">
        <v>83</v>
      </c>
      <c r="D872" s="24">
        <v>4.4029998779296804</v>
      </c>
      <c r="F872" s="17">
        <v>45614</v>
      </c>
      <c r="G872" s="58">
        <v>83</v>
      </c>
      <c r="H872" s="3">
        <v>83</v>
      </c>
      <c r="I872" s="3">
        <v>83</v>
      </c>
      <c r="J872" s="23">
        <v>4.4029998779296804</v>
      </c>
      <c r="K872" s="23">
        <v>4.4029998779296804</v>
      </c>
      <c r="L872" s="24">
        <v>4.4029998779296804</v>
      </c>
    </row>
    <row r="873" spans="2:12" x14ac:dyDescent="0.25">
      <c r="B873" s="17">
        <v>45615</v>
      </c>
      <c r="C873" s="58">
        <v>90</v>
      </c>
      <c r="D873" s="24">
        <v>4.4079999923706001</v>
      </c>
      <c r="F873" s="17">
        <v>45615</v>
      </c>
      <c r="G873" s="58">
        <v>90</v>
      </c>
      <c r="H873" s="3">
        <v>90</v>
      </c>
      <c r="I873" s="3">
        <v>90</v>
      </c>
      <c r="J873" s="23">
        <v>4.4079999923706001</v>
      </c>
      <c r="K873" s="23">
        <v>4.4079999923706001</v>
      </c>
      <c r="L873" s="24">
        <v>4.4079999923706001</v>
      </c>
    </row>
    <row r="874" spans="2:12" x14ac:dyDescent="0.25">
      <c r="B874" s="17">
        <v>45616</v>
      </c>
      <c r="C874" s="58">
        <v>83</v>
      </c>
      <c r="D874" s="24">
        <v>4.4099998474120996</v>
      </c>
      <c r="F874" s="17">
        <v>45616</v>
      </c>
      <c r="G874" s="58">
        <v>83</v>
      </c>
      <c r="H874" s="3">
        <v>83</v>
      </c>
      <c r="I874" s="3">
        <v>83</v>
      </c>
      <c r="J874" s="23">
        <v>4.4099998474120996</v>
      </c>
      <c r="K874" s="23">
        <v>4.4099998474120996</v>
      </c>
      <c r="L874" s="24">
        <v>4.4099998474120996</v>
      </c>
    </row>
    <row r="875" spans="2:12" x14ac:dyDescent="0.25">
      <c r="B875" s="17">
        <v>45617</v>
      </c>
      <c r="C875" s="58">
        <v>82</v>
      </c>
      <c r="D875" s="24">
        <v>4.4130001068115199</v>
      </c>
      <c r="F875" s="17">
        <v>45617</v>
      </c>
      <c r="G875" s="58">
        <v>82</v>
      </c>
      <c r="H875" s="3">
        <v>82</v>
      </c>
      <c r="I875" s="3">
        <v>82</v>
      </c>
      <c r="J875" s="23">
        <v>4.4130001068115199</v>
      </c>
      <c r="K875" s="23">
        <v>4.4130001068115199</v>
      </c>
      <c r="L875" s="24">
        <v>4.4130001068115199</v>
      </c>
    </row>
    <row r="876" spans="2:12" x14ac:dyDescent="0.25">
      <c r="B876" s="17">
        <v>45618</v>
      </c>
      <c r="C876" s="58">
        <v>94</v>
      </c>
      <c r="D876" s="24">
        <v>4.4149999618530202</v>
      </c>
      <c r="F876" s="17">
        <v>45618</v>
      </c>
      <c r="G876" s="58">
        <v>94</v>
      </c>
      <c r="H876" s="3">
        <v>94</v>
      </c>
      <c r="I876" s="3">
        <v>94</v>
      </c>
      <c r="J876" s="23">
        <v>4.4149999618530202</v>
      </c>
      <c r="K876" s="23">
        <v>4.4149999618530202</v>
      </c>
      <c r="L876" s="24">
        <v>4.4149999618530202</v>
      </c>
    </row>
    <row r="877" spans="2:12" x14ac:dyDescent="0.25">
      <c r="B877" s="17">
        <v>45619</v>
      </c>
      <c r="C877" s="58">
        <v>93</v>
      </c>
      <c r="D877" s="24">
        <v>4.4149999618530202</v>
      </c>
      <c r="F877" s="17">
        <v>45619</v>
      </c>
      <c r="G877" s="58">
        <v>93</v>
      </c>
      <c r="H877" s="3">
        <v>93</v>
      </c>
      <c r="I877" s="3">
        <v>93</v>
      </c>
      <c r="J877" s="23">
        <v>4.4149999618530202</v>
      </c>
      <c r="K877" s="23">
        <v>4.4149999618530202</v>
      </c>
      <c r="L877" s="24">
        <v>4.4149999618530202</v>
      </c>
    </row>
    <row r="878" spans="2:12" x14ac:dyDescent="0.25">
      <c r="B878" s="17">
        <v>45620</v>
      </c>
      <c r="C878" s="58">
        <v>80</v>
      </c>
      <c r="D878" s="24">
        <v>4.4149999618530202</v>
      </c>
      <c r="F878" s="17">
        <v>45620</v>
      </c>
      <c r="G878" s="58">
        <v>80</v>
      </c>
      <c r="H878" s="3">
        <v>80</v>
      </c>
      <c r="I878" s="3">
        <v>80</v>
      </c>
      <c r="J878" s="23">
        <v>4.4149999618530202</v>
      </c>
      <c r="K878" s="23">
        <v>4.4149999618530202</v>
      </c>
      <c r="L878" s="24">
        <v>4.4149999618530202</v>
      </c>
    </row>
    <row r="879" spans="2:12" x14ac:dyDescent="0.25">
      <c r="B879" s="17">
        <v>45621</v>
      </c>
      <c r="C879" s="58">
        <v>82</v>
      </c>
      <c r="D879" s="24">
        <v>4.4050002098083496</v>
      </c>
      <c r="F879" s="17">
        <v>45621</v>
      </c>
      <c r="G879" s="58">
        <v>82</v>
      </c>
      <c r="H879" s="3">
        <v>82</v>
      </c>
      <c r="I879" s="3">
        <v>82</v>
      </c>
      <c r="J879" s="23">
        <v>4.4050002098083496</v>
      </c>
      <c r="K879" s="23">
        <v>4.4050002098083496</v>
      </c>
      <c r="L879" s="24">
        <v>4.4050002098083496</v>
      </c>
    </row>
    <row r="880" spans="2:12" x14ac:dyDescent="0.25">
      <c r="B880" s="17">
        <v>45622</v>
      </c>
      <c r="C880" s="58">
        <v>79</v>
      </c>
      <c r="D880" s="24">
        <v>4.3949999809265101</v>
      </c>
      <c r="F880" s="17">
        <v>45622</v>
      </c>
      <c r="G880" s="58">
        <v>79</v>
      </c>
      <c r="H880" s="3">
        <v>79</v>
      </c>
      <c r="I880" s="3">
        <v>79</v>
      </c>
      <c r="J880" s="23">
        <v>4.3949999809265101</v>
      </c>
      <c r="K880" s="23">
        <v>4.3949999809265101</v>
      </c>
      <c r="L880" s="24">
        <v>4.3949999809265101</v>
      </c>
    </row>
    <row r="881" spans="2:12" x14ac:dyDescent="0.25">
      <c r="B881" s="17">
        <v>45623</v>
      </c>
      <c r="C881" s="58">
        <v>75</v>
      </c>
      <c r="D881" s="24">
        <v>4.3850002288818297</v>
      </c>
      <c r="F881" s="17">
        <v>45623</v>
      </c>
      <c r="G881" s="58">
        <v>75</v>
      </c>
      <c r="H881" s="3">
        <v>75</v>
      </c>
      <c r="I881" s="3">
        <v>75</v>
      </c>
      <c r="J881" s="23">
        <v>4.3850002288818297</v>
      </c>
      <c r="K881" s="23">
        <v>4.3850002288818297</v>
      </c>
      <c r="L881" s="24">
        <v>4.3850002288818297</v>
      </c>
    </row>
    <row r="882" spans="2:12" x14ac:dyDescent="0.25">
      <c r="B882" s="17">
        <v>45624</v>
      </c>
      <c r="C882" s="58">
        <v>77</v>
      </c>
      <c r="D882" s="24">
        <v>4.3850002288818297</v>
      </c>
      <c r="F882" s="17">
        <v>45624</v>
      </c>
      <c r="G882" s="58">
        <v>77</v>
      </c>
      <c r="H882" s="3">
        <v>77</v>
      </c>
      <c r="I882" s="3">
        <v>77</v>
      </c>
      <c r="J882" s="23">
        <v>4.3850002288818297</v>
      </c>
      <c r="K882" s="23">
        <v>4.3850002288818297</v>
      </c>
      <c r="L882" s="24">
        <v>4.3850002288818297</v>
      </c>
    </row>
    <row r="883" spans="2:12" x14ac:dyDescent="0.25">
      <c r="B883" s="17">
        <v>45625</v>
      </c>
      <c r="C883" s="58">
        <v>78</v>
      </c>
      <c r="D883" s="24">
        <v>4.3730001449584899</v>
      </c>
      <c r="F883" s="17">
        <v>45625</v>
      </c>
      <c r="G883" s="58">
        <v>78</v>
      </c>
      <c r="H883" s="3">
        <v>78</v>
      </c>
      <c r="I883" s="3">
        <v>78</v>
      </c>
      <c r="J883" s="23">
        <v>4.3730001449584899</v>
      </c>
      <c r="K883" s="23">
        <v>4.3730001449584899</v>
      </c>
      <c r="L883" s="24">
        <v>4.3730001449584899</v>
      </c>
    </row>
    <row r="884" spans="2:12" x14ac:dyDescent="0.25">
      <c r="B884" s="17">
        <v>45626</v>
      </c>
      <c r="C884" s="58">
        <v>84</v>
      </c>
      <c r="D884" s="24">
        <v>4.3730001449584899</v>
      </c>
      <c r="F884" s="17">
        <v>45626</v>
      </c>
      <c r="G884" s="58">
        <v>84</v>
      </c>
      <c r="H884" s="3">
        <v>84</v>
      </c>
      <c r="I884" s="3">
        <v>84</v>
      </c>
      <c r="J884" s="23">
        <v>4.3730001449584899</v>
      </c>
      <c r="K884" s="23">
        <v>4.3730001449584899</v>
      </c>
      <c r="L884" s="24">
        <v>4.3730001449584899</v>
      </c>
    </row>
    <row r="885" spans="2:12" x14ac:dyDescent="0.25">
      <c r="B885" s="17">
        <v>45627</v>
      </c>
      <c r="C885" s="58">
        <v>81</v>
      </c>
      <c r="D885" s="24">
        <v>4.3730001449584899</v>
      </c>
      <c r="F885" s="17">
        <v>45627</v>
      </c>
      <c r="G885" s="58">
        <v>81</v>
      </c>
      <c r="H885" s="3">
        <v>81</v>
      </c>
      <c r="I885" s="3">
        <v>81</v>
      </c>
      <c r="J885" s="23">
        <v>4.3730001449584899</v>
      </c>
      <c r="K885" s="23">
        <v>4.3730001449584899</v>
      </c>
      <c r="L885" s="24">
        <v>4.3730001449584899</v>
      </c>
    </row>
    <row r="886" spans="2:12" x14ac:dyDescent="0.25">
      <c r="B886" s="17">
        <v>45628</v>
      </c>
      <c r="C886" s="58">
        <v>80</v>
      </c>
      <c r="D886" s="24">
        <v>4.38000011444091</v>
      </c>
      <c r="F886" s="17">
        <v>45628</v>
      </c>
      <c r="G886" s="58">
        <v>80</v>
      </c>
      <c r="H886" s="3">
        <v>80</v>
      </c>
      <c r="I886" s="3">
        <v>80</v>
      </c>
      <c r="J886" s="23">
        <v>4.38000011444091</v>
      </c>
      <c r="K886" s="23">
        <v>4.38000011444091</v>
      </c>
      <c r="L886" s="24">
        <v>4.38000011444091</v>
      </c>
    </row>
    <row r="887" spans="2:12" x14ac:dyDescent="0.25">
      <c r="B887" s="17">
        <v>45629</v>
      </c>
      <c r="C887" s="58">
        <v>76</v>
      </c>
      <c r="D887" s="24">
        <v>4.3569998741149902</v>
      </c>
      <c r="F887" s="17">
        <v>45629</v>
      </c>
      <c r="G887" s="58">
        <v>76</v>
      </c>
      <c r="H887" s="3">
        <v>76</v>
      </c>
      <c r="I887" s="3">
        <v>76</v>
      </c>
      <c r="J887" s="23">
        <v>4.3569998741149902</v>
      </c>
      <c r="K887" s="23">
        <v>4.3569998741149902</v>
      </c>
      <c r="L887" s="24">
        <v>4.3569998741149902</v>
      </c>
    </row>
    <row r="888" spans="2:12" x14ac:dyDescent="0.25">
      <c r="B888" s="17">
        <v>45630</v>
      </c>
      <c r="C888" s="58">
        <v>78</v>
      </c>
      <c r="D888" s="24">
        <v>4.3449997901916504</v>
      </c>
      <c r="F888" s="17">
        <v>45630</v>
      </c>
      <c r="G888" s="58">
        <v>78</v>
      </c>
      <c r="H888" s="3">
        <v>78</v>
      </c>
      <c r="I888" s="3">
        <v>78</v>
      </c>
      <c r="J888" s="23">
        <v>4.3449997901916504</v>
      </c>
      <c r="K888" s="23">
        <v>4.3449997901916504</v>
      </c>
      <c r="L888" s="24">
        <v>4.3449997901916504</v>
      </c>
    </row>
    <row r="889" spans="2:12" x14ac:dyDescent="0.25">
      <c r="B889" s="17">
        <v>45631</v>
      </c>
      <c r="C889" s="58">
        <v>84</v>
      </c>
      <c r="D889" s="24">
        <v>4.3299999237060502</v>
      </c>
      <c r="F889" s="17">
        <v>45631</v>
      </c>
      <c r="G889" s="58">
        <v>84</v>
      </c>
      <c r="H889" s="3">
        <v>84</v>
      </c>
      <c r="I889" s="3">
        <v>84</v>
      </c>
      <c r="J889" s="23">
        <v>4.3299999237060502</v>
      </c>
      <c r="K889" s="23">
        <v>4.3299999237060502</v>
      </c>
      <c r="L889" s="24">
        <v>4.3299999237060502</v>
      </c>
    </row>
    <row r="890" spans="2:12" x14ac:dyDescent="0.25">
      <c r="B890" s="17">
        <v>45632</v>
      </c>
      <c r="C890" s="58">
        <v>72</v>
      </c>
      <c r="D890" s="24">
        <v>4.29500007629394</v>
      </c>
      <c r="F890" s="17">
        <v>45632</v>
      </c>
      <c r="G890" s="58">
        <v>72</v>
      </c>
      <c r="H890" s="3">
        <v>72</v>
      </c>
      <c r="I890" s="3">
        <v>72</v>
      </c>
      <c r="J890" s="23">
        <v>4.29500007629394</v>
      </c>
      <c r="K890" s="23">
        <v>4.29500007629394</v>
      </c>
      <c r="L890" s="24">
        <v>4.29500007629394</v>
      </c>
    </row>
    <row r="891" spans="2:12" x14ac:dyDescent="0.25">
      <c r="B891" s="17">
        <v>45633</v>
      </c>
      <c r="C891" s="58">
        <v>75</v>
      </c>
      <c r="D891" s="24">
        <v>4.29500007629394</v>
      </c>
      <c r="F891" s="17">
        <v>45633</v>
      </c>
      <c r="G891" s="58">
        <v>75</v>
      </c>
      <c r="H891" s="3">
        <v>75</v>
      </c>
      <c r="I891" s="3">
        <v>75</v>
      </c>
      <c r="J891" s="23">
        <v>4.29500007629394</v>
      </c>
      <c r="K891" s="23">
        <v>4.29500007629394</v>
      </c>
      <c r="L891" s="24">
        <v>4.29500007629394</v>
      </c>
    </row>
    <row r="892" spans="2:12" x14ac:dyDescent="0.25">
      <c r="B892" s="17">
        <v>45634</v>
      </c>
      <c r="C892" s="58">
        <v>79</v>
      </c>
      <c r="D892" s="24">
        <v>4.29500007629394</v>
      </c>
      <c r="F892" s="17">
        <v>45634</v>
      </c>
      <c r="G892" s="58">
        <v>79</v>
      </c>
      <c r="H892" s="3">
        <v>79</v>
      </c>
      <c r="I892" s="3">
        <v>79</v>
      </c>
      <c r="J892" s="23">
        <v>4.29500007629394</v>
      </c>
      <c r="K892" s="23">
        <v>4.29500007629394</v>
      </c>
      <c r="L892" s="24">
        <v>4.29500007629394</v>
      </c>
    </row>
    <row r="893" spans="2:12" x14ac:dyDescent="0.25">
      <c r="B893" s="17">
        <v>45635</v>
      </c>
      <c r="C893" s="58">
        <v>78</v>
      </c>
      <c r="D893" s="24">
        <v>4.2930002212524396</v>
      </c>
      <c r="F893" s="17">
        <v>45635</v>
      </c>
      <c r="G893" s="58">
        <v>78</v>
      </c>
      <c r="H893" s="3">
        <v>78</v>
      </c>
      <c r="I893" s="3">
        <v>78</v>
      </c>
      <c r="J893" s="23">
        <v>4.2930002212524396</v>
      </c>
      <c r="K893" s="23">
        <v>4.2930002212524396</v>
      </c>
      <c r="L893" s="24">
        <v>4.2930002212524396</v>
      </c>
    </row>
    <row r="894" spans="2:12" x14ac:dyDescent="0.25">
      <c r="B894" s="17">
        <v>45636</v>
      </c>
      <c r="C894" s="58">
        <v>78</v>
      </c>
      <c r="D894" s="24">
        <v>4.2849998474120996</v>
      </c>
      <c r="F894" s="17">
        <v>45636</v>
      </c>
      <c r="G894" s="58">
        <v>78</v>
      </c>
      <c r="H894" s="3">
        <v>78</v>
      </c>
      <c r="I894" s="3">
        <v>78</v>
      </c>
      <c r="J894" s="23">
        <v>4.2849998474120996</v>
      </c>
      <c r="K894" s="23">
        <v>4.2849998474120996</v>
      </c>
      <c r="L894" s="24">
        <v>4.2849998474120996</v>
      </c>
    </row>
    <row r="895" spans="2:12" x14ac:dyDescent="0.25">
      <c r="B895" s="17">
        <v>45637</v>
      </c>
      <c r="C895" s="58">
        <v>74</v>
      </c>
      <c r="D895" s="24">
        <v>4.25500011444091</v>
      </c>
      <c r="F895" s="17">
        <v>45637</v>
      </c>
      <c r="G895" s="58">
        <v>74</v>
      </c>
      <c r="H895" s="3">
        <v>74</v>
      </c>
      <c r="I895" s="3">
        <v>74</v>
      </c>
      <c r="J895" s="23">
        <v>4.25500011444091</v>
      </c>
      <c r="K895" s="23">
        <v>4.25500011444091</v>
      </c>
      <c r="L895" s="24">
        <v>4.25500011444091</v>
      </c>
    </row>
    <row r="896" spans="2:12" x14ac:dyDescent="0.25">
      <c r="B896" s="17">
        <v>45638</v>
      </c>
      <c r="C896" s="58">
        <v>83</v>
      </c>
      <c r="D896" s="24">
        <v>4.22300004959106</v>
      </c>
      <c r="F896" s="17">
        <v>45638</v>
      </c>
      <c r="G896" s="58">
        <v>83</v>
      </c>
      <c r="H896" s="3">
        <v>83</v>
      </c>
      <c r="I896" s="3">
        <v>83</v>
      </c>
      <c r="J896" s="23">
        <v>4.22300004959106</v>
      </c>
      <c r="K896" s="23">
        <v>4.22300004959106</v>
      </c>
      <c r="L896" s="24">
        <v>4.22300004959106</v>
      </c>
    </row>
    <row r="897" spans="2:12" x14ac:dyDescent="0.25">
      <c r="B897" s="17">
        <v>45639</v>
      </c>
      <c r="C897" s="58">
        <v>76</v>
      </c>
      <c r="D897" s="24">
        <v>4.2179999351501403</v>
      </c>
      <c r="F897" s="17">
        <v>45639</v>
      </c>
      <c r="G897" s="58">
        <v>76</v>
      </c>
      <c r="H897" s="3">
        <v>76</v>
      </c>
      <c r="I897" s="3">
        <v>76</v>
      </c>
      <c r="J897" s="23">
        <v>4.2179999351501403</v>
      </c>
      <c r="K897" s="23">
        <v>4.2179999351501403</v>
      </c>
      <c r="L897" s="24">
        <v>4.2179999351501403</v>
      </c>
    </row>
    <row r="898" spans="2:12" x14ac:dyDescent="0.25">
      <c r="B898" s="17">
        <v>45640</v>
      </c>
      <c r="C898" s="58">
        <v>83</v>
      </c>
      <c r="D898" s="24">
        <v>4.2179999351501403</v>
      </c>
      <c r="F898" s="17">
        <v>45640</v>
      </c>
      <c r="G898" s="58">
        <v>83</v>
      </c>
      <c r="H898" s="3">
        <v>83</v>
      </c>
      <c r="I898" s="3">
        <v>83</v>
      </c>
      <c r="J898" s="23">
        <v>4.2179999351501403</v>
      </c>
      <c r="K898" s="23">
        <v>4.2179999351501403</v>
      </c>
      <c r="L898" s="24">
        <v>4.2179999351501403</v>
      </c>
    </row>
    <row r="899" spans="2:12" x14ac:dyDescent="0.25">
      <c r="B899" s="17">
        <v>45641</v>
      </c>
      <c r="C899" s="58">
        <v>80</v>
      </c>
      <c r="D899" s="24">
        <v>4.2179999351501403</v>
      </c>
      <c r="F899" s="17">
        <v>45641</v>
      </c>
      <c r="G899" s="58">
        <v>80</v>
      </c>
      <c r="H899" s="3">
        <v>80</v>
      </c>
      <c r="I899" s="3">
        <v>80</v>
      </c>
      <c r="J899" s="23">
        <v>4.2179999351501403</v>
      </c>
      <c r="K899" s="23">
        <v>4.2179999351501403</v>
      </c>
      <c r="L899" s="24">
        <v>4.2179999351501403</v>
      </c>
    </row>
    <row r="900" spans="2:12" x14ac:dyDescent="0.25">
      <c r="B900" s="17">
        <v>45642</v>
      </c>
      <c r="C900" s="58">
        <v>83</v>
      </c>
      <c r="D900" s="24">
        <v>4.2280001640319798</v>
      </c>
      <c r="F900" s="17">
        <v>45642</v>
      </c>
      <c r="G900" s="58">
        <v>83</v>
      </c>
      <c r="H900" s="3">
        <v>83</v>
      </c>
      <c r="I900" s="3">
        <v>83</v>
      </c>
      <c r="J900" s="23">
        <v>4.2280001640319798</v>
      </c>
      <c r="K900" s="23">
        <v>4.2280001640319798</v>
      </c>
      <c r="L900" s="24">
        <v>4.2280001640319798</v>
      </c>
    </row>
    <row r="901" spans="2:12" x14ac:dyDescent="0.25">
      <c r="B901" s="17">
        <v>45643</v>
      </c>
      <c r="C901" s="58">
        <v>87</v>
      </c>
      <c r="D901" s="24">
        <v>4.2399997711181596</v>
      </c>
      <c r="F901" s="17">
        <v>45643</v>
      </c>
      <c r="G901" s="58">
        <v>87</v>
      </c>
      <c r="H901" s="3">
        <v>87</v>
      </c>
      <c r="I901" s="3">
        <v>87</v>
      </c>
      <c r="J901" s="23">
        <v>4.2399997711181596</v>
      </c>
      <c r="K901" s="23">
        <v>4.2399997711181596</v>
      </c>
      <c r="L901" s="24">
        <v>4.2399997711181596</v>
      </c>
    </row>
    <row r="902" spans="2:12" x14ac:dyDescent="0.25">
      <c r="B902" s="17">
        <v>45644</v>
      </c>
      <c r="C902" s="58">
        <v>81</v>
      </c>
      <c r="D902" s="24">
        <v>4.2319998741149902</v>
      </c>
      <c r="F902" s="17">
        <v>45644</v>
      </c>
      <c r="G902" s="58">
        <v>81</v>
      </c>
      <c r="H902" s="3">
        <v>81</v>
      </c>
      <c r="I902" s="3">
        <v>81</v>
      </c>
      <c r="J902" s="23">
        <v>4.2319998741149902</v>
      </c>
      <c r="K902" s="23">
        <v>4.2319998741149902</v>
      </c>
      <c r="L902" s="24">
        <v>4.2319998741149902</v>
      </c>
    </row>
    <row r="903" spans="2:12" ht="15.75" thickBot="1" x14ac:dyDescent="0.3">
      <c r="B903" s="18">
        <v>45645</v>
      </c>
      <c r="C903" s="58">
        <v>75</v>
      </c>
      <c r="D903" s="24">
        <v>4.2199997901916504</v>
      </c>
      <c r="F903" s="18">
        <v>45645</v>
      </c>
      <c r="G903" s="58">
        <v>75</v>
      </c>
      <c r="H903" s="3">
        <v>75</v>
      </c>
      <c r="I903" s="3">
        <v>75</v>
      </c>
      <c r="J903" s="23">
        <v>4.2199997901916504</v>
      </c>
      <c r="K903" s="23">
        <v>4.2199997901916504</v>
      </c>
      <c r="L903" s="24">
        <v>4.2199997901916504</v>
      </c>
    </row>
    <row r="904" spans="2:12" x14ac:dyDescent="0.25">
      <c r="B904" s="16">
        <v>45646</v>
      </c>
      <c r="C904" s="58">
        <v>74</v>
      </c>
      <c r="D904" s="24">
        <v>4.2150001525878897</v>
      </c>
      <c r="F904" s="16">
        <v>45646</v>
      </c>
      <c r="G904" s="58">
        <v>74</v>
      </c>
      <c r="H904" s="3">
        <v>74</v>
      </c>
      <c r="I904" s="3">
        <v>74</v>
      </c>
      <c r="J904" s="23">
        <v>4.2150001525878897</v>
      </c>
      <c r="K904" s="23">
        <v>4.2150001525878897</v>
      </c>
      <c r="L904" s="24">
        <v>4.2150001525878897</v>
      </c>
    </row>
    <row r="905" spans="2:12" x14ac:dyDescent="0.25">
      <c r="B905" s="17">
        <v>45647</v>
      </c>
      <c r="C905" s="58">
        <v>73</v>
      </c>
      <c r="D905" s="24">
        <v>4.2150001525878897</v>
      </c>
      <c r="F905" s="17">
        <v>45647</v>
      </c>
      <c r="G905" s="58">
        <v>73</v>
      </c>
      <c r="H905" s="3">
        <v>73</v>
      </c>
      <c r="I905" s="3">
        <v>73</v>
      </c>
      <c r="J905" s="23">
        <v>4.2150001525878897</v>
      </c>
      <c r="K905" s="23">
        <v>4.2150001525878897</v>
      </c>
      <c r="L905" s="24">
        <v>4.2150001525878897</v>
      </c>
    </row>
    <row r="906" spans="2:12" x14ac:dyDescent="0.25">
      <c r="B906" s="17">
        <v>45648</v>
      </c>
      <c r="C906" s="58">
        <v>73</v>
      </c>
      <c r="D906" s="24">
        <v>4.2150001525878897</v>
      </c>
      <c r="F906" s="17">
        <v>45648</v>
      </c>
      <c r="G906" s="58">
        <v>73</v>
      </c>
      <c r="H906" s="3">
        <v>73</v>
      </c>
      <c r="I906" s="3">
        <v>73</v>
      </c>
      <c r="J906" s="23">
        <v>4.2150001525878897</v>
      </c>
      <c r="K906" s="23">
        <v>4.2150001525878897</v>
      </c>
      <c r="L906" s="24">
        <v>4.2150001525878897</v>
      </c>
    </row>
    <row r="907" spans="2:12" x14ac:dyDescent="0.25">
      <c r="B907" s="17">
        <v>45649</v>
      </c>
      <c r="C907" s="58">
        <v>70</v>
      </c>
      <c r="D907" s="24">
        <v>4.2150001525878897</v>
      </c>
      <c r="F907" s="17">
        <v>45649</v>
      </c>
      <c r="G907" s="58">
        <v>70</v>
      </c>
      <c r="H907" s="3">
        <v>70</v>
      </c>
      <c r="I907" s="3">
        <v>70</v>
      </c>
      <c r="J907" s="23">
        <v>4.2150001525878897</v>
      </c>
      <c r="K907" s="23">
        <v>4.2150001525878897</v>
      </c>
      <c r="L907" s="24">
        <v>4.2150001525878897</v>
      </c>
    </row>
    <row r="908" spans="2:12" x14ac:dyDescent="0.25">
      <c r="B908" s="17">
        <v>45650</v>
      </c>
      <c r="C908" s="58">
        <v>73</v>
      </c>
      <c r="D908" s="24">
        <v>4.1999998092651296</v>
      </c>
      <c r="F908" s="17">
        <v>45650</v>
      </c>
      <c r="G908" s="58">
        <v>73</v>
      </c>
      <c r="H908" s="3">
        <v>73</v>
      </c>
      <c r="I908" s="3">
        <v>73</v>
      </c>
      <c r="J908" s="23">
        <v>4.1999998092651296</v>
      </c>
      <c r="K908" s="23">
        <v>4.1999998092651296</v>
      </c>
      <c r="L908" s="24">
        <v>4.1999998092651296</v>
      </c>
    </row>
    <row r="909" spans="2:12" x14ac:dyDescent="0.25">
      <c r="B909" s="17">
        <v>45651</v>
      </c>
      <c r="C909" s="58">
        <v>73</v>
      </c>
      <c r="D909" s="24">
        <v>4.1999998092651296</v>
      </c>
      <c r="F909" s="17">
        <v>45651</v>
      </c>
      <c r="G909" s="58">
        <v>73</v>
      </c>
      <c r="H909" s="3">
        <v>73</v>
      </c>
      <c r="I909" s="3">
        <v>73</v>
      </c>
      <c r="J909" s="23">
        <v>4.1999998092651296</v>
      </c>
      <c r="K909" s="23">
        <v>4.1999998092651296</v>
      </c>
      <c r="L909" s="24">
        <v>4.1999998092651296</v>
      </c>
    </row>
    <row r="910" spans="2:12" x14ac:dyDescent="0.25">
      <c r="B910" s="17">
        <v>45652</v>
      </c>
      <c r="C910" s="58">
        <v>79</v>
      </c>
      <c r="D910" s="24">
        <v>4.2150001525878897</v>
      </c>
      <c r="F910" s="17">
        <v>45652</v>
      </c>
      <c r="G910" s="58">
        <v>79</v>
      </c>
      <c r="H910" s="3">
        <v>79</v>
      </c>
      <c r="I910" s="3">
        <v>79</v>
      </c>
      <c r="J910" s="23">
        <v>4.2150001525878897</v>
      </c>
      <c r="K910" s="23">
        <v>4.2150001525878897</v>
      </c>
      <c r="L910" s="24">
        <v>4.2150001525878897</v>
      </c>
    </row>
    <row r="911" spans="2:12" x14ac:dyDescent="0.25">
      <c r="B911" s="17">
        <v>45653</v>
      </c>
      <c r="C911" s="58">
        <v>74</v>
      </c>
      <c r="D911" s="24">
        <v>4.1779999732971103</v>
      </c>
      <c r="F911" s="17">
        <v>45653</v>
      </c>
      <c r="G911" s="58">
        <v>74</v>
      </c>
      <c r="H911" s="3">
        <v>74</v>
      </c>
      <c r="I911" s="3">
        <v>74</v>
      </c>
      <c r="J911" s="23">
        <v>4.1779999732971103</v>
      </c>
      <c r="K911" s="23">
        <v>4.1779999732971103</v>
      </c>
      <c r="L911" s="24">
        <v>4.1779999732971103</v>
      </c>
    </row>
    <row r="912" spans="2:12" x14ac:dyDescent="0.25">
      <c r="B912" s="17">
        <v>45654</v>
      </c>
      <c r="C912" s="58">
        <v>72</v>
      </c>
      <c r="D912" s="24">
        <v>4.1779999732971103</v>
      </c>
      <c r="F912" s="17">
        <v>45654</v>
      </c>
      <c r="G912" s="58">
        <v>72</v>
      </c>
      <c r="H912" s="3">
        <v>72</v>
      </c>
      <c r="I912" s="3">
        <v>72</v>
      </c>
      <c r="J912" s="23">
        <v>4.1779999732971103</v>
      </c>
      <c r="K912" s="23">
        <v>4.1779999732971103</v>
      </c>
      <c r="L912" s="24">
        <v>4.1779999732971103</v>
      </c>
    </row>
    <row r="913" spans="2:12" x14ac:dyDescent="0.25">
      <c r="B913" s="17">
        <v>45655</v>
      </c>
      <c r="C913" s="58">
        <v>73</v>
      </c>
      <c r="D913" s="24">
        <v>4.1779999732971103</v>
      </c>
      <c r="F913" s="17">
        <v>45655</v>
      </c>
      <c r="G913" s="58">
        <v>73</v>
      </c>
      <c r="H913" s="3">
        <v>73</v>
      </c>
      <c r="I913" s="3">
        <v>73</v>
      </c>
      <c r="J913" s="23">
        <v>4.1779999732971103</v>
      </c>
      <c r="K913" s="23">
        <v>4.1779999732971103</v>
      </c>
      <c r="L913" s="24">
        <v>4.1779999732971103</v>
      </c>
    </row>
    <row r="914" spans="2:12" x14ac:dyDescent="0.25">
      <c r="B914" s="17">
        <v>45656</v>
      </c>
      <c r="C914" s="58">
        <v>65</v>
      </c>
      <c r="D914" s="24">
        <v>4.1820001602172798</v>
      </c>
      <c r="F914" s="17">
        <v>45656</v>
      </c>
      <c r="G914" s="58">
        <v>65</v>
      </c>
      <c r="H914" s="3">
        <v>65</v>
      </c>
      <c r="I914" s="3">
        <v>65</v>
      </c>
      <c r="J914" s="23">
        <v>4.1820001602172798</v>
      </c>
      <c r="K914" s="23">
        <v>4.1820001602172798</v>
      </c>
      <c r="L914" s="24">
        <v>4.1820001602172798</v>
      </c>
    </row>
    <row r="915" spans="2:12" x14ac:dyDescent="0.25">
      <c r="B915" s="17">
        <v>45657</v>
      </c>
      <c r="C915" s="58">
        <v>64</v>
      </c>
      <c r="D915" s="24">
        <v>4.2080001831054599</v>
      </c>
      <c r="F915" s="17">
        <v>45657</v>
      </c>
      <c r="G915" s="58">
        <v>64</v>
      </c>
      <c r="H915" s="3">
        <v>64</v>
      </c>
      <c r="I915" s="3">
        <v>64</v>
      </c>
      <c r="J915" s="23">
        <v>4.2080001831054599</v>
      </c>
      <c r="K915" s="23">
        <v>4.2080001831054599</v>
      </c>
      <c r="L915" s="24">
        <v>4.2080001831054599</v>
      </c>
    </row>
    <row r="916" spans="2:12" x14ac:dyDescent="0.25">
      <c r="B916" s="17">
        <v>45658</v>
      </c>
      <c r="C916" s="58">
        <v>66</v>
      </c>
      <c r="D916" s="24">
        <v>4.2080001831054599</v>
      </c>
      <c r="F916" s="17">
        <v>45658</v>
      </c>
      <c r="G916" s="58">
        <v>66</v>
      </c>
      <c r="H916" s="3">
        <v>66</v>
      </c>
      <c r="I916" s="3">
        <v>66</v>
      </c>
      <c r="J916" s="23">
        <v>4.2080001831054599</v>
      </c>
      <c r="K916" s="23">
        <v>4.2080001831054599</v>
      </c>
      <c r="L916" s="24">
        <v>4.2080001831054599</v>
      </c>
    </row>
    <row r="917" spans="2:12" x14ac:dyDescent="0.25">
      <c r="B917" s="17">
        <v>45659</v>
      </c>
      <c r="C917" s="58">
        <v>70</v>
      </c>
      <c r="D917" s="24">
        <v>4.2080001831054599</v>
      </c>
      <c r="F917" s="17">
        <v>45659</v>
      </c>
      <c r="G917" s="58">
        <v>70</v>
      </c>
      <c r="H917" s="3">
        <v>70</v>
      </c>
      <c r="I917" s="3">
        <v>70</v>
      </c>
      <c r="J917" s="23">
        <v>4.2080001831054599</v>
      </c>
      <c r="K917" s="23">
        <v>4.2080001831054599</v>
      </c>
      <c r="L917" s="24">
        <v>4.2080001831054599</v>
      </c>
    </row>
    <row r="918" spans="2:12" x14ac:dyDescent="0.25">
      <c r="B918" s="17">
        <v>45660</v>
      </c>
      <c r="C918" s="58">
        <v>74</v>
      </c>
      <c r="D918" s="24">
        <v>4.1929998397827104</v>
      </c>
      <c r="F918" s="17">
        <v>45660</v>
      </c>
      <c r="G918" s="58">
        <v>74</v>
      </c>
      <c r="H918" s="3">
        <v>74</v>
      </c>
      <c r="I918" s="3">
        <v>74</v>
      </c>
      <c r="J918" s="23">
        <v>4.1929998397827104</v>
      </c>
      <c r="K918" s="23">
        <v>4.1929998397827104</v>
      </c>
      <c r="L918" s="24">
        <v>4.1929998397827104</v>
      </c>
    </row>
    <row r="919" spans="2:12" x14ac:dyDescent="0.25">
      <c r="B919" s="17">
        <v>45661</v>
      </c>
      <c r="C919" s="58">
        <v>73</v>
      </c>
      <c r="D919" s="24">
        <v>4.1929998397827104</v>
      </c>
      <c r="F919" s="17">
        <v>45661</v>
      </c>
      <c r="G919" s="58">
        <v>73</v>
      </c>
      <c r="H919" s="3">
        <v>73</v>
      </c>
      <c r="I919" s="3">
        <v>73</v>
      </c>
      <c r="J919" s="23">
        <v>4.1929998397827104</v>
      </c>
      <c r="K919" s="23">
        <v>4.1929998397827104</v>
      </c>
      <c r="L919" s="24">
        <v>4.1929998397827104</v>
      </c>
    </row>
    <row r="920" spans="2:12" x14ac:dyDescent="0.25">
      <c r="B920" s="17">
        <v>45662</v>
      </c>
      <c r="C920" s="58">
        <v>72</v>
      </c>
      <c r="D920" s="24">
        <v>4.1929998397827104</v>
      </c>
      <c r="F920" s="17">
        <v>45662</v>
      </c>
      <c r="G920" s="58">
        <v>72</v>
      </c>
      <c r="H920" s="3">
        <v>72</v>
      </c>
      <c r="I920" s="3">
        <v>72</v>
      </c>
      <c r="J920" s="23">
        <v>4.1929998397827104</v>
      </c>
      <c r="K920" s="23">
        <v>4.1929998397827104</v>
      </c>
      <c r="L920" s="24">
        <v>4.1929998397827104</v>
      </c>
    </row>
    <row r="921" spans="2:12" x14ac:dyDescent="0.25">
      <c r="B921" s="17">
        <v>45663</v>
      </c>
      <c r="C921" s="58">
        <v>76</v>
      </c>
      <c r="D921" s="24">
        <v>4.1900000572204501</v>
      </c>
      <c r="F921" s="17">
        <v>45663</v>
      </c>
      <c r="G921" s="58">
        <v>76</v>
      </c>
      <c r="H921" s="3">
        <v>76</v>
      </c>
      <c r="I921" s="3">
        <v>76</v>
      </c>
      <c r="J921" s="23">
        <v>4.1900000572204501</v>
      </c>
      <c r="K921" s="23">
        <v>4.1900000572204501</v>
      </c>
      <c r="L921" s="24">
        <v>4.1900000572204501</v>
      </c>
    </row>
    <row r="922" spans="2:12" x14ac:dyDescent="0.25">
      <c r="B922" s="17">
        <v>45664</v>
      </c>
      <c r="C922" s="58">
        <v>78</v>
      </c>
      <c r="D922" s="24">
        <v>4.2030000686645499</v>
      </c>
      <c r="F922" s="17">
        <v>45664</v>
      </c>
      <c r="G922" s="58">
        <v>78</v>
      </c>
      <c r="H922" s="3">
        <v>78</v>
      </c>
      <c r="I922" s="3">
        <v>78</v>
      </c>
      <c r="J922" s="23">
        <v>4.2030000686645499</v>
      </c>
      <c r="K922" s="23">
        <v>4.2030000686645499</v>
      </c>
      <c r="L922" s="24">
        <v>4.2030000686645499</v>
      </c>
    </row>
    <row r="923" spans="2:12" x14ac:dyDescent="0.25">
      <c r="B923" s="17">
        <v>45665</v>
      </c>
      <c r="C923" s="58">
        <v>70</v>
      </c>
      <c r="D923" s="24">
        <v>4.2049999237060502</v>
      </c>
      <c r="F923" s="17">
        <v>45665</v>
      </c>
      <c r="G923" s="58">
        <v>70</v>
      </c>
      <c r="H923" s="3">
        <v>70</v>
      </c>
      <c r="I923" s="3">
        <v>70</v>
      </c>
      <c r="J923" s="23">
        <v>4.2049999237060502</v>
      </c>
      <c r="K923" s="23">
        <v>4.2049999237060502</v>
      </c>
      <c r="L923" s="24">
        <v>4.2049999237060502</v>
      </c>
    </row>
    <row r="924" spans="2:12" x14ac:dyDescent="0.25">
      <c r="B924" s="17">
        <v>45666</v>
      </c>
      <c r="C924" s="58">
        <v>69</v>
      </c>
      <c r="D924" s="24">
        <v>4.2049999237060502</v>
      </c>
      <c r="F924" s="17">
        <v>45666</v>
      </c>
      <c r="G924" s="58">
        <v>69</v>
      </c>
      <c r="H924" s="3">
        <v>69</v>
      </c>
      <c r="I924" s="3">
        <v>69</v>
      </c>
      <c r="J924" s="23">
        <v>4.2049999237060502</v>
      </c>
      <c r="K924" s="23">
        <v>4.2049999237060502</v>
      </c>
      <c r="L924" s="24">
        <v>4.2049999237060502</v>
      </c>
    </row>
    <row r="925" spans="2:12" x14ac:dyDescent="0.25">
      <c r="B925" s="17">
        <v>45667</v>
      </c>
      <c r="C925" s="58">
        <v>50</v>
      </c>
      <c r="D925" s="24">
        <v>4.2129998207092196</v>
      </c>
      <c r="F925" s="17">
        <v>45667</v>
      </c>
      <c r="G925" s="58">
        <v>50</v>
      </c>
      <c r="H925" s="3">
        <v>50</v>
      </c>
      <c r="I925" s="3">
        <v>50</v>
      </c>
      <c r="J925" s="23">
        <v>4.2129998207092196</v>
      </c>
      <c r="K925" s="23">
        <v>4.2129998207092196</v>
      </c>
      <c r="L925" s="24">
        <v>4.2129998207092196</v>
      </c>
    </row>
    <row r="926" spans="2:12" x14ac:dyDescent="0.25">
      <c r="B926" s="17">
        <v>45668</v>
      </c>
      <c r="C926" s="58">
        <v>69</v>
      </c>
      <c r="D926" s="24">
        <v>4.2129998207092196</v>
      </c>
      <c r="F926" s="17">
        <v>45668</v>
      </c>
      <c r="G926" s="58">
        <v>69</v>
      </c>
      <c r="H926" s="3">
        <v>69</v>
      </c>
      <c r="I926" s="3">
        <v>69</v>
      </c>
      <c r="J926" s="23">
        <v>4.2129998207092196</v>
      </c>
      <c r="K926" s="23">
        <v>4.2129998207092196</v>
      </c>
      <c r="L926" s="24">
        <v>4.2129998207092196</v>
      </c>
    </row>
    <row r="927" spans="2:12" x14ac:dyDescent="0.25">
      <c r="B927" s="17">
        <v>45669</v>
      </c>
      <c r="C927" s="58">
        <v>62</v>
      </c>
      <c r="D927" s="24">
        <v>4.2129998207092196</v>
      </c>
      <c r="F927" s="17">
        <v>45669</v>
      </c>
      <c r="G927" s="58">
        <v>62</v>
      </c>
      <c r="H927" s="3">
        <v>62</v>
      </c>
      <c r="I927" s="3">
        <v>62</v>
      </c>
      <c r="J927" s="23">
        <v>4.2129998207092196</v>
      </c>
      <c r="K927" s="23">
        <v>4.2129998207092196</v>
      </c>
      <c r="L927" s="24">
        <v>4.2129998207092196</v>
      </c>
    </row>
    <row r="928" spans="2:12" x14ac:dyDescent="0.25">
      <c r="B928" s="17">
        <v>45670</v>
      </c>
      <c r="C928" s="58">
        <v>61</v>
      </c>
      <c r="D928" s="24">
        <v>4.2179999351501403</v>
      </c>
      <c r="F928" s="17">
        <v>45670</v>
      </c>
      <c r="G928" s="58">
        <v>61</v>
      </c>
      <c r="H928" s="3">
        <v>61</v>
      </c>
      <c r="I928" s="3">
        <v>61</v>
      </c>
      <c r="J928" s="23">
        <v>4.2179999351501403</v>
      </c>
      <c r="K928" s="23">
        <v>4.2179999351501403</v>
      </c>
      <c r="L928" s="24">
        <v>4.2179999351501403</v>
      </c>
    </row>
    <row r="929" spans="2:12" x14ac:dyDescent="0.25">
      <c r="B929" s="17">
        <v>45671</v>
      </c>
      <c r="C929" s="58">
        <v>63</v>
      </c>
      <c r="D929" s="24">
        <v>4.2129998207092196</v>
      </c>
      <c r="F929" s="17">
        <v>45671</v>
      </c>
      <c r="G929" s="58">
        <v>63</v>
      </c>
      <c r="H929" s="3">
        <v>63</v>
      </c>
      <c r="I929" s="3">
        <v>63</v>
      </c>
      <c r="J929" s="23">
        <v>4.2129998207092196</v>
      </c>
      <c r="K929" s="23">
        <v>4.2129998207092196</v>
      </c>
      <c r="L929" s="24">
        <v>4.2129998207092196</v>
      </c>
    </row>
    <row r="930" spans="2:12" x14ac:dyDescent="0.25">
      <c r="B930" s="17">
        <v>45672</v>
      </c>
      <c r="C930" s="58">
        <v>70</v>
      </c>
      <c r="D930" s="24">
        <v>4.2049999237060502</v>
      </c>
      <c r="F930" s="17">
        <v>45672</v>
      </c>
      <c r="G930" s="58">
        <v>70</v>
      </c>
      <c r="H930" s="3">
        <v>70</v>
      </c>
      <c r="I930" s="3">
        <v>70</v>
      </c>
      <c r="J930" s="23">
        <v>4.2049999237060502</v>
      </c>
      <c r="K930" s="23">
        <v>4.2049999237060502</v>
      </c>
      <c r="L930" s="24">
        <v>4.2049999237060502</v>
      </c>
    </row>
    <row r="931" spans="2:12" x14ac:dyDescent="0.25">
      <c r="B931" s="17">
        <v>45673</v>
      </c>
      <c r="C931" s="58">
        <v>75</v>
      </c>
      <c r="D931" s="24">
        <v>4.1950001716613698</v>
      </c>
      <c r="F931" s="17">
        <v>45673</v>
      </c>
      <c r="G931" s="58">
        <v>75</v>
      </c>
      <c r="H931" s="3">
        <v>75</v>
      </c>
      <c r="I931" s="3">
        <v>75</v>
      </c>
      <c r="J931" s="23">
        <v>4.1950001716613698</v>
      </c>
      <c r="K931" s="23">
        <v>4.1950001716613698</v>
      </c>
      <c r="L931" s="24">
        <v>4.1950001716613698</v>
      </c>
    </row>
    <row r="932" spans="2:12" x14ac:dyDescent="0.25">
      <c r="B932" s="17">
        <v>45674</v>
      </c>
      <c r="C932" s="58">
        <v>75</v>
      </c>
      <c r="D932" s="24">
        <v>4.1929998397827104</v>
      </c>
      <c r="F932" s="17">
        <v>45674</v>
      </c>
      <c r="G932" s="58">
        <v>75</v>
      </c>
      <c r="H932" s="3">
        <v>75</v>
      </c>
      <c r="I932" s="3">
        <v>75</v>
      </c>
      <c r="J932" s="23">
        <v>4.1929998397827104</v>
      </c>
      <c r="K932" s="23">
        <v>4.1929998397827104</v>
      </c>
      <c r="L932" s="24">
        <v>4.1929998397827104</v>
      </c>
    </row>
    <row r="933" spans="2:12" x14ac:dyDescent="0.25">
      <c r="B933" s="17">
        <v>45675</v>
      </c>
      <c r="C933" s="58">
        <v>77</v>
      </c>
      <c r="D933" s="24">
        <v>4.1929998397827104</v>
      </c>
      <c r="F933" s="17">
        <v>45675</v>
      </c>
      <c r="G933" s="58">
        <v>77</v>
      </c>
      <c r="H933" s="3">
        <v>77</v>
      </c>
      <c r="I933" s="3">
        <v>77</v>
      </c>
      <c r="J933" s="23">
        <v>4.1929998397827104</v>
      </c>
      <c r="K933" s="23">
        <v>4.1929998397827104</v>
      </c>
      <c r="L933" s="24">
        <v>4.1929998397827104</v>
      </c>
    </row>
    <row r="934" spans="2:12" x14ac:dyDescent="0.25">
      <c r="B934" s="17">
        <v>45676</v>
      </c>
      <c r="C934" s="58">
        <v>77</v>
      </c>
      <c r="D934" s="24">
        <v>4.1929998397827104</v>
      </c>
      <c r="F934" s="17">
        <v>45676</v>
      </c>
      <c r="G934" s="58">
        <v>77</v>
      </c>
      <c r="H934" s="3">
        <v>77</v>
      </c>
      <c r="I934" s="3">
        <v>77</v>
      </c>
      <c r="J934" s="23">
        <v>4.1929998397827104</v>
      </c>
      <c r="K934" s="23">
        <v>4.1929998397827104</v>
      </c>
      <c r="L934" s="24">
        <v>4.1929998397827104</v>
      </c>
    </row>
    <row r="935" spans="2:12" x14ac:dyDescent="0.25">
      <c r="B935" s="17">
        <v>45677</v>
      </c>
      <c r="C935" s="58">
        <v>76</v>
      </c>
      <c r="D935" s="24">
        <v>4.1929998397827104</v>
      </c>
      <c r="F935" s="17">
        <v>45677</v>
      </c>
      <c r="G935" s="58">
        <v>76</v>
      </c>
      <c r="H935" s="3">
        <v>76</v>
      </c>
      <c r="I935" s="3">
        <v>76</v>
      </c>
      <c r="J935" s="23">
        <v>4.1929998397827104</v>
      </c>
      <c r="K935" s="23">
        <v>4.1929998397827104</v>
      </c>
      <c r="L935" s="24">
        <v>4.1929998397827104</v>
      </c>
    </row>
    <row r="936" spans="2:12" x14ac:dyDescent="0.25">
      <c r="B936" s="17">
        <v>45678</v>
      </c>
      <c r="C936" s="58">
        <v>76</v>
      </c>
      <c r="D936" s="24">
        <v>4.19700002670288</v>
      </c>
      <c r="F936" s="17">
        <v>45678</v>
      </c>
      <c r="G936" s="58">
        <v>76</v>
      </c>
      <c r="H936" s="3">
        <v>76</v>
      </c>
      <c r="I936" s="3">
        <v>76</v>
      </c>
      <c r="J936" s="23">
        <v>4.19700002670288</v>
      </c>
      <c r="K936" s="23">
        <v>4.19700002670288</v>
      </c>
      <c r="L936" s="24">
        <v>4.19700002670288</v>
      </c>
    </row>
    <row r="937" spans="2:12" x14ac:dyDescent="0.25">
      <c r="B937" s="17">
        <v>45679</v>
      </c>
      <c r="C937" s="58">
        <v>84</v>
      </c>
      <c r="D937" s="24">
        <v>4.2150001525878897</v>
      </c>
      <c r="F937" s="17">
        <v>45679</v>
      </c>
      <c r="G937" s="58">
        <v>84</v>
      </c>
      <c r="H937" s="3">
        <v>84</v>
      </c>
      <c r="I937" s="3">
        <v>84</v>
      </c>
      <c r="J937" s="23">
        <v>4.2150001525878897</v>
      </c>
      <c r="K937" s="23">
        <v>4.2150001525878897</v>
      </c>
      <c r="L937" s="24">
        <v>4.2150001525878897</v>
      </c>
    </row>
    <row r="938" spans="2:12" x14ac:dyDescent="0.25">
      <c r="B938" s="17">
        <v>45680</v>
      </c>
      <c r="C938" s="58">
        <v>75</v>
      </c>
      <c r="D938" s="24">
        <v>4.2129998207092196</v>
      </c>
      <c r="F938" s="17">
        <v>45680</v>
      </c>
      <c r="G938" s="58">
        <v>75</v>
      </c>
      <c r="H938" s="3">
        <v>75</v>
      </c>
      <c r="I938" s="3">
        <v>75</v>
      </c>
      <c r="J938" s="23">
        <v>4.2129998207092196</v>
      </c>
      <c r="K938" s="23">
        <v>4.2129998207092196</v>
      </c>
      <c r="L938" s="24">
        <v>4.2129998207092196</v>
      </c>
    </row>
    <row r="939" spans="2:12" x14ac:dyDescent="0.25">
      <c r="B939" s="17">
        <v>45681</v>
      </c>
      <c r="C939" s="58">
        <v>75</v>
      </c>
      <c r="D939" s="24">
        <v>4.2049999237060502</v>
      </c>
      <c r="F939" s="17">
        <v>45681</v>
      </c>
      <c r="G939" s="58">
        <v>75</v>
      </c>
      <c r="H939" s="3">
        <v>75</v>
      </c>
      <c r="I939" s="3">
        <v>75</v>
      </c>
      <c r="J939" s="23">
        <v>4.2049999237060502</v>
      </c>
      <c r="K939" s="23">
        <v>4.2049999237060502</v>
      </c>
      <c r="L939" s="24">
        <v>4.2049999237060502</v>
      </c>
    </row>
    <row r="940" spans="2:12" x14ac:dyDescent="0.25">
      <c r="B940" s="17">
        <v>45682</v>
      </c>
      <c r="C940" s="58">
        <v>75</v>
      </c>
      <c r="D940" s="24">
        <v>4.2049999237060502</v>
      </c>
      <c r="F940" s="17">
        <v>45682</v>
      </c>
      <c r="G940" s="58">
        <v>75</v>
      </c>
      <c r="H940" s="3">
        <v>75</v>
      </c>
      <c r="I940" s="3">
        <v>75</v>
      </c>
      <c r="J940" s="23">
        <v>4.2049999237060502</v>
      </c>
      <c r="K940" s="23">
        <v>4.2049999237060502</v>
      </c>
      <c r="L940" s="24">
        <v>4.2049999237060502</v>
      </c>
    </row>
    <row r="941" spans="2:12" x14ac:dyDescent="0.25">
      <c r="B941" s="17">
        <v>45683</v>
      </c>
      <c r="C941" s="58">
        <v>73</v>
      </c>
      <c r="D941" s="24">
        <v>4.2049999237060502</v>
      </c>
      <c r="F941" s="17">
        <v>45683</v>
      </c>
      <c r="G941" s="58">
        <v>73</v>
      </c>
      <c r="H941" s="3">
        <v>73</v>
      </c>
      <c r="I941" s="3">
        <v>73</v>
      </c>
      <c r="J941" s="23">
        <v>4.2049999237060502</v>
      </c>
      <c r="K941" s="23">
        <v>4.2049999237060502</v>
      </c>
      <c r="L941" s="24">
        <v>4.2049999237060502</v>
      </c>
    </row>
    <row r="942" spans="2:12" x14ac:dyDescent="0.25">
      <c r="B942" s="17">
        <v>45684</v>
      </c>
      <c r="C942" s="58">
        <v>71</v>
      </c>
      <c r="D942" s="24">
        <v>4.1880002021789497</v>
      </c>
      <c r="F942" s="17">
        <v>45684</v>
      </c>
      <c r="G942" s="58">
        <v>71</v>
      </c>
      <c r="H942" s="3">
        <v>71</v>
      </c>
      <c r="I942" s="3">
        <v>71</v>
      </c>
      <c r="J942" s="23">
        <v>4.1880002021789497</v>
      </c>
      <c r="K942" s="23">
        <v>4.1880002021789497</v>
      </c>
      <c r="L942" s="24">
        <v>4.1880002021789497</v>
      </c>
    </row>
    <row r="943" spans="2:12" x14ac:dyDescent="0.25">
      <c r="B943" s="17">
        <v>45685</v>
      </c>
      <c r="C943" s="58">
        <v>72</v>
      </c>
      <c r="D943" s="24">
        <v>4.1900000572204501</v>
      </c>
      <c r="F943" s="17">
        <v>45685</v>
      </c>
      <c r="G943" s="58">
        <v>72</v>
      </c>
      <c r="H943" s="3">
        <v>72</v>
      </c>
      <c r="I943" s="3">
        <v>72</v>
      </c>
      <c r="J943" s="23">
        <v>4.1900000572204501</v>
      </c>
      <c r="K943" s="23">
        <v>4.1900000572204501</v>
      </c>
      <c r="L943" s="24">
        <v>4.1900000572204501</v>
      </c>
    </row>
    <row r="944" spans="2:12" x14ac:dyDescent="0.25">
      <c r="B944" s="17">
        <v>45686</v>
      </c>
      <c r="C944" s="58">
        <v>72</v>
      </c>
      <c r="D944" s="24">
        <v>4.1880002021789497</v>
      </c>
      <c r="F944" s="17">
        <v>45686</v>
      </c>
      <c r="G944" s="58">
        <v>72</v>
      </c>
      <c r="H944" s="3">
        <v>72</v>
      </c>
      <c r="I944" s="3">
        <v>72</v>
      </c>
      <c r="J944" s="23">
        <v>4.1880002021789497</v>
      </c>
      <c r="K944" s="23">
        <v>4.1880002021789497</v>
      </c>
      <c r="L944" s="24">
        <v>4.1880002021789497</v>
      </c>
    </row>
    <row r="945" spans="2:12" x14ac:dyDescent="0.25">
      <c r="B945" s="17">
        <v>45687</v>
      </c>
      <c r="C945" s="58">
        <v>70</v>
      </c>
      <c r="D945" s="24">
        <v>4.1820001602172798</v>
      </c>
      <c r="F945" s="17">
        <v>45687</v>
      </c>
      <c r="G945" s="58">
        <v>70</v>
      </c>
      <c r="H945" s="3">
        <v>70</v>
      </c>
      <c r="I945" s="3">
        <v>70</v>
      </c>
      <c r="J945" s="23">
        <v>4.1820001602172798</v>
      </c>
      <c r="K945" s="23">
        <v>4.1820001602172798</v>
      </c>
      <c r="L945" s="24">
        <v>4.1820001602172798</v>
      </c>
    </row>
    <row r="946" spans="2:12" x14ac:dyDescent="0.25">
      <c r="B946" s="17">
        <v>45688</v>
      </c>
      <c r="C946" s="58">
        <v>76</v>
      </c>
      <c r="D946" s="24">
        <v>4.1880002021789497</v>
      </c>
      <c r="F946" s="17">
        <v>45688</v>
      </c>
      <c r="G946" s="58">
        <v>76</v>
      </c>
      <c r="H946" s="3">
        <v>76</v>
      </c>
      <c r="I946" s="3">
        <v>76</v>
      </c>
      <c r="J946" s="23">
        <v>4.1880002021789497</v>
      </c>
      <c r="K946" s="23">
        <v>4.1880002021789497</v>
      </c>
      <c r="L946" s="24">
        <v>4.1880002021789497</v>
      </c>
    </row>
    <row r="947" spans="2:12" x14ac:dyDescent="0.25">
      <c r="B947" s="17">
        <v>45689</v>
      </c>
      <c r="C947" s="58">
        <v>68</v>
      </c>
      <c r="D947" s="24">
        <v>4.1880002021789497</v>
      </c>
      <c r="F947" s="17">
        <v>45689</v>
      </c>
      <c r="G947" s="58">
        <v>68</v>
      </c>
      <c r="H947" s="3">
        <v>68</v>
      </c>
      <c r="I947" s="3">
        <v>68</v>
      </c>
      <c r="J947" s="23">
        <v>4.1880002021789497</v>
      </c>
      <c r="K947" s="23">
        <v>4.1880002021789497</v>
      </c>
      <c r="L947" s="24">
        <v>4.1880002021789497</v>
      </c>
    </row>
    <row r="948" spans="2:12" x14ac:dyDescent="0.25">
      <c r="B948" s="17">
        <v>45690</v>
      </c>
      <c r="C948" s="58">
        <v>60</v>
      </c>
      <c r="D948" s="24">
        <v>4.1880002021789497</v>
      </c>
      <c r="F948" s="17">
        <v>45690</v>
      </c>
      <c r="G948" s="58">
        <v>60</v>
      </c>
      <c r="H948" s="3">
        <v>60</v>
      </c>
      <c r="I948" s="3">
        <v>60</v>
      </c>
      <c r="J948" s="23">
        <v>4.1880002021789497</v>
      </c>
      <c r="K948" s="23">
        <v>4.1880002021789497</v>
      </c>
      <c r="L948" s="24">
        <v>4.1880002021789497</v>
      </c>
    </row>
    <row r="949" spans="2:12" x14ac:dyDescent="0.25">
      <c r="B949" s="17">
        <v>45691</v>
      </c>
      <c r="C949" s="58">
        <v>44</v>
      </c>
      <c r="D949" s="24">
        <v>4.1900000572204501</v>
      </c>
      <c r="F949" s="17">
        <v>45691</v>
      </c>
      <c r="G949" s="58">
        <v>44</v>
      </c>
      <c r="H949" s="3">
        <v>44</v>
      </c>
      <c r="I949" s="3">
        <v>44</v>
      </c>
      <c r="J949" s="23">
        <v>4.1900000572204501</v>
      </c>
      <c r="K949" s="23">
        <v>4.1900000572204501</v>
      </c>
      <c r="L949" s="24">
        <v>4.1900000572204501</v>
      </c>
    </row>
    <row r="950" spans="2:12" x14ac:dyDescent="0.25">
      <c r="B950" s="17">
        <v>45692</v>
      </c>
      <c r="C950" s="58">
        <v>72</v>
      </c>
      <c r="D950" s="24">
        <v>4.2129998207092196</v>
      </c>
      <c r="F950" s="17">
        <v>45692</v>
      </c>
      <c r="G950" s="58">
        <v>72</v>
      </c>
      <c r="H950" s="3">
        <v>72</v>
      </c>
      <c r="I950" s="3">
        <v>72</v>
      </c>
      <c r="J950" s="23">
        <v>4.2129998207092196</v>
      </c>
      <c r="K950" s="23">
        <v>4.2129998207092196</v>
      </c>
      <c r="L950" s="24">
        <v>4.2129998207092196</v>
      </c>
    </row>
    <row r="951" spans="2:12" x14ac:dyDescent="0.25">
      <c r="B951" s="17">
        <v>45693</v>
      </c>
      <c r="C951" s="58">
        <v>54</v>
      </c>
      <c r="D951" s="24">
        <v>4.21000003814697</v>
      </c>
      <c r="F951" s="17">
        <v>45693</v>
      </c>
      <c r="G951" s="58">
        <v>54</v>
      </c>
      <c r="H951" s="3">
        <v>54</v>
      </c>
      <c r="I951" s="3">
        <v>54</v>
      </c>
      <c r="J951" s="23">
        <v>4.21000003814697</v>
      </c>
      <c r="K951" s="23">
        <v>4.21000003814697</v>
      </c>
      <c r="L951" s="24">
        <v>4.21000003814697</v>
      </c>
    </row>
    <row r="952" spans="2:12" x14ac:dyDescent="0.25">
      <c r="B952" s="17">
        <v>45694</v>
      </c>
      <c r="C952" s="58">
        <v>49</v>
      </c>
      <c r="D952" s="24">
        <v>4.2129998207092196</v>
      </c>
      <c r="F952" s="17">
        <v>45694</v>
      </c>
      <c r="G952" s="58">
        <v>49</v>
      </c>
      <c r="H952" s="3">
        <v>49</v>
      </c>
      <c r="I952" s="3">
        <v>49</v>
      </c>
      <c r="J952" s="23">
        <v>4.2129998207092196</v>
      </c>
      <c r="K952" s="23">
        <v>4.2129998207092196</v>
      </c>
      <c r="L952" s="24">
        <v>4.2129998207092196</v>
      </c>
    </row>
    <row r="953" spans="2:12" ht="15.75" thickBot="1" x14ac:dyDescent="0.3">
      <c r="B953" s="18">
        <v>45695</v>
      </c>
      <c r="C953" s="58">
        <v>44</v>
      </c>
      <c r="D953" s="24">
        <v>4.2280001640319798</v>
      </c>
      <c r="F953" s="18">
        <v>45695</v>
      </c>
      <c r="G953" s="58">
        <v>44</v>
      </c>
      <c r="H953" s="3">
        <v>44</v>
      </c>
      <c r="I953" s="3">
        <v>44</v>
      </c>
      <c r="J953" s="23">
        <v>4.2280001640319798</v>
      </c>
      <c r="K953" s="23">
        <v>4.2280001640319798</v>
      </c>
      <c r="L953" s="24">
        <v>4.2280001640319798</v>
      </c>
    </row>
    <row r="954" spans="2:12" x14ac:dyDescent="0.25">
      <c r="B954" s="16">
        <v>45696</v>
      </c>
      <c r="C954" s="58">
        <v>44</v>
      </c>
      <c r="D954" s="24">
        <v>4.2280001640319798</v>
      </c>
      <c r="F954" s="16">
        <v>45696</v>
      </c>
      <c r="G954" s="58">
        <v>44</v>
      </c>
      <c r="H954" s="3">
        <v>44</v>
      </c>
      <c r="I954" s="3">
        <v>44</v>
      </c>
      <c r="J954" s="23">
        <v>4.2280001640319798</v>
      </c>
      <c r="K954" s="23">
        <v>4.2280001640319798</v>
      </c>
      <c r="L954" s="24">
        <v>4.2280001640319798</v>
      </c>
    </row>
    <row r="955" spans="2:12" x14ac:dyDescent="0.25">
      <c r="B955" s="17">
        <v>45697</v>
      </c>
      <c r="C955" s="58">
        <v>46</v>
      </c>
      <c r="D955" s="24">
        <v>4.2280001640319798</v>
      </c>
      <c r="F955" s="17">
        <v>45697</v>
      </c>
      <c r="G955" s="58">
        <v>46</v>
      </c>
      <c r="H955" s="3">
        <v>46</v>
      </c>
      <c r="I955" s="3">
        <v>46</v>
      </c>
      <c r="J955" s="23">
        <v>4.2280001640319798</v>
      </c>
      <c r="K955" s="23">
        <v>4.2280001640319798</v>
      </c>
      <c r="L955" s="24">
        <v>4.2280001640319798</v>
      </c>
    </row>
    <row r="956" spans="2:12" x14ac:dyDescent="0.25">
      <c r="B956" s="17">
        <v>45698</v>
      </c>
      <c r="C956" s="58">
        <v>43</v>
      </c>
      <c r="D956" s="24">
        <v>4.2280001640319798</v>
      </c>
      <c r="F956" s="17">
        <v>45698</v>
      </c>
      <c r="G956" s="58">
        <v>43</v>
      </c>
      <c r="H956" s="3">
        <v>43</v>
      </c>
      <c r="I956" s="3">
        <v>43</v>
      </c>
      <c r="J956" s="23">
        <v>4.2280001640319798</v>
      </c>
      <c r="K956" s="23">
        <v>4.2280001640319798</v>
      </c>
      <c r="L956" s="24">
        <v>4.2280001640319798</v>
      </c>
    </row>
    <row r="957" spans="2:12" x14ac:dyDescent="0.25">
      <c r="B957" s="17">
        <v>45699</v>
      </c>
      <c r="C957" s="58">
        <v>47</v>
      </c>
      <c r="D957" s="24">
        <v>4.2249999046325604</v>
      </c>
      <c r="F957" s="17">
        <v>45699</v>
      </c>
      <c r="G957" s="58">
        <v>47</v>
      </c>
      <c r="H957" s="3">
        <v>47</v>
      </c>
      <c r="I957" s="3">
        <v>47</v>
      </c>
      <c r="J957" s="23">
        <v>4.2249999046325604</v>
      </c>
      <c r="K957" s="23">
        <v>4.2249999046325604</v>
      </c>
      <c r="L957" s="24">
        <v>4.2249999046325604</v>
      </c>
    </row>
    <row r="958" spans="2:12" x14ac:dyDescent="0.25">
      <c r="B958" s="17">
        <v>45700</v>
      </c>
      <c r="C958" s="58">
        <v>46</v>
      </c>
      <c r="D958" s="24">
        <v>4.2280001640319798</v>
      </c>
      <c r="F958" s="17">
        <v>45700</v>
      </c>
      <c r="G958" s="58">
        <v>46</v>
      </c>
      <c r="H958" s="3">
        <v>46</v>
      </c>
      <c r="I958" s="3">
        <v>46</v>
      </c>
      <c r="J958" s="23">
        <v>4.2280001640319798</v>
      </c>
      <c r="K958" s="23">
        <v>4.2280001640319798</v>
      </c>
      <c r="L958" s="24">
        <v>4.2280001640319798</v>
      </c>
    </row>
    <row r="959" spans="2:12" x14ac:dyDescent="0.25">
      <c r="B959" s="17">
        <v>45701</v>
      </c>
      <c r="C959" s="58">
        <v>50</v>
      </c>
      <c r="D959" s="24">
        <v>4.2129998207092196</v>
      </c>
      <c r="F959" s="17">
        <v>45701</v>
      </c>
      <c r="G959" s="58">
        <v>50</v>
      </c>
      <c r="H959" s="3">
        <v>50</v>
      </c>
      <c r="I959" s="3">
        <v>50</v>
      </c>
      <c r="J959" s="23">
        <v>4.2129998207092196</v>
      </c>
      <c r="K959" s="23">
        <v>4.2129998207092196</v>
      </c>
      <c r="L959" s="24">
        <v>4.2129998207092196</v>
      </c>
    </row>
    <row r="960" spans="2:12" x14ac:dyDescent="0.25">
      <c r="B960" s="17">
        <v>45702</v>
      </c>
      <c r="C960" s="58">
        <v>48</v>
      </c>
      <c r="D960" s="24">
        <v>4.2129998207092196</v>
      </c>
      <c r="F960" s="17">
        <v>45702</v>
      </c>
      <c r="G960" s="58">
        <v>48</v>
      </c>
      <c r="H960" s="3">
        <v>48</v>
      </c>
      <c r="I960" s="3">
        <v>48</v>
      </c>
      <c r="J960" s="23">
        <v>4.2129998207092196</v>
      </c>
      <c r="K960" s="23">
        <v>4.2129998207092196</v>
      </c>
      <c r="L960" s="24">
        <v>4.2129998207092196</v>
      </c>
    </row>
    <row r="961" spans="2:12" x14ac:dyDescent="0.25">
      <c r="B961" s="17">
        <v>45703</v>
      </c>
      <c r="C961" s="58">
        <v>50</v>
      </c>
      <c r="D961" s="24">
        <v>4.2129998207092196</v>
      </c>
      <c r="F961" s="17">
        <v>45703</v>
      </c>
      <c r="G961" s="58">
        <v>50</v>
      </c>
      <c r="H961" s="3">
        <v>50</v>
      </c>
      <c r="I961" s="3">
        <v>50</v>
      </c>
      <c r="J961" s="23">
        <v>4.2129998207092196</v>
      </c>
      <c r="K961" s="23">
        <v>4.2129998207092196</v>
      </c>
      <c r="L961" s="24">
        <v>4.2129998207092196</v>
      </c>
    </row>
    <row r="962" spans="2:12" x14ac:dyDescent="0.25">
      <c r="B962" s="17">
        <v>45704</v>
      </c>
      <c r="C962" s="58">
        <v>54</v>
      </c>
      <c r="D962" s="24">
        <v>4.2129998207092196</v>
      </c>
      <c r="F962" s="17">
        <v>45704</v>
      </c>
      <c r="G962" s="58">
        <v>54</v>
      </c>
      <c r="H962" s="3">
        <v>54</v>
      </c>
      <c r="I962" s="3">
        <v>54</v>
      </c>
      <c r="J962" s="23">
        <v>4.2129998207092196</v>
      </c>
      <c r="K962" s="23">
        <v>4.2129998207092196</v>
      </c>
      <c r="L962" s="24">
        <v>4.2129998207092196</v>
      </c>
    </row>
    <row r="963" spans="2:12" x14ac:dyDescent="0.25">
      <c r="B963" s="17">
        <v>45705</v>
      </c>
      <c r="C963" s="58">
        <v>51</v>
      </c>
      <c r="D963" s="24">
        <v>4.2129998207092196</v>
      </c>
      <c r="F963" s="17">
        <v>45705</v>
      </c>
      <c r="G963" s="58">
        <v>51</v>
      </c>
      <c r="H963" s="3">
        <v>51</v>
      </c>
      <c r="I963" s="3">
        <v>51</v>
      </c>
      <c r="J963" s="23">
        <v>4.2129998207092196</v>
      </c>
      <c r="K963" s="23">
        <v>4.2129998207092196</v>
      </c>
      <c r="L963" s="24">
        <v>4.2129998207092196</v>
      </c>
    </row>
    <row r="964" spans="2:12" x14ac:dyDescent="0.25">
      <c r="B964" s="17">
        <v>45706</v>
      </c>
      <c r="C964" s="58">
        <v>47</v>
      </c>
      <c r="D964" s="24">
        <v>4.2129998207092196</v>
      </c>
      <c r="F964" s="17">
        <v>45706</v>
      </c>
      <c r="G964" s="58">
        <v>47</v>
      </c>
      <c r="H964" s="3">
        <v>47</v>
      </c>
      <c r="I964" s="3">
        <v>47</v>
      </c>
      <c r="J964" s="23">
        <v>4.2129998207092196</v>
      </c>
      <c r="K964" s="23">
        <v>4.2129998207092196</v>
      </c>
      <c r="L964" s="24">
        <v>4.2129998207092196</v>
      </c>
    </row>
    <row r="965" spans="2:12" x14ac:dyDescent="0.25">
      <c r="B965" s="17">
        <v>45707</v>
      </c>
      <c r="C965" s="58">
        <v>44</v>
      </c>
      <c r="D965" s="24">
        <v>4.2179999351501403</v>
      </c>
      <c r="F965" s="17">
        <v>45707</v>
      </c>
      <c r="G965" s="58">
        <v>44</v>
      </c>
      <c r="H965" s="3">
        <v>44</v>
      </c>
      <c r="I965" s="3">
        <v>44</v>
      </c>
      <c r="J965" s="23">
        <v>4.2179999351501403</v>
      </c>
      <c r="K965" s="23">
        <v>4.2179999351501403</v>
      </c>
      <c r="L965" s="24">
        <v>4.2179999351501403</v>
      </c>
    </row>
    <row r="966" spans="2:12" x14ac:dyDescent="0.25">
      <c r="B966" s="17">
        <v>45708</v>
      </c>
      <c r="C966" s="58">
        <v>49</v>
      </c>
      <c r="D966" s="24">
        <v>4.2049999237060502</v>
      </c>
      <c r="F966" s="17">
        <v>45708</v>
      </c>
      <c r="G966" s="58">
        <v>49</v>
      </c>
      <c r="H966" s="3">
        <v>49</v>
      </c>
      <c r="I966" s="3">
        <v>49</v>
      </c>
      <c r="J966" s="23">
        <v>4.2049999237060502</v>
      </c>
      <c r="K966" s="23">
        <v>4.2049999237060502</v>
      </c>
      <c r="L966" s="24">
        <v>4.2049999237060502</v>
      </c>
    </row>
    <row r="967" spans="2:12" x14ac:dyDescent="0.25">
      <c r="B967" s="17">
        <v>45709</v>
      </c>
      <c r="C967" s="58">
        <v>55</v>
      </c>
      <c r="D967" s="24">
        <v>4.19700002670288</v>
      </c>
      <c r="F967" s="17">
        <v>45709</v>
      </c>
      <c r="G967" s="58">
        <v>55</v>
      </c>
      <c r="H967" s="3">
        <v>55</v>
      </c>
      <c r="I967" s="3">
        <v>55</v>
      </c>
      <c r="J967" s="23">
        <v>4.19700002670288</v>
      </c>
      <c r="K967" s="23">
        <v>4.19700002670288</v>
      </c>
      <c r="L967" s="24">
        <v>4.19700002670288</v>
      </c>
    </row>
    <row r="968" spans="2:12" x14ac:dyDescent="0.25">
      <c r="B968" s="17">
        <v>45710</v>
      </c>
      <c r="C968" s="58">
        <v>49</v>
      </c>
      <c r="D968" s="24">
        <v>4.19700002670288</v>
      </c>
      <c r="F968" s="17">
        <v>45710</v>
      </c>
      <c r="G968" s="58">
        <v>49</v>
      </c>
      <c r="H968" s="3">
        <v>49</v>
      </c>
      <c r="I968" s="3">
        <v>49</v>
      </c>
      <c r="J968" s="23">
        <v>4.19700002670288</v>
      </c>
      <c r="K968" s="23">
        <v>4.19700002670288</v>
      </c>
      <c r="L968" s="24">
        <v>4.19700002670288</v>
      </c>
    </row>
    <row r="969" spans="2:12" x14ac:dyDescent="0.25">
      <c r="B969" s="17">
        <v>45711</v>
      </c>
      <c r="C969" s="58">
        <v>50</v>
      </c>
      <c r="D969" s="24">
        <v>4.19700002670288</v>
      </c>
      <c r="F969" s="17">
        <v>45711</v>
      </c>
      <c r="G969" s="58">
        <v>50</v>
      </c>
      <c r="H969" s="3">
        <v>50</v>
      </c>
      <c r="I969" s="3">
        <v>50</v>
      </c>
      <c r="J969" s="23">
        <v>4.19700002670288</v>
      </c>
      <c r="K969" s="23">
        <v>4.19700002670288</v>
      </c>
      <c r="L969" s="24">
        <v>4.19700002670288</v>
      </c>
    </row>
    <row r="970" spans="2:12" x14ac:dyDescent="0.25">
      <c r="B970" s="17">
        <v>45712</v>
      </c>
      <c r="C970" s="58">
        <v>49</v>
      </c>
      <c r="D970" s="24">
        <v>4.1900000572204501</v>
      </c>
      <c r="F970" s="17">
        <v>45712</v>
      </c>
      <c r="G970" s="58">
        <v>49</v>
      </c>
      <c r="H970" s="3">
        <v>49</v>
      </c>
      <c r="I970" s="3">
        <v>49</v>
      </c>
      <c r="J970" s="23">
        <v>4.1900000572204501</v>
      </c>
      <c r="K970" s="23">
        <v>4.1900000572204501</v>
      </c>
      <c r="L970" s="24">
        <v>4.1900000572204501</v>
      </c>
    </row>
    <row r="971" spans="2:12" x14ac:dyDescent="0.25">
      <c r="B971" s="17">
        <v>45713</v>
      </c>
      <c r="C971" s="58">
        <v>25</v>
      </c>
      <c r="D971" s="24">
        <v>4.1820001602172798</v>
      </c>
      <c r="F971" s="17">
        <v>45713</v>
      </c>
      <c r="G971" s="58">
        <v>25</v>
      </c>
      <c r="H971" s="3">
        <v>25</v>
      </c>
      <c r="I971" s="3">
        <v>25</v>
      </c>
      <c r="J971" s="23">
        <v>4.1820001602172798</v>
      </c>
      <c r="K971" s="23">
        <v>4.1820001602172798</v>
      </c>
      <c r="L971" s="24">
        <v>4.1820001602172798</v>
      </c>
    </row>
    <row r="972" spans="2:12" x14ac:dyDescent="0.25">
      <c r="B972" s="17">
        <v>45714</v>
      </c>
      <c r="C972" s="58">
        <v>21</v>
      </c>
      <c r="D972" s="24">
        <v>4.1929998397827104</v>
      </c>
      <c r="F972" s="17">
        <v>45714</v>
      </c>
      <c r="G972" s="58">
        <v>21</v>
      </c>
      <c r="H972" s="3">
        <v>21</v>
      </c>
      <c r="I972" s="3">
        <v>21</v>
      </c>
      <c r="J972" s="23">
        <v>4.1929998397827104</v>
      </c>
      <c r="K972" s="23">
        <v>4.1929998397827104</v>
      </c>
      <c r="L972" s="24">
        <v>4.1929998397827104</v>
      </c>
    </row>
    <row r="973" spans="2:12" x14ac:dyDescent="0.25">
      <c r="B973" s="17">
        <v>45715</v>
      </c>
      <c r="C973" s="58">
        <v>10</v>
      </c>
      <c r="D973" s="24">
        <v>4.1950001716613698</v>
      </c>
      <c r="F973" s="17">
        <v>45715</v>
      </c>
      <c r="G973" s="58">
        <v>10</v>
      </c>
      <c r="H973" s="3">
        <v>10</v>
      </c>
      <c r="I973" s="3">
        <v>10</v>
      </c>
      <c r="J973" s="23">
        <v>4.1950001716613698</v>
      </c>
      <c r="K973" s="23">
        <v>4.1950001716613698</v>
      </c>
      <c r="L973" s="24">
        <v>4.1950001716613698</v>
      </c>
    </row>
    <row r="974" spans="2:12" x14ac:dyDescent="0.25">
      <c r="B974" s="17">
        <v>45716</v>
      </c>
      <c r="C974" s="58">
        <v>16</v>
      </c>
      <c r="D974" s="24">
        <v>4.1929998397827104</v>
      </c>
      <c r="F974" s="17">
        <v>45716</v>
      </c>
      <c r="G974" s="58">
        <v>16</v>
      </c>
      <c r="H974" s="3">
        <v>16</v>
      </c>
      <c r="I974" s="3">
        <v>16</v>
      </c>
      <c r="J974" s="23">
        <v>4.1929998397827104</v>
      </c>
      <c r="K974" s="23">
        <v>4.1929998397827104</v>
      </c>
      <c r="L974" s="24">
        <v>4.1929998397827104</v>
      </c>
    </row>
    <row r="975" spans="2:12" x14ac:dyDescent="0.25">
      <c r="B975" s="17">
        <v>45717</v>
      </c>
      <c r="C975" s="58">
        <v>20</v>
      </c>
      <c r="D975" s="24">
        <v>4.1929998397827104</v>
      </c>
      <c r="F975" s="17">
        <v>45717</v>
      </c>
      <c r="G975" s="58">
        <v>20</v>
      </c>
      <c r="H975" s="3">
        <v>20</v>
      </c>
      <c r="I975" s="3">
        <v>20</v>
      </c>
      <c r="J975" s="23">
        <v>4.1929998397827104</v>
      </c>
      <c r="K975" s="23">
        <v>4.1929998397827104</v>
      </c>
      <c r="L975" s="24">
        <v>4.1929998397827104</v>
      </c>
    </row>
    <row r="976" spans="2:12" x14ac:dyDescent="0.25">
      <c r="B976" s="17">
        <v>45718</v>
      </c>
      <c r="C976" s="58">
        <v>26</v>
      </c>
      <c r="D976" s="24">
        <v>4.1929998397827104</v>
      </c>
      <c r="F976" s="17">
        <v>45718</v>
      </c>
      <c r="G976" s="58">
        <v>26</v>
      </c>
      <c r="H976" s="3">
        <v>26</v>
      </c>
      <c r="I976" s="3">
        <v>26</v>
      </c>
      <c r="J976" s="23">
        <v>4.1929998397827104</v>
      </c>
      <c r="K976" s="23">
        <v>4.1929998397827104</v>
      </c>
      <c r="L976" s="24">
        <v>4.1929998397827104</v>
      </c>
    </row>
    <row r="977" spans="2:12" x14ac:dyDescent="0.25">
      <c r="B977" s="17">
        <v>45719</v>
      </c>
      <c r="C977" s="58">
        <v>33</v>
      </c>
      <c r="D977" s="24">
        <v>4.1929998397827104</v>
      </c>
      <c r="F977" s="17">
        <v>45719</v>
      </c>
      <c r="G977" s="58">
        <v>33</v>
      </c>
      <c r="H977" s="3">
        <v>33</v>
      </c>
      <c r="I977" s="3">
        <v>33</v>
      </c>
      <c r="J977" s="23">
        <v>4.1929998397827104</v>
      </c>
      <c r="K977" s="23">
        <v>4.1929998397827104</v>
      </c>
      <c r="L977" s="24">
        <v>4.1929998397827104</v>
      </c>
    </row>
    <row r="978" spans="2:12" x14ac:dyDescent="0.25">
      <c r="B978" s="17">
        <v>45720</v>
      </c>
      <c r="C978" s="58">
        <v>15</v>
      </c>
      <c r="D978" s="24">
        <v>4.1950001716613698</v>
      </c>
      <c r="F978" s="17">
        <v>45720</v>
      </c>
      <c r="G978" s="58">
        <v>15</v>
      </c>
      <c r="H978" s="3">
        <v>15</v>
      </c>
      <c r="I978" s="3">
        <v>15</v>
      </c>
      <c r="J978" s="23">
        <v>4.1950001716613698</v>
      </c>
      <c r="K978" s="23">
        <v>4.1950001716613698</v>
      </c>
      <c r="L978" s="24">
        <v>4.1950001716613698</v>
      </c>
    </row>
    <row r="979" spans="2:12" x14ac:dyDescent="0.25">
      <c r="B979" s="17">
        <v>45721</v>
      </c>
      <c r="C979" s="58">
        <v>20</v>
      </c>
      <c r="D979" s="24">
        <v>4.2049999237060502</v>
      </c>
      <c r="F979" s="17">
        <v>45721</v>
      </c>
      <c r="G979" s="58">
        <v>20</v>
      </c>
      <c r="H979" s="3">
        <v>20</v>
      </c>
      <c r="I979" s="3">
        <v>20</v>
      </c>
      <c r="J979" s="23">
        <v>4.2049999237060502</v>
      </c>
      <c r="K979" s="23">
        <v>4.2049999237060502</v>
      </c>
      <c r="L979" s="24">
        <v>4.2049999237060502</v>
      </c>
    </row>
    <row r="980" spans="2:12" x14ac:dyDescent="0.25">
      <c r="B980" s="17">
        <v>45722</v>
      </c>
      <c r="C980" s="58">
        <v>25</v>
      </c>
      <c r="D980" s="24">
        <v>4.19700002670288</v>
      </c>
      <c r="F980" s="17">
        <v>45722</v>
      </c>
      <c r="G980" s="58">
        <v>25</v>
      </c>
      <c r="H980" s="3">
        <v>25</v>
      </c>
      <c r="I980" s="3">
        <v>25</v>
      </c>
      <c r="J980" s="23">
        <v>4.19700002670288</v>
      </c>
      <c r="K980" s="23">
        <v>4.19700002670288</v>
      </c>
      <c r="L980" s="24">
        <v>4.19700002670288</v>
      </c>
    </row>
    <row r="981" spans="2:12" x14ac:dyDescent="0.25">
      <c r="B981" s="17">
        <v>45723</v>
      </c>
      <c r="C981" s="58">
        <v>34</v>
      </c>
      <c r="D981" s="24">
        <v>4.19700002670288</v>
      </c>
      <c r="F981" s="17">
        <v>45723</v>
      </c>
      <c r="G981" s="58">
        <v>34</v>
      </c>
      <c r="H981" s="3">
        <v>34</v>
      </c>
      <c r="I981" s="3">
        <v>34</v>
      </c>
      <c r="J981" s="23">
        <v>4.19700002670288</v>
      </c>
      <c r="K981" s="23">
        <v>4.19700002670288</v>
      </c>
      <c r="L981" s="24">
        <v>4.19700002670288</v>
      </c>
    </row>
    <row r="982" spans="2:12" x14ac:dyDescent="0.25">
      <c r="B982" s="17">
        <v>45724</v>
      </c>
      <c r="C982" s="58">
        <v>28</v>
      </c>
      <c r="D982" s="24">
        <v>4.19700002670288</v>
      </c>
      <c r="F982" s="17">
        <v>45724</v>
      </c>
      <c r="G982" s="58">
        <v>28</v>
      </c>
      <c r="H982" s="3">
        <v>28</v>
      </c>
      <c r="I982" s="3">
        <v>28</v>
      </c>
      <c r="J982" s="23">
        <v>4.19700002670288</v>
      </c>
      <c r="K982" s="23">
        <v>4.19700002670288</v>
      </c>
      <c r="L982" s="24">
        <v>4.19700002670288</v>
      </c>
    </row>
    <row r="983" spans="2:12" x14ac:dyDescent="0.25">
      <c r="B983" s="17">
        <v>45725</v>
      </c>
      <c r="C983" s="58">
        <v>27</v>
      </c>
      <c r="D983" s="24">
        <v>4.19700002670288</v>
      </c>
      <c r="F983" s="17">
        <v>45725</v>
      </c>
      <c r="G983" s="58">
        <v>27</v>
      </c>
      <c r="H983" s="3">
        <v>27</v>
      </c>
      <c r="I983" s="3">
        <v>27</v>
      </c>
      <c r="J983" s="23">
        <v>4.19700002670288</v>
      </c>
      <c r="K983" s="23">
        <v>4.19700002670288</v>
      </c>
      <c r="L983" s="24">
        <v>4.19700002670288</v>
      </c>
    </row>
    <row r="984" spans="2:12" x14ac:dyDescent="0.25">
      <c r="B984" s="17">
        <v>45726</v>
      </c>
      <c r="C984" s="58">
        <v>20</v>
      </c>
      <c r="D984" s="24">
        <v>4.1849999427795401</v>
      </c>
      <c r="F984" s="17">
        <v>45726</v>
      </c>
      <c r="G984" s="58">
        <v>20</v>
      </c>
      <c r="H984" s="3">
        <v>20</v>
      </c>
      <c r="I984" s="3">
        <v>20</v>
      </c>
      <c r="J984" s="23">
        <v>4.1849999427795401</v>
      </c>
      <c r="K984" s="23">
        <v>4.1849999427795401</v>
      </c>
      <c r="L984" s="24">
        <v>4.1849999427795401</v>
      </c>
    </row>
    <row r="985" spans="2:12" x14ac:dyDescent="0.25">
      <c r="B985" s="17">
        <v>45727</v>
      </c>
      <c r="C985" s="58">
        <v>24</v>
      </c>
      <c r="D985" s="24">
        <v>4.1950001716613698</v>
      </c>
      <c r="F985" s="17">
        <v>45727</v>
      </c>
      <c r="G985" s="58">
        <v>24</v>
      </c>
      <c r="H985" s="3">
        <v>24</v>
      </c>
      <c r="I985" s="3">
        <v>24</v>
      </c>
      <c r="J985" s="23">
        <v>4.1950001716613698</v>
      </c>
      <c r="K985" s="23">
        <v>4.1950001716613698</v>
      </c>
      <c r="L985" s="24">
        <v>4.1950001716613698</v>
      </c>
    </row>
    <row r="986" spans="2:12" x14ac:dyDescent="0.25">
      <c r="B986" s="17">
        <v>45728</v>
      </c>
      <c r="C986" s="58">
        <v>34</v>
      </c>
      <c r="D986" s="24">
        <v>4.19700002670288</v>
      </c>
      <c r="F986" s="17">
        <v>45728</v>
      </c>
      <c r="G986" s="58">
        <v>34</v>
      </c>
      <c r="H986" s="3">
        <v>34</v>
      </c>
      <c r="I986" s="3">
        <v>34</v>
      </c>
      <c r="J986" s="23">
        <v>4.19700002670288</v>
      </c>
      <c r="K986" s="23">
        <v>4.19700002670288</v>
      </c>
      <c r="L986" s="24">
        <v>4.19700002670288</v>
      </c>
    </row>
    <row r="987" spans="2:12" x14ac:dyDescent="0.25">
      <c r="B987" s="17">
        <v>45729</v>
      </c>
      <c r="C987" s="58">
        <v>45</v>
      </c>
      <c r="D987" s="24">
        <v>4.1880002021789497</v>
      </c>
      <c r="F987" s="17">
        <v>45729</v>
      </c>
      <c r="G987" s="58">
        <v>45</v>
      </c>
      <c r="H987" s="3">
        <v>45</v>
      </c>
      <c r="I987" s="3">
        <v>45</v>
      </c>
      <c r="J987" s="23">
        <v>4.1880002021789497</v>
      </c>
      <c r="K987" s="23">
        <v>4.1880002021789497</v>
      </c>
      <c r="L987" s="24">
        <v>4.1880002021789497</v>
      </c>
    </row>
    <row r="988" spans="2:12" x14ac:dyDescent="0.25">
      <c r="B988" s="17">
        <v>45730</v>
      </c>
      <c r="C988" s="58">
        <v>27</v>
      </c>
      <c r="D988" s="24">
        <v>4.1880002021789497</v>
      </c>
      <c r="F988" s="17">
        <v>45730</v>
      </c>
      <c r="G988" s="58">
        <v>27</v>
      </c>
      <c r="H988" s="3">
        <v>27</v>
      </c>
      <c r="I988" s="3">
        <v>27</v>
      </c>
      <c r="J988" s="23">
        <v>4.1880002021789497</v>
      </c>
      <c r="K988" s="23">
        <v>4.1880002021789497</v>
      </c>
      <c r="L988" s="24">
        <v>4.1880002021789497</v>
      </c>
    </row>
    <row r="989" spans="2:12" x14ac:dyDescent="0.25">
      <c r="B989" s="17">
        <v>45731</v>
      </c>
      <c r="C989" s="58">
        <v>46</v>
      </c>
      <c r="D989" s="24">
        <v>4.1880002021789497</v>
      </c>
      <c r="F989" s="17">
        <v>45731</v>
      </c>
      <c r="G989" s="58">
        <v>46</v>
      </c>
      <c r="H989" s="3">
        <v>46</v>
      </c>
      <c r="I989" s="3">
        <v>46</v>
      </c>
      <c r="J989" s="23">
        <v>4.1880002021789497</v>
      </c>
      <c r="K989" s="23">
        <v>4.1880002021789497</v>
      </c>
      <c r="L989" s="24">
        <v>4.1880002021789497</v>
      </c>
    </row>
    <row r="990" spans="2:12" x14ac:dyDescent="0.25">
      <c r="B990" s="17">
        <v>45732</v>
      </c>
      <c r="C990" s="58">
        <v>30</v>
      </c>
      <c r="D990" s="24">
        <v>4.1880002021789497</v>
      </c>
      <c r="F990" s="17">
        <v>45732</v>
      </c>
      <c r="G990" s="58">
        <v>30</v>
      </c>
      <c r="H990" s="3">
        <v>30</v>
      </c>
      <c r="I990" s="3">
        <v>30</v>
      </c>
      <c r="J990" s="23">
        <v>4.1880002021789497</v>
      </c>
      <c r="K990" s="23">
        <v>4.1880002021789497</v>
      </c>
      <c r="L990" s="24">
        <v>4.1880002021789497</v>
      </c>
    </row>
    <row r="991" spans="2:12" x14ac:dyDescent="0.25">
      <c r="B991" s="17">
        <v>45733</v>
      </c>
      <c r="C991" s="58">
        <v>32</v>
      </c>
      <c r="D991" s="24">
        <v>4.1880002021789497</v>
      </c>
      <c r="F991" s="17">
        <v>45733</v>
      </c>
      <c r="G991" s="58">
        <v>32</v>
      </c>
      <c r="H991" s="3">
        <v>32</v>
      </c>
      <c r="I991" s="3">
        <v>32</v>
      </c>
      <c r="J991" s="23">
        <v>4.1880002021789497</v>
      </c>
      <c r="K991" s="23">
        <v>4.1880002021789497</v>
      </c>
      <c r="L991" s="24">
        <v>4.1880002021789497</v>
      </c>
    </row>
    <row r="992" spans="2:12" x14ac:dyDescent="0.25">
      <c r="B992" s="17">
        <v>45734</v>
      </c>
      <c r="C992" s="58">
        <v>34</v>
      </c>
      <c r="D992" s="24">
        <v>4.1950001716613698</v>
      </c>
      <c r="F992" s="17">
        <v>45734</v>
      </c>
      <c r="G992" s="58">
        <v>34</v>
      </c>
      <c r="H992" s="3">
        <v>34</v>
      </c>
      <c r="I992" s="3">
        <v>34</v>
      </c>
      <c r="J992" s="23">
        <v>4.1950001716613698</v>
      </c>
      <c r="K992" s="23">
        <v>4.1950001716613698</v>
      </c>
      <c r="L992" s="24">
        <v>4.1950001716613698</v>
      </c>
    </row>
    <row r="993" spans="2:12" x14ac:dyDescent="0.25">
      <c r="B993" s="17">
        <v>45735</v>
      </c>
      <c r="C993" s="58">
        <v>32</v>
      </c>
      <c r="D993" s="24">
        <v>4.1900000572204501</v>
      </c>
      <c r="F993" s="17">
        <v>45735</v>
      </c>
      <c r="G993" s="58">
        <v>32</v>
      </c>
      <c r="H993" s="3">
        <v>32</v>
      </c>
      <c r="I993" s="3">
        <v>32</v>
      </c>
      <c r="J993" s="23">
        <v>4.1900000572204501</v>
      </c>
      <c r="K993" s="23">
        <v>4.1900000572204501</v>
      </c>
      <c r="L993" s="24">
        <v>4.1900000572204501</v>
      </c>
    </row>
    <row r="994" spans="2:12" x14ac:dyDescent="0.25">
      <c r="B994" s="17">
        <v>45736</v>
      </c>
      <c r="C994" s="58">
        <v>49</v>
      </c>
      <c r="D994" s="24">
        <v>4.1820001602172798</v>
      </c>
      <c r="F994" s="17">
        <v>45736</v>
      </c>
      <c r="G994" s="58">
        <v>49</v>
      </c>
      <c r="H994" s="3">
        <v>49</v>
      </c>
      <c r="I994" s="3">
        <v>49</v>
      </c>
      <c r="J994" s="23">
        <v>4.1820001602172798</v>
      </c>
      <c r="K994" s="23">
        <v>4.1820001602172798</v>
      </c>
      <c r="L994" s="24">
        <v>4.1820001602172798</v>
      </c>
    </row>
    <row r="995" spans="2:12" x14ac:dyDescent="0.25">
      <c r="B995" s="17">
        <v>45737</v>
      </c>
      <c r="C995" s="58">
        <v>31</v>
      </c>
      <c r="D995" s="24">
        <v>4.1849999427795401</v>
      </c>
      <c r="F995" s="17">
        <v>45737</v>
      </c>
      <c r="G995" s="58">
        <v>31</v>
      </c>
      <c r="H995" s="3">
        <v>31</v>
      </c>
      <c r="I995" s="3">
        <v>31</v>
      </c>
      <c r="J995" s="23">
        <v>4.1849999427795401</v>
      </c>
      <c r="K995" s="23">
        <v>4.1849999427795401</v>
      </c>
      <c r="L995" s="24">
        <v>4.1849999427795401</v>
      </c>
    </row>
    <row r="996" spans="2:12" x14ac:dyDescent="0.25">
      <c r="B996" s="17">
        <v>45738</v>
      </c>
      <c r="C996" s="58">
        <v>32</v>
      </c>
      <c r="D996" s="24">
        <v>4.1849999427795401</v>
      </c>
      <c r="F996" s="17">
        <v>45738</v>
      </c>
      <c r="G996" s="58">
        <v>32</v>
      </c>
      <c r="H996" s="3">
        <v>32</v>
      </c>
      <c r="I996" s="3">
        <v>32</v>
      </c>
      <c r="J996" s="23">
        <v>4.1849999427795401</v>
      </c>
      <c r="K996" s="23">
        <v>4.1849999427795401</v>
      </c>
      <c r="L996" s="24">
        <v>4.1849999427795401</v>
      </c>
    </row>
    <row r="997" spans="2:12" x14ac:dyDescent="0.25">
      <c r="B997" s="17">
        <v>45739</v>
      </c>
      <c r="C997" s="58">
        <v>30</v>
      </c>
      <c r="D997" s="24">
        <v>4.1849999427795401</v>
      </c>
      <c r="F997" s="17">
        <v>45739</v>
      </c>
      <c r="G997" s="58">
        <v>30</v>
      </c>
      <c r="H997" s="3">
        <v>30</v>
      </c>
      <c r="I997" s="3">
        <v>30</v>
      </c>
      <c r="J997" s="23">
        <v>4.1849999427795401</v>
      </c>
      <c r="K997" s="23">
        <v>4.1849999427795401</v>
      </c>
      <c r="L997" s="24">
        <v>4.1849999427795401</v>
      </c>
    </row>
    <row r="998" spans="2:12" x14ac:dyDescent="0.25">
      <c r="B998" s="17">
        <v>45740</v>
      </c>
      <c r="C998" s="58">
        <v>45</v>
      </c>
      <c r="D998" s="24">
        <v>4.1820001602172798</v>
      </c>
      <c r="F998" s="17">
        <v>45740</v>
      </c>
      <c r="G998" s="58">
        <v>45</v>
      </c>
      <c r="H998" s="3">
        <v>45</v>
      </c>
      <c r="I998" s="3">
        <v>45</v>
      </c>
      <c r="J998" s="23">
        <v>4.1820001602172798</v>
      </c>
      <c r="K998" s="23">
        <v>4.1820001602172798</v>
      </c>
      <c r="L998" s="24">
        <v>4.1820001602172798</v>
      </c>
    </row>
    <row r="999" spans="2:12" x14ac:dyDescent="0.25">
      <c r="B999" s="17">
        <v>45741</v>
      </c>
      <c r="C999" s="58">
        <v>46</v>
      </c>
      <c r="D999" s="24">
        <v>4.1820001602172798</v>
      </c>
      <c r="F999" s="17">
        <v>45741</v>
      </c>
      <c r="G999" s="58">
        <v>46</v>
      </c>
      <c r="H999" s="3">
        <v>46</v>
      </c>
      <c r="I999" s="3">
        <v>46</v>
      </c>
      <c r="J999" s="23">
        <v>4.1820001602172798</v>
      </c>
      <c r="K999" s="23">
        <v>4.1820001602172798</v>
      </c>
      <c r="L999" s="24">
        <v>4.1820001602172798</v>
      </c>
    </row>
    <row r="1000" spans="2:12" x14ac:dyDescent="0.25">
      <c r="B1000" s="17">
        <v>45742</v>
      </c>
      <c r="C1000" s="58">
        <v>47</v>
      </c>
      <c r="D1000" s="24">
        <v>4.1900000572204501</v>
      </c>
      <c r="F1000" s="17">
        <v>45742</v>
      </c>
      <c r="G1000" s="58">
        <v>47</v>
      </c>
      <c r="H1000" s="3">
        <v>47</v>
      </c>
      <c r="I1000" s="3">
        <v>47</v>
      </c>
      <c r="J1000" s="23">
        <v>4.1900000572204501</v>
      </c>
      <c r="K1000" s="23">
        <v>4.1900000572204501</v>
      </c>
      <c r="L1000" s="24">
        <v>4.1900000572204501</v>
      </c>
    </row>
    <row r="1001" spans="2:12" x14ac:dyDescent="0.25">
      <c r="B1001" s="17">
        <v>45743</v>
      </c>
      <c r="C1001" s="58">
        <v>40</v>
      </c>
      <c r="D1001" s="24">
        <v>4.1880002021789497</v>
      </c>
      <c r="F1001" s="17">
        <v>45743</v>
      </c>
      <c r="G1001" s="58">
        <v>40</v>
      </c>
      <c r="H1001" s="3">
        <v>40</v>
      </c>
      <c r="I1001" s="3">
        <v>40</v>
      </c>
      <c r="J1001" s="23">
        <v>4.1880002021789497</v>
      </c>
      <c r="K1001" s="23">
        <v>4.1880002021789497</v>
      </c>
      <c r="L1001" s="24">
        <v>4.1880002021789497</v>
      </c>
    </row>
    <row r="1002" spans="2:12" x14ac:dyDescent="0.25">
      <c r="B1002" s="17">
        <v>45744</v>
      </c>
      <c r="C1002" s="58">
        <v>44</v>
      </c>
      <c r="D1002" s="24">
        <v>4.1880002021789497</v>
      </c>
      <c r="F1002" s="17">
        <v>45744</v>
      </c>
      <c r="G1002" s="58">
        <v>44</v>
      </c>
      <c r="H1002" s="3">
        <v>44</v>
      </c>
      <c r="I1002" s="3">
        <v>44</v>
      </c>
      <c r="J1002" s="23">
        <v>4.1880002021789497</v>
      </c>
      <c r="K1002" s="23">
        <v>4.1880002021789497</v>
      </c>
      <c r="L1002" s="24">
        <v>4.1880002021789497</v>
      </c>
    </row>
    <row r="1003" spans="2:12" ht="15.75" thickBot="1" x14ac:dyDescent="0.3">
      <c r="B1003" s="18">
        <v>45745</v>
      </c>
      <c r="C1003" s="58">
        <v>26</v>
      </c>
      <c r="D1003" s="24">
        <v>4.1880002021789497</v>
      </c>
      <c r="F1003" s="18">
        <v>45745</v>
      </c>
      <c r="G1003" s="58">
        <v>26</v>
      </c>
      <c r="H1003" s="3">
        <v>26</v>
      </c>
      <c r="I1003" s="3">
        <v>26</v>
      </c>
      <c r="J1003" s="23">
        <v>4.1880002021789497</v>
      </c>
      <c r="K1003" s="23">
        <v>4.1880002021789497</v>
      </c>
      <c r="L1003" s="24">
        <v>4.1880002021789497</v>
      </c>
    </row>
    <row r="1004" spans="2:12" ht="15.75" thickBot="1" x14ac:dyDescent="0.3">
      <c r="B1004" s="19">
        <v>45746</v>
      </c>
      <c r="C1004" s="58">
        <v>32</v>
      </c>
      <c r="D1004" s="24">
        <v>4.1880002021789497</v>
      </c>
      <c r="F1004" s="19">
        <v>45746</v>
      </c>
      <c r="G1004" s="58">
        <v>32</v>
      </c>
      <c r="H1004" s="3">
        <v>32</v>
      </c>
      <c r="I1004" s="3">
        <v>32</v>
      </c>
      <c r="J1004" s="23">
        <v>4.1880002021789497</v>
      </c>
      <c r="K1004" s="23">
        <v>4.1880002021789497</v>
      </c>
      <c r="L1004" s="24">
        <v>4.1880002021789497</v>
      </c>
    </row>
    <row r="1005" spans="2:12" ht="15.75" thickBot="1" x14ac:dyDescent="0.3">
      <c r="B1005" s="19" t="s">
        <v>61</v>
      </c>
      <c r="C1005" s="59">
        <v>52.378621378621382</v>
      </c>
      <c r="D1005" s="25">
        <v>4.6190239701952249</v>
      </c>
      <c r="F1005" s="19" t="s">
        <v>61</v>
      </c>
      <c r="G1005" s="59">
        <v>10</v>
      </c>
      <c r="H1005" s="55">
        <v>52.378621378621382</v>
      </c>
      <c r="I1005" s="55">
        <v>94</v>
      </c>
      <c r="J1005" s="31">
        <v>1.62999999523162</v>
      </c>
      <c r="K1005" s="31">
        <v>4.6190239701952249</v>
      </c>
      <c r="L1005" s="25">
        <v>5.34800004959106</v>
      </c>
    </row>
  </sheetData>
  <mergeCells count="2">
    <mergeCell ref="B2:D2"/>
    <mergeCell ref="F2:L2"/>
  </mergeCells>
  <conditionalFormatting pivot="1" sqref="C4:C1004">
    <cfRule type="colorScale" priority="2">
      <colorScale>
        <cfvo type="min"/>
        <cfvo type="percentile" val="50"/>
        <cfvo type="max"/>
        <color rgb="FF63BE7B"/>
        <color rgb="FFFFEB84"/>
        <color rgb="FFF8696B"/>
      </colorScale>
    </cfRule>
  </conditionalFormatting>
  <conditionalFormatting pivot="1" sqref="D4:D1004">
    <cfRule type="colorScale" priority="1">
      <colorScale>
        <cfvo type="min"/>
        <cfvo type="percentile" val="50"/>
        <cfvo type="max"/>
        <color rgb="FF63BE7B"/>
        <color rgb="FFFFEB84"/>
        <color rgb="FFF8696B"/>
      </colorScale>
    </cfRule>
  </conditionalFormatting>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9C270-758E-4590-986D-ED44E262021F}">
  <sheetPr>
    <tabColor theme="3" tint="9.9978637043366805E-2"/>
  </sheetPr>
  <dimension ref="B1:L1005"/>
  <sheetViews>
    <sheetView showGridLines="0" zoomScale="85" zoomScaleNormal="85" workbookViewId="0">
      <selection activeCell="B5" sqref="B2:L5"/>
    </sheetView>
  </sheetViews>
  <sheetFormatPr baseColWidth="10" defaultRowHeight="15" x14ac:dyDescent="0.25"/>
  <cols>
    <col min="1" max="1" width="2.85546875" style="3" customWidth="1"/>
    <col min="2" max="2" width="17.85546875" style="3" bestFit="1" customWidth="1"/>
    <col min="3" max="3" width="22.42578125" style="3" bestFit="1" customWidth="1"/>
    <col min="4" max="4" width="18" style="3" bestFit="1" customWidth="1"/>
    <col min="5" max="5" width="3" style="3" customWidth="1"/>
    <col min="6" max="6" width="17.85546875" style="3" bestFit="1" customWidth="1"/>
    <col min="7" max="7" width="17.42578125" style="3" bestFit="1" customWidth="1"/>
    <col min="8" max="8" width="22.42578125" style="3" bestFit="1" customWidth="1"/>
    <col min="9" max="9" width="17.7109375" style="3" bestFit="1" customWidth="1"/>
    <col min="10" max="10" width="13" style="3" bestFit="1" customWidth="1"/>
    <col min="11" max="11" width="18" style="3" bestFit="1" customWidth="1"/>
    <col min="12" max="12" width="13.28515625" style="3" bestFit="1" customWidth="1"/>
    <col min="13" max="16384" width="11.42578125" style="3"/>
  </cols>
  <sheetData>
    <row r="1" spans="2:12" ht="15.75" thickBot="1" x14ac:dyDescent="0.3"/>
    <row r="2" spans="2:12" ht="15.75" thickBot="1" x14ac:dyDescent="0.3">
      <c r="B2" s="135" t="s">
        <v>75</v>
      </c>
      <c r="C2" s="136"/>
      <c r="D2" s="137"/>
      <c r="F2" s="135" t="s">
        <v>76</v>
      </c>
      <c r="G2" s="136"/>
      <c r="H2" s="136"/>
      <c r="I2" s="136"/>
      <c r="J2" s="136"/>
      <c r="K2" s="136"/>
      <c r="L2" s="137"/>
    </row>
    <row r="3" spans="2:12" ht="15.75" thickBot="1" x14ac:dyDescent="0.3">
      <c r="B3" s="15" t="s">
        <v>60</v>
      </c>
      <c r="C3" s="20" t="s">
        <v>62</v>
      </c>
      <c r="D3" s="21" t="s">
        <v>63</v>
      </c>
      <c r="F3" s="15" t="s">
        <v>60</v>
      </c>
      <c r="G3" s="20" t="s">
        <v>67</v>
      </c>
      <c r="H3" s="30" t="s">
        <v>62</v>
      </c>
      <c r="I3" s="30" t="s">
        <v>69</v>
      </c>
      <c r="J3" s="30" t="s">
        <v>71</v>
      </c>
      <c r="K3" s="30" t="s">
        <v>63</v>
      </c>
      <c r="L3" s="21" t="s">
        <v>72</v>
      </c>
    </row>
    <row r="4" spans="2:12" x14ac:dyDescent="0.25">
      <c r="B4" s="16">
        <v>44746</v>
      </c>
      <c r="C4" s="11">
        <v>20231.259999999998</v>
      </c>
      <c r="D4" s="6">
        <v>14</v>
      </c>
      <c r="F4" s="16">
        <v>44746</v>
      </c>
      <c r="G4" s="11">
        <v>20231.259999999998</v>
      </c>
      <c r="H4" s="22">
        <v>20231.259999999998</v>
      </c>
      <c r="I4" s="22">
        <v>20231.259999999998</v>
      </c>
      <c r="J4" s="5">
        <v>14</v>
      </c>
      <c r="K4" s="5">
        <v>14</v>
      </c>
      <c r="L4" s="6">
        <v>14</v>
      </c>
    </row>
    <row r="5" spans="2:12" x14ac:dyDescent="0.25">
      <c r="B5" s="17">
        <v>44747</v>
      </c>
      <c r="C5" s="13">
        <v>20190.12</v>
      </c>
      <c r="D5" s="54">
        <v>19</v>
      </c>
      <c r="F5" s="17">
        <v>44747</v>
      </c>
      <c r="G5" s="13">
        <v>20190.12</v>
      </c>
      <c r="H5" s="4">
        <v>20190.12</v>
      </c>
      <c r="I5" s="4">
        <v>20190.12</v>
      </c>
      <c r="J5" s="3">
        <v>19</v>
      </c>
      <c r="K5" s="3">
        <v>19</v>
      </c>
      <c r="L5" s="54">
        <v>19</v>
      </c>
    </row>
    <row r="6" spans="2:12" x14ac:dyDescent="0.25">
      <c r="B6" s="17">
        <v>44748</v>
      </c>
      <c r="C6" s="13">
        <v>20548.25</v>
      </c>
      <c r="D6" s="54">
        <v>18</v>
      </c>
      <c r="F6" s="17">
        <v>44748</v>
      </c>
      <c r="G6" s="13">
        <v>20548.25</v>
      </c>
      <c r="H6" s="4">
        <v>20548.25</v>
      </c>
      <c r="I6" s="4">
        <v>20548.25</v>
      </c>
      <c r="J6" s="3">
        <v>18</v>
      </c>
      <c r="K6" s="3">
        <v>18</v>
      </c>
      <c r="L6" s="54">
        <v>18</v>
      </c>
    </row>
    <row r="7" spans="2:12" x14ac:dyDescent="0.25">
      <c r="B7" s="17">
        <v>44749</v>
      </c>
      <c r="C7" s="13">
        <v>21637.59</v>
      </c>
      <c r="D7" s="54">
        <v>18</v>
      </c>
      <c r="F7" s="17">
        <v>44749</v>
      </c>
      <c r="G7" s="13">
        <v>21637.59</v>
      </c>
      <c r="H7" s="4">
        <v>21637.59</v>
      </c>
      <c r="I7" s="4">
        <v>21637.59</v>
      </c>
      <c r="J7" s="3">
        <v>18</v>
      </c>
      <c r="K7" s="3">
        <v>18</v>
      </c>
      <c r="L7" s="54">
        <v>18</v>
      </c>
    </row>
    <row r="8" spans="2:12" x14ac:dyDescent="0.25">
      <c r="B8" s="17">
        <v>44750</v>
      </c>
      <c r="C8" s="13">
        <v>21731.119999999999</v>
      </c>
      <c r="D8" s="54">
        <v>20</v>
      </c>
      <c r="F8" s="17">
        <v>44750</v>
      </c>
      <c r="G8" s="13">
        <v>21731.119999999999</v>
      </c>
      <c r="H8" s="4">
        <v>21731.119999999999</v>
      </c>
      <c r="I8" s="4">
        <v>21731.119999999999</v>
      </c>
      <c r="J8" s="3">
        <v>20</v>
      </c>
      <c r="K8" s="3">
        <v>20</v>
      </c>
      <c r="L8" s="54">
        <v>20</v>
      </c>
    </row>
    <row r="9" spans="2:12" x14ac:dyDescent="0.25">
      <c r="B9" s="17">
        <v>44751</v>
      </c>
      <c r="C9" s="13">
        <v>21592.21</v>
      </c>
      <c r="D9" s="54">
        <v>24</v>
      </c>
      <c r="F9" s="17">
        <v>44751</v>
      </c>
      <c r="G9" s="13">
        <v>21592.21</v>
      </c>
      <c r="H9" s="4">
        <v>21592.21</v>
      </c>
      <c r="I9" s="4">
        <v>21592.21</v>
      </c>
      <c r="J9" s="3">
        <v>24</v>
      </c>
      <c r="K9" s="3">
        <v>24</v>
      </c>
      <c r="L9" s="54">
        <v>24</v>
      </c>
    </row>
    <row r="10" spans="2:12" x14ac:dyDescent="0.25">
      <c r="B10" s="17">
        <v>44752</v>
      </c>
      <c r="C10" s="13">
        <v>20860.45</v>
      </c>
      <c r="D10" s="54">
        <v>24</v>
      </c>
      <c r="F10" s="17">
        <v>44752</v>
      </c>
      <c r="G10" s="13">
        <v>20860.45</v>
      </c>
      <c r="H10" s="4">
        <v>20860.45</v>
      </c>
      <c r="I10" s="4">
        <v>20860.45</v>
      </c>
      <c r="J10" s="3">
        <v>24</v>
      </c>
      <c r="K10" s="3">
        <v>24</v>
      </c>
      <c r="L10" s="54">
        <v>24</v>
      </c>
    </row>
    <row r="11" spans="2:12" x14ac:dyDescent="0.25">
      <c r="B11" s="17">
        <v>44753</v>
      </c>
      <c r="C11" s="13">
        <v>19970.560000000001</v>
      </c>
      <c r="D11" s="54">
        <v>22</v>
      </c>
      <c r="F11" s="17">
        <v>44753</v>
      </c>
      <c r="G11" s="13">
        <v>19970.560000000001</v>
      </c>
      <c r="H11" s="4">
        <v>19970.560000000001</v>
      </c>
      <c r="I11" s="4">
        <v>19970.560000000001</v>
      </c>
      <c r="J11" s="3">
        <v>22</v>
      </c>
      <c r="K11" s="3">
        <v>22</v>
      </c>
      <c r="L11" s="54">
        <v>22</v>
      </c>
    </row>
    <row r="12" spans="2:12" x14ac:dyDescent="0.25">
      <c r="B12" s="17">
        <v>44754</v>
      </c>
      <c r="C12" s="13">
        <v>19323.91</v>
      </c>
      <c r="D12" s="54">
        <v>16</v>
      </c>
      <c r="F12" s="17">
        <v>44754</v>
      </c>
      <c r="G12" s="13">
        <v>19323.91</v>
      </c>
      <c r="H12" s="4">
        <v>19323.91</v>
      </c>
      <c r="I12" s="4">
        <v>19323.91</v>
      </c>
      <c r="J12" s="3">
        <v>16</v>
      </c>
      <c r="K12" s="3">
        <v>16</v>
      </c>
      <c r="L12" s="54">
        <v>16</v>
      </c>
    </row>
    <row r="13" spans="2:12" x14ac:dyDescent="0.25">
      <c r="B13" s="17">
        <v>44755</v>
      </c>
      <c r="C13" s="13">
        <v>20212.07</v>
      </c>
      <c r="D13" s="54">
        <v>15</v>
      </c>
      <c r="F13" s="17">
        <v>44755</v>
      </c>
      <c r="G13" s="13">
        <v>20212.07</v>
      </c>
      <c r="H13" s="4">
        <v>20212.07</v>
      </c>
      <c r="I13" s="4">
        <v>20212.07</v>
      </c>
      <c r="J13" s="3">
        <v>15</v>
      </c>
      <c r="K13" s="3">
        <v>15</v>
      </c>
      <c r="L13" s="54">
        <v>15</v>
      </c>
    </row>
    <row r="14" spans="2:12" x14ac:dyDescent="0.25">
      <c r="B14" s="17">
        <v>44756</v>
      </c>
      <c r="C14" s="13">
        <v>20569.919999999998</v>
      </c>
      <c r="D14" s="54">
        <v>18</v>
      </c>
      <c r="F14" s="17">
        <v>44756</v>
      </c>
      <c r="G14" s="13">
        <v>20569.919999999998</v>
      </c>
      <c r="H14" s="4">
        <v>20569.919999999998</v>
      </c>
      <c r="I14" s="4">
        <v>20569.919999999998</v>
      </c>
      <c r="J14" s="3">
        <v>18</v>
      </c>
      <c r="K14" s="3">
        <v>18</v>
      </c>
      <c r="L14" s="54">
        <v>18</v>
      </c>
    </row>
    <row r="15" spans="2:12" x14ac:dyDescent="0.25">
      <c r="B15" s="17">
        <v>44757</v>
      </c>
      <c r="C15" s="13">
        <v>20836.330000000002</v>
      </c>
      <c r="D15" s="54">
        <v>15</v>
      </c>
      <c r="F15" s="17">
        <v>44757</v>
      </c>
      <c r="G15" s="13">
        <v>20836.330000000002</v>
      </c>
      <c r="H15" s="4">
        <v>20836.330000000002</v>
      </c>
      <c r="I15" s="4">
        <v>20836.330000000002</v>
      </c>
      <c r="J15" s="3">
        <v>15</v>
      </c>
      <c r="K15" s="3">
        <v>15</v>
      </c>
      <c r="L15" s="54">
        <v>15</v>
      </c>
    </row>
    <row r="16" spans="2:12" x14ac:dyDescent="0.25">
      <c r="B16" s="17">
        <v>44758</v>
      </c>
      <c r="C16" s="13">
        <v>21190.32</v>
      </c>
      <c r="D16" s="54">
        <v>21</v>
      </c>
      <c r="F16" s="17">
        <v>44758</v>
      </c>
      <c r="G16" s="13">
        <v>21190.32</v>
      </c>
      <c r="H16" s="4">
        <v>21190.32</v>
      </c>
      <c r="I16" s="4">
        <v>21190.32</v>
      </c>
      <c r="J16" s="3">
        <v>21</v>
      </c>
      <c r="K16" s="3">
        <v>21</v>
      </c>
      <c r="L16" s="54">
        <v>21</v>
      </c>
    </row>
    <row r="17" spans="2:12" x14ac:dyDescent="0.25">
      <c r="B17" s="17">
        <v>44759</v>
      </c>
      <c r="C17" s="13">
        <v>20779.34</v>
      </c>
      <c r="D17" s="54">
        <v>24</v>
      </c>
      <c r="F17" s="17">
        <v>44759</v>
      </c>
      <c r="G17" s="13">
        <v>20779.34</v>
      </c>
      <c r="H17" s="4">
        <v>20779.34</v>
      </c>
      <c r="I17" s="4">
        <v>20779.34</v>
      </c>
      <c r="J17" s="3">
        <v>24</v>
      </c>
      <c r="K17" s="3">
        <v>24</v>
      </c>
      <c r="L17" s="54">
        <v>24</v>
      </c>
    </row>
    <row r="18" spans="2:12" x14ac:dyDescent="0.25">
      <c r="B18" s="17">
        <v>44760</v>
      </c>
      <c r="C18" s="13">
        <v>22485.69</v>
      </c>
      <c r="D18" s="54">
        <v>20</v>
      </c>
      <c r="F18" s="17">
        <v>44760</v>
      </c>
      <c r="G18" s="13">
        <v>22485.69</v>
      </c>
      <c r="H18" s="4">
        <v>22485.69</v>
      </c>
      <c r="I18" s="4">
        <v>22485.69</v>
      </c>
      <c r="J18" s="3">
        <v>20</v>
      </c>
      <c r="K18" s="3">
        <v>20</v>
      </c>
      <c r="L18" s="54">
        <v>20</v>
      </c>
    </row>
    <row r="19" spans="2:12" x14ac:dyDescent="0.25">
      <c r="B19" s="17">
        <v>44761</v>
      </c>
      <c r="C19" s="13">
        <v>23389.43</v>
      </c>
      <c r="D19" s="54">
        <v>30</v>
      </c>
      <c r="F19" s="17">
        <v>44761</v>
      </c>
      <c r="G19" s="13">
        <v>23389.43</v>
      </c>
      <c r="H19" s="4">
        <v>23389.43</v>
      </c>
      <c r="I19" s="4">
        <v>23389.43</v>
      </c>
      <c r="J19" s="3">
        <v>30</v>
      </c>
      <c r="K19" s="3">
        <v>30</v>
      </c>
      <c r="L19" s="54">
        <v>30</v>
      </c>
    </row>
    <row r="20" spans="2:12" x14ac:dyDescent="0.25">
      <c r="B20" s="17">
        <v>44762</v>
      </c>
      <c r="C20" s="13">
        <v>23231.73</v>
      </c>
      <c r="D20" s="54">
        <v>31</v>
      </c>
      <c r="F20" s="17">
        <v>44762</v>
      </c>
      <c r="G20" s="13">
        <v>23231.73</v>
      </c>
      <c r="H20" s="4">
        <v>23231.73</v>
      </c>
      <c r="I20" s="4">
        <v>23231.73</v>
      </c>
      <c r="J20" s="3">
        <v>31</v>
      </c>
      <c r="K20" s="3">
        <v>31</v>
      </c>
      <c r="L20" s="54">
        <v>31</v>
      </c>
    </row>
    <row r="21" spans="2:12" x14ac:dyDescent="0.25">
      <c r="B21" s="17">
        <v>44763</v>
      </c>
      <c r="C21" s="13">
        <v>23164.63</v>
      </c>
      <c r="D21" s="54">
        <v>34</v>
      </c>
      <c r="F21" s="17">
        <v>44763</v>
      </c>
      <c r="G21" s="13">
        <v>23164.63</v>
      </c>
      <c r="H21" s="4">
        <v>23164.63</v>
      </c>
      <c r="I21" s="4">
        <v>23164.63</v>
      </c>
      <c r="J21" s="3">
        <v>34</v>
      </c>
      <c r="K21" s="3">
        <v>34</v>
      </c>
      <c r="L21" s="54">
        <v>34</v>
      </c>
    </row>
    <row r="22" spans="2:12" x14ac:dyDescent="0.25">
      <c r="B22" s="17">
        <v>44764</v>
      </c>
      <c r="C22" s="13">
        <v>22714.98</v>
      </c>
      <c r="D22" s="54">
        <v>33</v>
      </c>
      <c r="F22" s="17">
        <v>44764</v>
      </c>
      <c r="G22" s="13">
        <v>22714.98</v>
      </c>
      <c r="H22" s="4">
        <v>22714.98</v>
      </c>
      <c r="I22" s="4">
        <v>22714.98</v>
      </c>
      <c r="J22" s="3">
        <v>33</v>
      </c>
      <c r="K22" s="3">
        <v>33</v>
      </c>
      <c r="L22" s="54">
        <v>33</v>
      </c>
    </row>
    <row r="23" spans="2:12" x14ac:dyDescent="0.25">
      <c r="B23" s="17">
        <v>44765</v>
      </c>
      <c r="C23" s="13">
        <v>22465.48</v>
      </c>
      <c r="D23" s="54">
        <v>31</v>
      </c>
      <c r="F23" s="17">
        <v>44765</v>
      </c>
      <c r="G23" s="13">
        <v>22465.48</v>
      </c>
      <c r="H23" s="4">
        <v>22465.48</v>
      </c>
      <c r="I23" s="4">
        <v>22465.48</v>
      </c>
      <c r="J23" s="3">
        <v>31</v>
      </c>
      <c r="K23" s="3">
        <v>31</v>
      </c>
      <c r="L23" s="54">
        <v>31</v>
      </c>
    </row>
    <row r="24" spans="2:12" x14ac:dyDescent="0.25">
      <c r="B24" s="17">
        <v>44766</v>
      </c>
      <c r="C24" s="13">
        <v>22609.16</v>
      </c>
      <c r="D24" s="54">
        <v>30</v>
      </c>
      <c r="F24" s="17">
        <v>44766</v>
      </c>
      <c r="G24" s="13">
        <v>22609.16</v>
      </c>
      <c r="H24" s="4">
        <v>22609.16</v>
      </c>
      <c r="I24" s="4">
        <v>22609.16</v>
      </c>
      <c r="J24" s="3">
        <v>30</v>
      </c>
      <c r="K24" s="3">
        <v>30</v>
      </c>
      <c r="L24" s="54">
        <v>30</v>
      </c>
    </row>
    <row r="25" spans="2:12" x14ac:dyDescent="0.25">
      <c r="B25" s="17">
        <v>44767</v>
      </c>
      <c r="C25" s="13">
        <v>21361.7</v>
      </c>
      <c r="D25" s="54">
        <v>30</v>
      </c>
      <c r="F25" s="17">
        <v>44767</v>
      </c>
      <c r="G25" s="13">
        <v>21361.7</v>
      </c>
      <c r="H25" s="4">
        <v>21361.7</v>
      </c>
      <c r="I25" s="4">
        <v>21361.7</v>
      </c>
      <c r="J25" s="3">
        <v>30</v>
      </c>
      <c r="K25" s="3">
        <v>30</v>
      </c>
      <c r="L25" s="54">
        <v>30</v>
      </c>
    </row>
    <row r="26" spans="2:12" x14ac:dyDescent="0.25">
      <c r="B26" s="17">
        <v>44768</v>
      </c>
      <c r="C26" s="13">
        <v>21239.75</v>
      </c>
      <c r="D26" s="54">
        <v>26</v>
      </c>
      <c r="F26" s="17">
        <v>44768</v>
      </c>
      <c r="G26" s="13">
        <v>21239.75</v>
      </c>
      <c r="H26" s="4">
        <v>21239.75</v>
      </c>
      <c r="I26" s="4">
        <v>21239.75</v>
      </c>
      <c r="J26" s="3">
        <v>26</v>
      </c>
      <c r="K26" s="3">
        <v>26</v>
      </c>
      <c r="L26" s="54">
        <v>26</v>
      </c>
    </row>
    <row r="27" spans="2:12" x14ac:dyDescent="0.25">
      <c r="B27" s="17">
        <v>44769</v>
      </c>
      <c r="C27" s="13">
        <v>22930.55</v>
      </c>
      <c r="D27" s="54">
        <v>28</v>
      </c>
      <c r="F27" s="17">
        <v>44769</v>
      </c>
      <c r="G27" s="13">
        <v>22930.55</v>
      </c>
      <c r="H27" s="4">
        <v>22930.55</v>
      </c>
      <c r="I27" s="4">
        <v>22930.55</v>
      </c>
      <c r="J27" s="3">
        <v>28</v>
      </c>
      <c r="K27" s="3">
        <v>28</v>
      </c>
      <c r="L27" s="54">
        <v>28</v>
      </c>
    </row>
    <row r="28" spans="2:12" x14ac:dyDescent="0.25">
      <c r="B28" s="17">
        <v>44770</v>
      </c>
      <c r="C28" s="13">
        <v>23843.89</v>
      </c>
      <c r="D28" s="54">
        <v>32</v>
      </c>
      <c r="F28" s="17">
        <v>44770</v>
      </c>
      <c r="G28" s="13">
        <v>23843.89</v>
      </c>
      <c r="H28" s="4">
        <v>23843.89</v>
      </c>
      <c r="I28" s="4">
        <v>23843.89</v>
      </c>
      <c r="J28" s="3">
        <v>32</v>
      </c>
      <c r="K28" s="3">
        <v>32</v>
      </c>
      <c r="L28" s="54">
        <v>32</v>
      </c>
    </row>
    <row r="29" spans="2:12" x14ac:dyDescent="0.25">
      <c r="B29" s="17">
        <v>44771</v>
      </c>
      <c r="C29" s="13">
        <v>23804.63</v>
      </c>
      <c r="D29" s="54">
        <v>39</v>
      </c>
      <c r="F29" s="17">
        <v>44771</v>
      </c>
      <c r="G29" s="13">
        <v>23804.63</v>
      </c>
      <c r="H29" s="4">
        <v>23804.63</v>
      </c>
      <c r="I29" s="4">
        <v>23804.63</v>
      </c>
      <c r="J29" s="3">
        <v>39</v>
      </c>
      <c r="K29" s="3">
        <v>39</v>
      </c>
      <c r="L29" s="54">
        <v>39</v>
      </c>
    </row>
    <row r="30" spans="2:12" x14ac:dyDescent="0.25">
      <c r="B30" s="17">
        <v>44772</v>
      </c>
      <c r="C30" s="13">
        <v>23656.21</v>
      </c>
      <c r="D30" s="54">
        <v>42</v>
      </c>
      <c r="F30" s="17">
        <v>44772</v>
      </c>
      <c r="G30" s="13">
        <v>23656.21</v>
      </c>
      <c r="H30" s="4">
        <v>23656.21</v>
      </c>
      <c r="I30" s="4">
        <v>23656.21</v>
      </c>
      <c r="J30" s="3">
        <v>42</v>
      </c>
      <c r="K30" s="3">
        <v>42</v>
      </c>
      <c r="L30" s="54">
        <v>42</v>
      </c>
    </row>
    <row r="31" spans="2:12" x14ac:dyDescent="0.25">
      <c r="B31" s="17">
        <v>44773</v>
      </c>
      <c r="C31" s="13">
        <v>23336.9</v>
      </c>
      <c r="D31" s="54">
        <v>39</v>
      </c>
      <c r="F31" s="17">
        <v>44773</v>
      </c>
      <c r="G31" s="13">
        <v>23336.9</v>
      </c>
      <c r="H31" s="4">
        <v>23336.9</v>
      </c>
      <c r="I31" s="4">
        <v>23336.9</v>
      </c>
      <c r="J31" s="3">
        <v>39</v>
      </c>
      <c r="K31" s="3">
        <v>39</v>
      </c>
      <c r="L31" s="54">
        <v>39</v>
      </c>
    </row>
    <row r="32" spans="2:12" x14ac:dyDescent="0.25">
      <c r="B32" s="17">
        <v>44774</v>
      </c>
      <c r="C32" s="13">
        <v>23314.2</v>
      </c>
      <c r="D32" s="54">
        <v>33</v>
      </c>
      <c r="F32" s="17">
        <v>44774</v>
      </c>
      <c r="G32" s="13">
        <v>23314.2</v>
      </c>
      <c r="H32" s="4">
        <v>23314.2</v>
      </c>
      <c r="I32" s="4">
        <v>23314.2</v>
      </c>
      <c r="J32" s="3">
        <v>33</v>
      </c>
      <c r="K32" s="3">
        <v>33</v>
      </c>
      <c r="L32" s="54">
        <v>33</v>
      </c>
    </row>
    <row r="33" spans="2:12" x14ac:dyDescent="0.25">
      <c r="B33" s="17">
        <v>44775</v>
      </c>
      <c r="C33" s="13">
        <v>22978.12</v>
      </c>
      <c r="D33" s="54">
        <v>31</v>
      </c>
      <c r="F33" s="17">
        <v>44775</v>
      </c>
      <c r="G33" s="13">
        <v>22978.12</v>
      </c>
      <c r="H33" s="4">
        <v>22978.12</v>
      </c>
      <c r="I33" s="4">
        <v>22978.12</v>
      </c>
      <c r="J33" s="3">
        <v>31</v>
      </c>
      <c r="K33" s="3">
        <v>31</v>
      </c>
      <c r="L33" s="54">
        <v>31</v>
      </c>
    </row>
    <row r="34" spans="2:12" x14ac:dyDescent="0.25">
      <c r="B34" s="17">
        <v>44776</v>
      </c>
      <c r="C34" s="13">
        <v>22846.51</v>
      </c>
      <c r="D34" s="54">
        <v>34</v>
      </c>
      <c r="F34" s="17">
        <v>44776</v>
      </c>
      <c r="G34" s="13">
        <v>22846.51</v>
      </c>
      <c r="H34" s="4">
        <v>22846.51</v>
      </c>
      <c r="I34" s="4">
        <v>22846.51</v>
      </c>
      <c r="J34" s="3">
        <v>34</v>
      </c>
      <c r="K34" s="3">
        <v>34</v>
      </c>
      <c r="L34" s="54">
        <v>34</v>
      </c>
    </row>
    <row r="35" spans="2:12" x14ac:dyDescent="0.25">
      <c r="B35" s="17">
        <v>44777</v>
      </c>
      <c r="C35" s="13">
        <v>22630.959999999999</v>
      </c>
      <c r="D35" s="54">
        <v>30</v>
      </c>
      <c r="F35" s="17">
        <v>44777</v>
      </c>
      <c r="G35" s="13">
        <v>22630.959999999999</v>
      </c>
      <c r="H35" s="4">
        <v>22630.959999999999</v>
      </c>
      <c r="I35" s="4">
        <v>22630.959999999999</v>
      </c>
      <c r="J35" s="3">
        <v>30</v>
      </c>
      <c r="K35" s="3">
        <v>30</v>
      </c>
      <c r="L35" s="54">
        <v>30</v>
      </c>
    </row>
    <row r="36" spans="2:12" x14ac:dyDescent="0.25">
      <c r="B36" s="17">
        <v>44778</v>
      </c>
      <c r="C36" s="13">
        <v>23289.31</v>
      </c>
      <c r="D36" s="54">
        <v>31</v>
      </c>
      <c r="F36" s="17">
        <v>44778</v>
      </c>
      <c r="G36" s="13">
        <v>23289.31</v>
      </c>
      <c r="H36" s="4">
        <v>23289.31</v>
      </c>
      <c r="I36" s="4">
        <v>23289.31</v>
      </c>
      <c r="J36" s="3">
        <v>31</v>
      </c>
      <c r="K36" s="3">
        <v>31</v>
      </c>
      <c r="L36" s="54">
        <v>31</v>
      </c>
    </row>
    <row r="37" spans="2:12" x14ac:dyDescent="0.25">
      <c r="B37" s="17">
        <v>44779</v>
      </c>
      <c r="C37" s="13">
        <v>22961.279999999999</v>
      </c>
      <c r="D37" s="54">
        <v>31</v>
      </c>
      <c r="F37" s="17">
        <v>44779</v>
      </c>
      <c r="G37" s="13">
        <v>22961.279999999999</v>
      </c>
      <c r="H37" s="4">
        <v>22961.279999999999</v>
      </c>
      <c r="I37" s="4">
        <v>22961.279999999999</v>
      </c>
      <c r="J37" s="3">
        <v>31</v>
      </c>
      <c r="K37" s="3">
        <v>31</v>
      </c>
      <c r="L37" s="54">
        <v>31</v>
      </c>
    </row>
    <row r="38" spans="2:12" x14ac:dyDescent="0.25">
      <c r="B38" s="17">
        <v>44780</v>
      </c>
      <c r="C38" s="13">
        <v>23175.89</v>
      </c>
      <c r="D38" s="54">
        <v>30</v>
      </c>
      <c r="F38" s="17">
        <v>44780</v>
      </c>
      <c r="G38" s="13">
        <v>23175.89</v>
      </c>
      <c r="H38" s="4">
        <v>23175.89</v>
      </c>
      <c r="I38" s="4">
        <v>23175.89</v>
      </c>
      <c r="J38" s="3">
        <v>30</v>
      </c>
      <c r="K38" s="3">
        <v>30</v>
      </c>
      <c r="L38" s="54">
        <v>30</v>
      </c>
    </row>
    <row r="39" spans="2:12" x14ac:dyDescent="0.25">
      <c r="B39" s="17">
        <v>44781</v>
      </c>
      <c r="C39" s="13">
        <v>23809.49</v>
      </c>
      <c r="D39" s="54">
        <v>30</v>
      </c>
      <c r="F39" s="17">
        <v>44781</v>
      </c>
      <c r="G39" s="13">
        <v>23809.49</v>
      </c>
      <c r="H39" s="4">
        <v>23809.49</v>
      </c>
      <c r="I39" s="4">
        <v>23809.49</v>
      </c>
      <c r="J39" s="3">
        <v>30</v>
      </c>
      <c r="K39" s="3">
        <v>30</v>
      </c>
      <c r="L39" s="54">
        <v>30</v>
      </c>
    </row>
    <row r="40" spans="2:12" x14ac:dyDescent="0.25">
      <c r="B40" s="17">
        <v>44782</v>
      </c>
      <c r="C40" s="13">
        <v>23164.32</v>
      </c>
      <c r="D40" s="54">
        <v>42</v>
      </c>
      <c r="F40" s="17">
        <v>44782</v>
      </c>
      <c r="G40" s="13">
        <v>23164.32</v>
      </c>
      <c r="H40" s="4">
        <v>23164.32</v>
      </c>
      <c r="I40" s="4">
        <v>23164.32</v>
      </c>
      <c r="J40" s="3">
        <v>42</v>
      </c>
      <c r="K40" s="3">
        <v>42</v>
      </c>
      <c r="L40" s="54">
        <v>42</v>
      </c>
    </row>
    <row r="41" spans="2:12" x14ac:dyDescent="0.25">
      <c r="B41" s="17">
        <v>44783</v>
      </c>
      <c r="C41" s="13">
        <v>23947.64</v>
      </c>
      <c r="D41" s="54">
        <v>31</v>
      </c>
      <c r="F41" s="17">
        <v>44783</v>
      </c>
      <c r="G41" s="13">
        <v>23947.64</v>
      </c>
      <c r="H41" s="4">
        <v>23947.64</v>
      </c>
      <c r="I41" s="4">
        <v>23947.64</v>
      </c>
      <c r="J41" s="3">
        <v>31</v>
      </c>
      <c r="K41" s="3">
        <v>31</v>
      </c>
      <c r="L41" s="54">
        <v>31</v>
      </c>
    </row>
    <row r="42" spans="2:12" x14ac:dyDescent="0.25">
      <c r="B42" s="17">
        <v>44784</v>
      </c>
      <c r="C42" s="13">
        <v>23957.53</v>
      </c>
      <c r="D42" s="54">
        <v>41</v>
      </c>
      <c r="F42" s="17">
        <v>44784</v>
      </c>
      <c r="G42" s="13">
        <v>23957.53</v>
      </c>
      <c r="H42" s="4">
        <v>23957.53</v>
      </c>
      <c r="I42" s="4">
        <v>23957.53</v>
      </c>
      <c r="J42" s="3">
        <v>41</v>
      </c>
      <c r="K42" s="3">
        <v>41</v>
      </c>
      <c r="L42" s="54">
        <v>41</v>
      </c>
    </row>
    <row r="43" spans="2:12" x14ac:dyDescent="0.25">
      <c r="B43" s="17">
        <v>44785</v>
      </c>
      <c r="C43" s="13">
        <v>24402.82</v>
      </c>
      <c r="D43" s="54">
        <v>42</v>
      </c>
      <c r="F43" s="17">
        <v>44785</v>
      </c>
      <c r="G43" s="13">
        <v>24402.82</v>
      </c>
      <c r="H43" s="4">
        <v>24402.82</v>
      </c>
      <c r="I43" s="4">
        <v>24402.82</v>
      </c>
      <c r="J43" s="3">
        <v>42</v>
      </c>
      <c r="K43" s="3">
        <v>42</v>
      </c>
      <c r="L43" s="54">
        <v>42</v>
      </c>
    </row>
    <row r="44" spans="2:12" x14ac:dyDescent="0.25">
      <c r="B44" s="17">
        <v>44786</v>
      </c>
      <c r="C44" s="13">
        <v>24424.07</v>
      </c>
      <c r="D44" s="54">
        <v>46</v>
      </c>
      <c r="F44" s="17">
        <v>44786</v>
      </c>
      <c r="G44" s="13">
        <v>24424.07</v>
      </c>
      <c r="H44" s="4">
        <v>24424.07</v>
      </c>
      <c r="I44" s="4">
        <v>24424.07</v>
      </c>
      <c r="J44" s="3">
        <v>46</v>
      </c>
      <c r="K44" s="3">
        <v>46</v>
      </c>
      <c r="L44" s="54">
        <v>46</v>
      </c>
    </row>
    <row r="45" spans="2:12" x14ac:dyDescent="0.25">
      <c r="B45" s="17">
        <v>44787</v>
      </c>
      <c r="C45" s="13">
        <v>24319.33</v>
      </c>
      <c r="D45" s="54">
        <v>47</v>
      </c>
      <c r="F45" s="17">
        <v>44787</v>
      </c>
      <c r="G45" s="13">
        <v>24319.33</v>
      </c>
      <c r="H45" s="4">
        <v>24319.33</v>
      </c>
      <c r="I45" s="4">
        <v>24319.33</v>
      </c>
      <c r="J45" s="3">
        <v>47</v>
      </c>
      <c r="K45" s="3">
        <v>47</v>
      </c>
      <c r="L45" s="54">
        <v>47</v>
      </c>
    </row>
    <row r="46" spans="2:12" x14ac:dyDescent="0.25">
      <c r="B46" s="17">
        <v>44788</v>
      </c>
      <c r="C46" s="13">
        <v>24136.97</v>
      </c>
      <c r="D46" s="54">
        <v>45</v>
      </c>
      <c r="F46" s="17">
        <v>44788</v>
      </c>
      <c r="G46" s="13">
        <v>24136.97</v>
      </c>
      <c r="H46" s="4">
        <v>24136.97</v>
      </c>
      <c r="I46" s="4">
        <v>24136.97</v>
      </c>
      <c r="J46" s="3">
        <v>45</v>
      </c>
      <c r="K46" s="3">
        <v>45</v>
      </c>
      <c r="L46" s="54">
        <v>45</v>
      </c>
    </row>
    <row r="47" spans="2:12" x14ac:dyDescent="0.25">
      <c r="B47" s="17">
        <v>44789</v>
      </c>
      <c r="C47" s="13">
        <v>23883.29</v>
      </c>
      <c r="D47" s="54">
        <v>44</v>
      </c>
      <c r="F47" s="17">
        <v>44789</v>
      </c>
      <c r="G47" s="13">
        <v>23883.29</v>
      </c>
      <c r="H47" s="4">
        <v>23883.29</v>
      </c>
      <c r="I47" s="4">
        <v>23883.29</v>
      </c>
      <c r="J47" s="3">
        <v>44</v>
      </c>
      <c r="K47" s="3">
        <v>44</v>
      </c>
      <c r="L47" s="54">
        <v>44</v>
      </c>
    </row>
    <row r="48" spans="2:12" x14ac:dyDescent="0.25">
      <c r="B48" s="17">
        <v>44790</v>
      </c>
      <c r="C48" s="13">
        <v>23336</v>
      </c>
      <c r="D48" s="54">
        <v>41</v>
      </c>
      <c r="F48" s="17">
        <v>44790</v>
      </c>
      <c r="G48" s="13">
        <v>23336</v>
      </c>
      <c r="H48" s="4">
        <v>23336</v>
      </c>
      <c r="I48" s="4">
        <v>23336</v>
      </c>
      <c r="J48" s="3">
        <v>41</v>
      </c>
      <c r="K48" s="3">
        <v>41</v>
      </c>
      <c r="L48" s="54">
        <v>41</v>
      </c>
    </row>
    <row r="49" spans="2:12" x14ac:dyDescent="0.25">
      <c r="B49" s="17">
        <v>44791</v>
      </c>
      <c r="C49" s="13">
        <v>23212.74</v>
      </c>
      <c r="D49" s="54">
        <v>30</v>
      </c>
      <c r="F49" s="17">
        <v>44791</v>
      </c>
      <c r="G49" s="13">
        <v>23212.74</v>
      </c>
      <c r="H49" s="4">
        <v>23212.74</v>
      </c>
      <c r="I49" s="4">
        <v>23212.74</v>
      </c>
      <c r="J49" s="3">
        <v>30</v>
      </c>
      <c r="K49" s="3">
        <v>30</v>
      </c>
      <c r="L49" s="54">
        <v>30</v>
      </c>
    </row>
    <row r="50" spans="2:12" x14ac:dyDescent="0.25">
      <c r="B50" s="17">
        <v>44792</v>
      </c>
      <c r="C50" s="13">
        <v>20877.55</v>
      </c>
      <c r="D50" s="54">
        <v>33</v>
      </c>
      <c r="F50" s="17">
        <v>44792</v>
      </c>
      <c r="G50" s="13">
        <v>20877.55</v>
      </c>
      <c r="H50" s="4">
        <v>20877.55</v>
      </c>
      <c r="I50" s="4">
        <v>20877.55</v>
      </c>
      <c r="J50" s="3">
        <v>33</v>
      </c>
      <c r="K50" s="3">
        <v>33</v>
      </c>
      <c r="L50" s="54">
        <v>33</v>
      </c>
    </row>
    <row r="51" spans="2:12" x14ac:dyDescent="0.25">
      <c r="B51" s="17">
        <v>44793</v>
      </c>
      <c r="C51" s="13">
        <v>21166.06</v>
      </c>
      <c r="D51" s="54">
        <v>29</v>
      </c>
      <c r="F51" s="17">
        <v>44793</v>
      </c>
      <c r="G51" s="13">
        <v>21166.06</v>
      </c>
      <c r="H51" s="4">
        <v>21166.06</v>
      </c>
      <c r="I51" s="4">
        <v>21166.06</v>
      </c>
      <c r="J51" s="3">
        <v>29</v>
      </c>
      <c r="K51" s="3">
        <v>29</v>
      </c>
      <c r="L51" s="54">
        <v>29</v>
      </c>
    </row>
    <row r="52" spans="2:12" x14ac:dyDescent="0.25">
      <c r="B52" s="17">
        <v>44794</v>
      </c>
      <c r="C52" s="13">
        <v>21534.12</v>
      </c>
      <c r="D52" s="54">
        <v>27</v>
      </c>
      <c r="F52" s="17">
        <v>44794</v>
      </c>
      <c r="G52" s="13">
        <v>21534.12</v>
      </c>
      <c r="H52" s="4">
        <v>21534.12</v>
      </c>
      <c r="I52" s="4">
        <v>21534.12</v>
      </c>
      <c r="J52" s="3">
        <v>27</v>
      </c>
      <c r="K52" s="3">
        <v>27</v>
      </c>
      <c r="L52" s="54">
        <v>27</v>
      </c>
    </row>
    <row r="53" spans="2:12" ht="15.75" thickBot="1" x14ac:dyDescent="0.3">
      <c r="B53" s="18">
        <v>44795</v>
      </c>
      <c r="C53" s="13">
        <v>21398.91</v>
      </c>
      <c r="D53" s="54">
        <v>29</v>
      </c>
      <c r="F53" s="18">
        <v>44795</v>
      </c>
      <c r="G53" s="13">
        <v>21398.91</v>
      </c>
      <c r="H53" s="4">
        <v>21398.91</v>
      </c>
      <c r="I53" s="4">
        <v>21398.91</v>
      </c>
      <c r="J53" s="3">
        <v>29</v>
      </c>
      <c r="K53" s="3">
        <v>29</v>
      </c>
      <c r="L53" s="54">
        <v>29</v>
      </c>
    </row>
    <row r="54" spans="2:12" x14ac:dyDescent="0.25">
      <c r="B54" s="16">
        <v>44796</v>
      </c>
      <c r="C54" s="13">
        <v>21528.09</v>
      </c>
      <c r="D54" s="54">
        <v>28</v>
      </c>
      <c r="F54" s="16">
        <v>44796</v>
      </c>
      <c r="G54" s="13">
        <v>21528.09</v>
      </c>
      <c r="H54" s="4">
        <v>21528.09</v>
      </c>
      <c r="I54" s="4">
        <v>21528.09</v>
      </c>
      <c r="J54" s="3">
        <v>28</v>
      </c>
      <c r="K54" s="3">
        <v>28</v>
      </c>
      <c r="L54" s="54">
        <v>28</v>
      </c>
    </row>
    <row r="55" spans="2:12" x14ac:dyDescent="0.25">
      <c r="B55" s="17">
        <v>44797</v>
      </c>
      <c r="C55" s="13">
        <v>21395.02</v>
      </c>
      <c r="D55" s="54">
        <v>25</v>
      </c>
      <c r="F55" s="17">
        <v>44797</v>
      </c>
      <c r="G55" s="13">
        <v>21395.02</v>
      </c>
      <c r="H55" s="4">
        <v>21395.02</v>
      </c>
      <c r="I55" s="4">
        <v>21395.02</v>
      </c>
      <c r="J55" s="3">
        <v>25</v>
      </c>
      <c r="K55" s="3">
        <v>25</v>
      </c>
      <c r="L55" s="54">
        <v>25</v>
      </c>
    </row>
    <row r="56" spans="2:12" x14ac:dyDescent="0.25">
      <c r="B56" s="17">
        <v>44798</v>
      </c>
      <c r="C56" s="13">
        <v>21600.9</v>
      </c>
      <c r="D56" s="54">
        <v>25</v>
      </c>
      <c r="F56" s="17">
        <v>44798</v>
      </c>
      <c r="G56" s="13">
        <v>21600.9</v>
      </c>
      <c r="H56" s="4">
        <v>21600.9</v>
      </c>
      <c r="I56" s="4">
        <v>21600.9</v>
      </c>
      <c r="J56" s="3">
        <v>25</v>
      </c>
      <c r="K56" s="3">
        <v>25</v>
      </c>
      <c r="L56" s="54">
        <v>25</v>
      </c>
    </row>
    <row r="57" spans="2:12" x14ac:dyDescent="0.25">
      <c r="B57" s="17">
        <v>44799</v>
      </c>
      <c r="C57" s="13">
        <v>20260.02</v>
      </c>
      <c r="D57" s="54">
        <v>27</v>
      </c>
      <c r="F57" s="17">
        <v>44799</v>
      </c>
      <c r="G57" s="13">
        <v>20260.02</v>
      </c>
      <c r="H57" s="4">
        <v>20260.02</v>
      </c>
      <c r="I57" s="4">
        <v>20260.02</v>
      </c>
      <c r="J57" s="3">
        <v>27</v>
      </c>
      <c r="K57" s="3">
        <v>27</v>
      </c>
      <c r="L57" s="54">
        <v>27</v>
      </c>
    </row>
    <row r="58" spans="2:12" x14ac:dyDescent="0.25">
      <c r="B58" s="17">
        <v>44800</v>
      </c>
      <c r="C58" s="13">
        <v>20041.740000000002</v>
      </c>
      <c r="D58" s="54">
        <v>28</v>
      </c>
      <c r="F58" s="17">
        <v>44800</v>
      </c>
      <c r="G58" s="13">
        <v>20041.740000000002</v>
      </c>
      <c r="H58" s="4">
        <v>20041.740000000002</v>
      </c>
      <c r="I58" s="4">
        <v>20041.740000000002</v>
      </c>
      <c r="J58" s="3">
        <v>28</v>
      </c>
      <c r="K58" s="3">
        <v>28</v>
      </c>
      <c r="L58" s="54">
        <v>28</v>
      </c>
    </row>
    <row r="59" spans="2:12" x14ac:dyDescent="0.25">
      <c r="B59" s="17">
        <v>44801</v>
      </c>
      <c r="C59" s="13">
        <v>19616.810000000001</v>
      </c>
      <c r="D59" s="54">
        <v>28</v>
      </c>
      <c r="F59" s="17">
        <v>44801</v>
      </c>
      <c r="G59" s="13">
        <v>19616.810000000001</v>
      </c>
      <c r="H59" s="4">
        <v>19616.810000000001</v>
      </c>
      <c r="I59" s="4">
        <v>19616.810000000001</v>
      </c>
      <c r="J59" s="3">
        <v>28</v>
      </c>
      <c r="K59" s="3">
        <v>28</v>
      </c>
      <c r="L59" s="54">
        <v>28</v>
      </c>
    </row>
    <row r="60" spans="2:12" x14ac:dyDescent="0.25">
      <c r="B60" s="17">
        <v>44802</v>
      </c>
      <c r="C60" s="13">
        <v>20297.990000000002</v>
      </c>
      <c r="D60" s="54">
        <v>24</v>
      </c>
      <c r="F60" s="17">
        <v>44802</v>
      </c>
      <c r="G60" s="13">
        <v>20297.990000000002</v>
      </c>
      <c r="H60" s="4">
        <v>20297.990000000002</v>
      </c>
      <c r="I60" s="4">
        <v>20297.990000000002</v>
      </c>
      <c r="J60" s="3">
        <v>24</v>
      </c>
      <c r="K60" s="3">
        <v>24</v>
      </c>
      <c r="L60" s="54">
        <v>24</v>
      </c>
    </row>
    <row r="61" spans="2:12" x14ac:dyDescent="0.25">
      <c r="B61" s="17">
        <v>44803</v>
      </c>
      <c r="C61" s="13">
        <v>19796.810000000001</v>
      </c>
      <c r="D61" s="54">
        <v>27</v>
      </c>
      <c r="F61" s="17">
        <v>44803</v>
      </c>
      <c r="G61" s="13">
        <v>19796.810000000001</v>
      </c>
      <c r="H61" s="4">
        <v>19796.810000000001</v>
      </c>
      <c r="I61" s="4">
        <v>19796.810000000001</v>
      </c>
      <c r="J61" s="3">
        <v>27</v>
      </c>
      <c r="K61" s="3">
        <v>27</v>
      </c>
      <c r="L61" s="54">
        <v>27</v>
      </c>
    </row>
    <row r="62" spans="2:12" x14ac:dyDescent="0.25">
      <c r="B62" s="17">
        <v>44804</v>
      </c>
      <c r="C62" s="13">
        <v>20049.759999999998</v>
      </c>
      <c r="D62" s="54">
        <v>23</v>
      </c>
      <c r="F62" s="17">
        <v>44804</v>
      </c>
      <c r="G62" s="13">
        <v>20049.759999999998</v>
      </c>
      <c r="H62" s="4">
        <v>20049.759999999998</v>
      </c>
      <c r="I62" s="4">
        <v>20049.759999999998</v>
      </c>
      <c r="J62" s="3">
        <v>23</v>
      </c>
      <c r="K62" s="3">
        <v>23</v>
      </c>
      <c r="L62" s="54">
        <v>23</v>
      </c>
    </row>
    <row r="63" spans="2:12" x14ac:dyDescent="0.25">
      <c r="B63" s="17">
        <v>44805</v>
      </c>
      <c r="C63" s="13">
        <v>20127.14</v>
      </c>
      <c r="D63" s="54">
        <v>20</v>
      </c>
      <c r="F63" s="17">
        <v>44805</v>
      </c>
      <c r="G63" s="13">
        <v>20127.14</v>
      </c>
      <c r="H63" s="4">
        <v>20127.14</v>
      </c>
      <c r="I63" s="4">
        <v>20127.14</v>
      </c>
      <c r="J63" s="3">
        <v>20</v>
      </c>
      <c r="K63" s="3">
        <v>20</v>
      </c>
      <c r="L63" s="54">
        <v>20</v>
      </c>
    </row>
    <row r="64" spans="2:12" x14ac:dyDescent="0.25">
      <c r="B64" s="17">
        <v>44806</v>
      </c>
      <c r="C64" s="13">
        <v>19969.77</v>
      </c>
      <c r="D64" s="54">
        <v>25</v>
      </c>
      <c r="F64" s="17">
        <v>44806</v>
      </c>
      <c r="G64" s="13">
        <v>19969.77</v>
      </c>
      <c r="H64" s="4">
        <v>19969.77</v>
      </c>
      <c r="I64" s="4">
        <v>19969.77</v>
      </c>
      <c r="J64" s="3">
        <v>25</v>
      </c>
      <c r="K64" s="3">
        <v>25</v>
      </c>
      <c r="L64" s="54">
        <v>25</v>
      </c>
    </row>
    <row r="65" spans="2:12" x14ac:dyDescent="0.25">
      <c r="B65" s="17">
        <v>44807</v>
      </c>
      <c r="C65" s="13">
        <v>19832.09</v>
      </c>
      <c r="D65" s="54">
        <v>21</v>
      </c>
      <c r="F65" s="17">
        <v>44807</v>
      </c>
      <c r="G65" s="13">
        <v>19832.09</v>
      </c>
      <c r="H65" s="4">
        <v>19832.09</v>
      </c>
      <c r="I65" s="4">
        <v>19832.09</v>
      </c>
      <c r="J65" s="3">
        <v>21</v>
      </c>
      <c r="K65" s="3">
        <v>21</v>
      </c>
      <c r="L65" s="54">
        <v>21</v>
      </c>
    </row>
    <row r="66" spans="2:12" x14ac:dyDescent="0.25">
      <c r="B66" s="17">
        <v>44808</v>
      </c>
      <c r="C66" s="13">
        <v>19986.71</v>
      </c>
      <c r="D66" s="54">
        <v>20</v>
      </c>
      <c r="F66" s="17">
        <v>44808</v>
      </c>
      <c r="G66" s="13">
        <v>19986.71</v>
      </c>
      <c r="H66" s="4">
        <v>19986.71</v>
      </c>
      <c r="I66" s="4">
        <v>19986.71</v>
      </c>
      <c r="J66" s="3">
        <v>20</v>
      </c>
      <c r="K66" s="3">
        <v>20</v>
      </c>
      <c r="L66" s="54">
        <v>20</v>
      </c>
    </row>
    <row r="67" spans="2:12" x14ac:dyDescent="0.25">
      <c r="B67" s="17">
        <v>44809</v>
      </c>
      <c r="C67" s="13">
        <v>19812.37</v>
      </c>
      <c r="D67" s="54">
        <v>23</v>
      </c>
      <c r="F67" s="17">
        <v>44809</v>
      </c>
      <c r="G67" s="13">
        <v>19812.37</v>
      </c>
      <c r="H67" s="4">
        <v>19812.37</v>
      </c>
      <c r="I67" s="4">
        <v>19812.37</v>
      </c>
      <c r="J67" s="3">
        <v>23</v>
      </c>
      <c r="K67" s="3">
        <v>23</v>
      </c>
      <c r="L67" s="54">
        <v>23</v>
      </c>
    </row>
    <row r="68" spans="2:12" x14ac:dyDescent="0.25">
      <c r="B68" s="17">
        <v>44810</v>
      </c>
      <c r="C68" s="13">
        <v>18837.669999999998</v>
      </c>
      <c r="D68" s="54">
        <v>22</v>
      </c>
      <c r="F68" s="17">
        <v>44810</v>
      </c>
      <c r="G68" s="13">
        <v>18837.669999999998</v>
      </c>
      <c r="H68" s="4">
        <v>18837.669999999998</v>
      </c>
      <c r="I68" s="4">
        <v>18837.669999999998</v>
      </c>
      <c r="J68" s="3">
        <v>22</v>
      </c>
      <c r="K68" s="3">
        <v>22</v>
      </c>
      <c r="L68" s="54">
        <v>22</v>
      </c>
    </row>
    <row r="69" spans="2:12" x14ac:dyDescent="0.25">
      <c r="B69" s="17">
        <v>44811</v>
      </c>
      <c r="C69" s="13">
        <v>19290.32</v>
      </c>
      <c r="D69" s="54">
        <v>24</v>
      </c>
      <c r="F69" s="17">
        <v>44811</v>
      </c>
      <c r="G69" s="13">
        <v>19290.32</v>
      </c>
      <c r="H69" s="4">
        <v>19290.32</v>
      </c>
      <c r="I69" s="4">
        <v>19290.32</v>
      </c>
      <c r="J69" s="3">
        <v>24</v>
      </c>
      <c r="K69" s="3">
        <v>24</v>
      </c>
      <c r="L69" s="54">
        <v>24</v>
      </c>
    </row>
    <row r="70" spans="2:12" x14ac:dyDescent="0.25">
      <c r="B70" s="17">
        <v>44812</v>
      </c>
      <c r="C70" s="13">
        <v>19329.830000000002</v>
      </c>
      <c r="D70" s="54">
        <v>20</v>
      </c>
      <c r="F70" s="17">
        <v>44812</v>
      </c>
      <c r="G70" s="13">
        <v>19329.830000000002</v>
      </c>
      <c r="H70" s="4">
        <v>19329.830000000002</v>
      </c>
      <c r="I70" s="4">
        <v>19329.830000000002</v>
      </c>
      <c r="J70" s="3">
        <v>20</v>
      </c>
      <c r="K70" s="3">
        <v>20</v>
      </c>
      <c r="L70" s="54">
        <v>20</v>
      </c>
    </row>
    <row r="71" spans="2:12" x14ac:dyDescent="0.25">
      <c r="B71" s="17">
        <v>44813</v>
      </c>
      <c r="C71" s="13">
        <v>21381.15</v>
      </c>
      <c r="D71" s="54">
        <v>22</v>
      </c>
      <c r="F71" s="17">
        <v>44813</v>
      </c>
      <c r="G71" s="13">
        <v>21381.15</v>
      </c>
      <c r="H71" s="4">
        <v>21381.15</v>
      </c>
      <c r="I71" s="4">
        <v>21381.15</v>
      </c>
      <c r="J71" s="3">
        <v>22</v>
      </c>
      <c r="K71" s="3">
        <v>22</v>
      </c>
      <c r="L71" s="54">
        <v>22</v>
      </c>
    </row>
    <row r="72" spans="2:12" x14ac:dyDescent="0.25">
      <c r="B72" s="17">
        <v>44814</v>
      </c>
      <c r="C72" s="13">
        <v>21680.54</v>
      </c>
      <c r="D72" s="54">
        <v>28</v>
      </c>
      <c r="F72" s="17">
        <v>44814</v>
      </c>
      <c r="G72" s="13">
        <v>21680.54</v>
      </c>
      <c r="H72" s="4">
        <v>21680.54</v>
      </c>
      <c r="I72" s="4">
        <v>21680.54</v>
      </c>
      <c r="J72" s="3">
        <v>28</v>
      </c>
      <c r="K72" s="3">
        <v>28</v>
      </c>
      <c r="L72" s="54">
        <v>28</v>
      </c>
    </row>
    <row r="73" spans="2:12" x14ac:dyDescent="0.25">
      <c r="B73" s="17">
        <v>44815</v>
      </c>
      <c r="C73" s="13">
        <v>21769.26</v>
      </c>
      <c r="D73" s="54">
        <v>26</v>
      </c>
      <c r="F73" s="17">
        <v>44815</v>
      </c>
      <c r="G73" s="13">
        <v>21769.26</v>
      </c>
      <c r="H73" s="4">
        <v>21769.26</v>
      </c>
      <c r="I73" s="4">
        <v>21769.26</v>
      </c>
      <c r="J73" s="3">
        <v>26</v>
      </c>
      <c r="K73" s="3">
        <v>26</v>
      </c>
      <c r="L73" s="54">
        <v>26</v>
      </c>
    </row>
    <row r="74" spans="2:12" x14ac:dyDescent="0.25">
      <c r="B74" s="17">
        <v>44816</v>
      </c>
      <c r="C74" s="13">
        <v>22370.45</v>
      </c>
      <c r="D74" s="54">
        <v>25</v>
      </c>
      <c r="F74" s="17">
        <v>44816</v>
      </c>
      <c r="G74" s="13">
        <v>22370.45</v>
      </c>
      <c r="H74" s="4">
        <v>22370.45</v>
      </c>
      <c r="I74" s="4">
        <v>22370.45</v>
      </c>
      <c r="J74" s="3">
        <v>25</v>
      </c>
      <c r="K74" s="3">
        <v>25</v>
      </c>
      <c r="L74" s="54">
        <v>25</v>
      </c>
    </row>
    <row r="75" spans="2:12" x14ac:dyDescent="0.25">
      <c r="B75" s="17">
        <v>44817</v>
      </c>
      <c r="C75" s="13">
        <v>20296.71</v>
      </c>
      <c r="D75" s="54">
        <v>34</v>
      </c>
      <c r="F75" s="17">
        <v>44817</v>
      </c>
      <c r="G75" s="13">
        <v>20296.71</v>
      </c>
      <c r="H75" s="4">
        <v>20296.71</v>
      </c>
      <c r="I75" s="4">
        <v>20296.71</v>
      </c>
      <c r="J75" s="3">
        <v>34</v>
      </c>
      <c r="K75" s="3">
        <v>34</v>
      </c>
      <c r="L75" s="54">
        <v>34</v>
      </c>
    </row>
    <row r="76" spans="2:12" x14ac:dyDescent="0.25">
      <c r="B76" s="17">
        <v>44818</v>
      </c>
      <c r="C76" s="13">
        <v>20241.09</v>
      </c>
      <c r="D76" s="54">
        <v>27</v>
      </c>
      <c r="F76" s="17">
        <v>44818</v>
      </c>
      <c r="G76" s="13">
        <v>20241.09</v>
      </c>
      <c r="H76" s="4">
        <v>20241.09</v>
      </c>
      <c r="I76" s="4">
        <v>20241.09</v>
      </c>
      <c r="J76" s="3">
        <v>27</v>
      </c>
      <c r="K76" s="3">
        <v>27</v>
      </c>
      <c r="L76" s="54">
        <v>27</v>
      </c>
    </row>
    <row r="77" spans="2:12" x14ac:dyDescent="0.25">
      <c r="B77" s="17">
        <v>44819</v>
      </c>
      <c r="C77" s="13">
        <v>19701.21</v>
      </c>
      <c r="D77" s="54">
        <v>28</v>
      </c>
      <c r="F77" s="17">
        <v>44819</v>
      </c>
      <c r="G77" s="13">
        <v>19701.21</v>
      </c>
      <c r="H77" s="4">
        <v>19701.21</v>
      </c>
      <c r="I77" s="4">
        <v>19701.21</v>
      </c>
      <c r="J77" s="3">
        <v>28</v>
      </c>
      <c r="K77" s="3">
        <v>28</v>
      </c>
      <c r="L77" s="54">
        <v>28</v>
      </c>
    </row>
    <row r="78" spans="2:12" x14ac:dyDescent="0.25">
      <c r="B78" s="17">
        <v>44820</v>
      </c>
      <c r="C78" s="13">
        <v>19772.580000000002</v>
      </c>
      <c r="D78" s="54">
        <v>20</v>
      </c>
      <c r="F78" s="17">
        <v>44820</v>
      </c>
      <c r="G78" s="13">
        <v>19772.580000000002</v>
      </c>
      <c r="H78" s="4">
        <v>19772.580000000002</v>
      </c>
      <c r="I78" s="4">
        <v>19772.580000000002</v>
      </c>
      <c r="J78" s="3">
        <v>20</v>
      </c>
      <c r="K78" s="3">
        <v>20</v>
      </c>
      <c r="L78" s="54">
        <v>20</v>
      </c>
    </row>
    <row r="79" spans="2:12" x14ac:dyDescent="0.25">
      <c r="B79" s="17">
        <v>44821</v>
      </c>
      <c r="C79" s="13">
        <v>20127.580000000002</v>
      </c>
      <c r="D79" s="54">
        <v>22</v>
      </c>
      <c r="F79" s="17">
        <v>44821</v>
      </c>
      <c r="G79" s="13">
        <v>20127.580000000002</v>
      </c>
      <c r="H79" s="4">
        <v>20127.580000000002</v>
      </c>
      <c r="I79" s="4">
        <v>20127.580000000002</v>
      </c>
      <c r="J79" s="3">
        <v>22</v>
      </c>
      <c r="K79" s="3">
        <v>22</v>
      </c>
      <c r="L79" s="54">
        <v>22</v>
      </c>
    </row>
    <row r="80" spans="2:12" x14ac:dyDescent="0.25">
      <c r="B80" s="17">
        <v>44822</v>
      </c>
      <c r="C80" s="13">
        <v>19419.509999999998</v>
      </c>
      <c r="D80" s="54">
        <v>27</v>
      </c>
      <c r="F80" s="17">
        <v>44822</v>
      </c>
      <c r="G80" s="13">
        <v>19419.509999999998</v>
      </c>
      <c r="H80" s="4">
        <v>19419.509999999998</v>
      </c>
      <c r="I80" s="4">
        <v>19419.509999999998</v>
      </c>
      <c r="J80" s="3">
        <v>27</v>
      </c>
      <c r="K80" s="3">
        <v>27</v>
      </c>
      <c r="L80" s="54">
        <v>27</v>
      </c>
    </row>
    <row r="81" spans="2:12" x14ac:dyDescent="0.25">
      <c r="B81" s="17">
        <v>44823</v>
      </c>
      <c r="C81" s="13">
        <v>19544.13</v>
      </c>
      <c r="D81" s="54">
        <v>21</v>
      </c>
      <c r="F81" s="17">
        <v>44823</v>
      </c>
      <c r="G81" s="13">
        <v>19544.13</v>
      </c>
      <c r="H81" s="4">
        <v>19544.13</v>
      </c>
      <c r="I81" s="4">
        <v>19544.13</v>
      </c>
      <c r="J81" s="3">
        <v>21</v>
      </c>
      <c r="K81" s="3">
        <v>21</v>
      </c>
      <c r="L81" s="54">
        <v>21</v>
      </c>
    </row>
    <row r="82" spans="2:12" x14ac:dyDescent="0.25">
      <c r="B82" s="17">
        <v>44824</v>
      </c>
      <c r="C82" s="13">
        <v>18890.79</v>
      </c>
      <c r="D82" s="54">
        <v>23</v>
      </c>
      <c r="F82" s="17">
        <v>44824</v>
      </c>
      <c r="G82" s="13">
        <v>18890.79</v>
      </c>
      <c r="H82" s="4">
        <v>18890.79</v>
      </c>
      <c r="I82" s="4">
        <v>18890.79</v>
      </c>
      <c r="J82" s="3">
        <v>23</v>
      </c>
      <c r="K82" s="3">
        <v>23</v>
      </c>
      <c r="L82" s="54">
        <v>23</v>
      </c>
    </row>
    <row r="83" spans="2:12" x14ac:dyDescent="0.25">
      <c r="B83" s="17">
        <v>44825</v>
      </c>
      <c r="C83" s="13">
        <v>18547.400000000001</v>
      </c>
      <c r="D83" s="54">
        <v>23</v>
      </c>
      <c r="F83" s="17">
        <v>44825</v>
      </c>
      <c r="G83" s="13">
        <v>18547.400000000001</v>
      </c>
      <c r="H83" s="4">
        <v>18547.400000000001</v>
      </c>
      <c r="I83" s="4">
        <v>18547.400000000001</v>
      </c>
      <c r="J83" s="3">
        <v>23</v>
      </c>
      <c r="K83" s="3">
        <v>23</v>
      </c>
      <c r="L83" s="54">
        <v>23</v>
      </c>
    </row>
    <row r="84" spans="2:12" x14ac:dyDescent="0.25">
      <c r="B84" s="17">
        <v>44826</v>
      </c>
      <c r="C84" s="13">
        <v>19413.55</v>
      </c>
      <c r="D84" s="54">
        <v>22</v>
      </c>
      <c r="F84" s="17">
        <v>44826</v>
      </c>
      <c r="G84" s="13">
        <v>19413.55</v>
      </c>
      <c r="H84" s="4">
        <v>19413.55</v>
      </c>
      <c r="I84" s="4">
        <v>19413.55</v>
      </c>
      <c r="J84" s="3">
        <v>22</v>
      </c>
      <c r="K84" s="3">
        <v>22</v>
      </c>
      <c r="L84" s="54">
        <v>22</v>
      </c>
    </row>
    <row r="85" spans="2:12" x14ac:dyDescent="0.25">
      <c r="B85" s="17">
        <v>44827</v>
      </c>
      <c r="C85" s="13">
        <v>19297.64</v>
      </c>
      <c r="D85" s="54">
        <v>20</v>
      </c>
      <c r="F85" s="17">
        <v>44827</v>
      </c>
      <c r="G85" s="13">
        <v>19297.64</v>
      </c>
      <c r="H85" s="4">
        <v>19297.64</v>
      </c>
      <c r="I85" s="4">
        <v>19297.64</v>
      </c>
      <c r="J85" s="3">
        <v>20</v>
      </c>
      <c r="K85" s="3">
        <v>20</v>
      </c>
      <c r="L85" s="54">
        <v>20</v>
      </c>
    </row>
    <row r="86" spans="2:12" x14ac:dyDescent="0.25">
      <c r="B86" s="17">
        <v>44828</v>
      </c>
      <c r="C86" s="13">
        <v>18937.009999999998</v>
      </c>
      <c r="D86" s="54">
        <v>24</v>
      </c>
      <c r="F86" s="17">
        <v>44828</v>
      </c>
      <c r="G86" s="13">
        <v>18937.009999999998</v>
      </c>
      <c r="H86" s="4">
        <v>18937.009999999998</v>
      </c>
      <c r="I86" s="4">
        <v>18937.009999999998</v>
      </c>
      <c r="J86" s="3">
        <v>24</v>
      </c>
      <c r="K86" s="3">
        <v>24</v>
      </c>
      <c r="L86" s="54">
        <v>24</v>
      </c>
    </row>
    <row r="87" spans="2:12" x14ac:dyDescent="0.25">
      <c r="B87" s="17">
        <v>44829</v>
      </c>
      <c r="C87" s="13">
        <v>18802.099999999999</v>
      </c>
      <c r="D87" s="54">
        <v>24</v>
      </c>
      <c r="F87" s="17">
        <v>44829</v>
      </c>
      <c r="G87" s="13">
        <v>18802.099999999999</v>
      </c>
      <c r="H87" s="4">
        <v>18802.099999999999</v>
      </c>
      <c r="I87" s="4">
        <v>18802.099999999999</v>
      </c>
      <c r="J87" s="3">
        <v>24</v>
      </c>
      <c r="K87" s="3">
        <v>24</v>
      </c>
      <c r="L87" s="54">
        <v>24</v>
      </c>
    </row>
    <row r="88" spans="2:12" x14ac:dyDescent="0.25">
      <c r="B88" s="17">
        <v>44830</v>
      </c>
      <c r="C88" s="13">
        <v>19222.669999999998</v>
      </c>
      <c r="D88" s="54">
        <v>21</v>
      </c>
      <c r="F88" s="17">
        <v>44830</v>
      </c>
      <c r="G88" s="13">
        <v>19222.669999999998</v>
      </c>
      <c r="H88" s="4">
        <v>19222.669999999998</v>
      </c>
      <c r="I88" s="4">
        <v>19222.669999999998</v>
      </c>
      <c r="J88" s="3">
        <v>21</v>
      </c>
      <c r="K88" s="3">
        <v>21</v>
      </c>
      <c r="L88" s="54">
        <v>21</v>
      </c>
    </row>
    <row r="89" spans="2:12" x14ac:dyDescent="0.25">
      <c r="B89" s="17">
        <v>44831</v>
      </c>
      <c r="C89" s="13">
        <v>19110.55</v>
      </c>
      <c r="D89" s="54">
        <v>20</v>
      </c>
      <c r="F89" s="17">
        <v>44831</v>
      </c>
      <c r="G89" s="13">
        <v>19110.55</v>
      </c>
      <c r="H89" s="4">
        <v>19110.55</v>
      </c>
      <c r="I89" s="4">
        <v>19110.55</v>
      </c>
      <c r="J89" s="3">
        <v>20</v>
      </c>
      <c r="K89" s="3">
        <v>20</v>
      </c>
      <c r="L89" s="54">
        <v>20</v>
      </c>
    </row>
    <row r="90" spans="2:12" x14ac:dyDescent="0.25">
      <c r="B90" s="17">
        <v>44832</v>
      </c>
      <c r="C90" s="13">
        <v>19426.72</v>
      </c>
      <c r="D90" s="54">
        <v>20</v>
      </c>
      <c r="F90" s="17">
        <v>44832</v>
      </c>
      <c r="G90" s="13">
        <v>19426.72</v>
      </c>
      <c r="H90" s="4">
        <v>19426.72</v>
      </c>
      <c r="I90" s="4">
        <v>19426.72</v>
      </c>
      <c r="J90" s="3">
        <v>20</v>
      </c>
      <c r="K90" s="3">
        <v>20</v>
      </c>
      <c r="L90" s="54">
        <v>20</v>
      </c>
    </row>
    <row r="91" spans="2:12" x14ac:dyDescent="0.25">
      <c r="B91" s="17">
        <v>44833</v>
      </c>
      <c r="C91" s="13">
        <v>19573.05</v>
      </c>
      <c r="D91" s="54">
        <v>22</v>
      </c>
      <c r="F91" s="17">
        <v>44833</v>
      </c>
      <c r="G91" s="13">
        <v>19573.05</v>
      </c>
      <c r="H91" s="4">
        <v>19573.05</v>
      </c>
      <c r="I91" s="4">
        <v>19573.05</v>
      </c>
      <c r="J91" s="3">
        <v>22</v>
      </c>
      <c r="K91" s="3">
        <v>22</v>
      </c>
      <c r="L91" s="54">
        <v>22</v>
      </c>
    </row>
    <row r="92" spans="2:12" x14ac:dyDescent="0.25">
      <c r="B92" s="17">
        <v>44834</v>
      </c>
      <c r="C92" s="13">
        <v>19431.79</v>
      </c>
      <c r="D92" s="54">
        <v>21</v>
      </c>
      <c r="F92" s="17">
        <v>44834</v>
      </c>
      <c r="G92" s="13">
        <v>19431.79</v>
      </c>
      <c r="H92" s="4">
        <v>19431.79</v>
      </c>
      <c r="I92" s="4">
        <v>19431.79</v>
      </c>
      <c r="J92" s="3">
        <v>21</v>
      </c>
      <c r="K92" s="3">
        <v>21</v>
      </c>
      <c r="L92" s="54">
        <v>21</v>
      </c>
    </row>
    <row r="93" spans="2:12" x14ac:dyDescent="0.25">
      <c r="B93" s="17">
        <v>44835</v>
      </c>
      <c r="C93" s="13">
        <v>19312.099999999999</v>
      </c>
      <c r="D93" s="54">
        <v>20</v>
      </c>
      <c r="F93" s="17">
        <v>44835</v>
      </c>
      <c r="G93" s="13">
        <v>19312.099999999999</v>
      </c>
      <c r="H93" s="4">
        <v>19312.099999999999</v>
      </c>
      <c r="I93" s="4">
        <v>19312.099999999999</v>
      </c>
      <c r="J93" s="3">
        <v>20</v>
      </c>
      <c r="K93" s="3">
        <v>20</v>
      </c>
      <c r="L93" s="54">
        <v>20</v>
      </c>
    </row>
    <row r="94" spans="2:12" x14ac:dyDescent="0.25">
      <c r="B94" s="17">
        <v>44836</v>
      </c>
      <c r="C94" s="13">
        <v>19044.11</v>
      </c>
      <c r="D94" s="54">
        <v>24</v>
      </c>
      <c r="F94" s="17">
        <v>44836</v>
      </c>
      <c r="G94" s="13">
        <v>19044.11</v>
      </c>
      <c r="H94" s="4">
        <v>19044.11</v>
      </c>
      <c r="I94" s="4">
        <v>19044.11</v>
      </c>
      <c r="J94" s="3">
        <v>24</v>
      </c>
      <c r="K94" s="3">
        <v>24</v>
      </c>
      <c r="L94" s="54">
        <v>24</v>
      </c>
    </row>
    <row r="95" spans="2:12" x14ac:dyDescent="0.25">
      <c r="B95" s="17">
        <v>44837</v>
      </c>
      <c r="C95" s="13">
        <v>19623.580000000002</v>
      </c>
      <c r="D95" s="54">
        <v>24</v>
      </c>
      <c r="F95" s="17">
        <v>44837</v>
      </c>
      <c r="G95" s="13">
        <v>19623.580000000002</v>
      </c>
      <c r="H95" s="4">
        <v>19623.580000000002</v>
      </c>
      <c r="I95" s="4">
        <v>19623.580000000002</v>
      </c>
      <c r="J95" s="3">
        <v>24</v>
      </c>
      <c r="K95" s="3">
        <v>24</v>
      </c>
      <c r="L95" s="54">
        <v>24</v>
      </c>
    </row>
    <row r="96" spans="2:12" x14ac:dyDescent="0.25">
      <c r="B96" s="17">
        <v>44838</v>
      </c>
      <c r="C96" s="13">
        <v>20336.84</v>
      </c>
      <c r="D96" s="54">
        <v>20</v>
      </c>
      <c r="F96" s="17">
        <v>44838</v>
      </c>
      <c r="G96" s="13">
        <v>20336.84</v>
      </c>
      <c r="H96" s="4">
        <v>20336.84</v>
      </c>
      <c r="I96" s="4">
        <v>20336.84</v>
      </c>
      <c r="J96" s="3">
        <v>20</v>
      </c>
      <c r="K96" s="3">
        <v>20</v>
      </c>
      <c r="L96" s="54">
        <v>20</v>
      </c>
    </row>
    <row r="97" spans="2:12" x14ac:dyDescent="0.25">
      <c r="B97" s="17">
        <v>44839</v>
      </c>
      <c r="C97" s="13">
        <v>20160.72</v>
      </c>
      <c r="D97" s="54">
        <v>25</v>
      </c>
      <c r="F97" s="17">
        <v>44839</v>
      </c>
      <c r="G97" s="13">
        <v>20160.72</v>
      </c>
      <c r="H97" s="4">
        <v>20160.72</v>
      </c>
      <c r="I97" s="4">
        <v>20160.72</v>
      </c>
      <c r="J97" s="3">
        <v>25</v>
      </c>
      <c r="K97" s="3">
        <v>25</v>
      </c>
      <c r="L97" s="54">
        <v>25</v>
      </c>
    </row>
    <row r="98" spans="2:12" x14ac:dyDescent="0.25">
      <c r="B98" s="17">
        <v>44840</v>
      </c>
      <c r="C98" s="13">
        <v>19955.439999999999</v>
      </c>
      <c r="D98" s="54">
        <v>26</v>
      </c>
      <c r="F98" s="17">
        <v>44840</v>
      </c>
      <c r="G98" s="13">
        <v>19955.439999999999</v>
      </c>
      <c r="H98" s="4">
        <v>19955.439999999999</v>
      </c>
      <c r="I98" s="4">
        <v>19955.439999999999</v>
      </c>
      <c r="J98" s="3">
        <v>26</v>
      </c>
      <c r="K98" s="3">
        <v>26</v>
      </c>
      <c r="L98" s="54">
        <v>26</v>
      </c>
    </row>
    <row r="99" spans="2:12" x14ac:dyDescent="0.25">
      <c r="B99" s="17">
        <v>44841</v>
      </c>
      <c r="C99" s="13">
        <v>19546.849999999999</v>
      </c>
      <c r="D99" s="54">
        <v>23</v>
      </c>
      <c r="F99" s="17">
        <v>44841</v>
      </c>
      <c r="G99" s="13">
        <v>19546.849999999999</v>
      </c>
      <c r="H99" s="4">
        <v>19546.849999999999</v>
      </c>
      <c r="I99" s="4">
        <v>19546.849999999999</v>
      </c>
      <c r="J99" s="3">
        <v>23</v>
      </c>
      <c r="K99" s="3">
        <v>23</v>
      </c>
      <c r="L99" s="54">
        <v>23</v>
      </c>
    </row>
    <row r="100" spans="2:12" x14ac:dyDescent="0.25">
      <c r="B100" s="17">
        <v>44842</v>
      </c>
      <c r="C100" s="13">
        <v>19416.57</v>
      </c>
      <c r="D100" s="54">
        <v>24</v>
      </c>
      <c r="F100" s="17">
        <v>44842</v>
      </c>
      <c r="G100" s="13">
        <v>19416.57</v>
      </c>
      <c r="H100" s="4">
        <v>19416.57</v>
      </c>
      <c r="I100" s="4">
        <v>19416.57</v>
      </c>
      <c r="J100" s="3">
        <v>24</v>
      </c>
      <c r="K100" s="3">
        <v>24</v>
      </c>
      <c r="L100" s="54">
        <v>24</v>
      </c>
    </row>
    <row r="101" spans="2:12" x14ac:dyDescent="0.25">
      <c r="B101" s="17">
        <v>44843</v>
      </c>
      <c r="C101" s="13">
        <v>19446.43</v>
      </c>
      <c r="D101" s="54">
        <v>22</v>
      </c>
      <c r="F101" s="17">
        <v>44843</v>
      </c>
      <c r="G101" s="13">
        <v>19446.43</v>
      </c>
      <c r="H101" s="4">
        <v>19446.43</v>
      </c>
      <c r="I101" s="4">
        <v>19446.43</v>
      </c>
      <c r="J101" s="3">
        <v>22</v>
      </c>
      <c r="K101" s="3">
        <v>22</v>
      </c>
      <c r="L101" s="54">
        <v>22</v>
      </c>
    </row>
    <row r="102" spans="2:12" x14ac:dyDescent="0.25">
      <c r="B102" s="17">
        <v>44844</v>
      </c>
      <c r="C102" s="13">
        <v>19141.48</v>
      </c>
      <c r="D102" s="54">
        <v>22</v>
      </c>
      <c r="F102" s="17">
        <v>44844</v>
      </c>
      <c r="G102" s="13">
        <v>19141.48</v>
      </c>
      <c r="H102" s="4">
        <v>19141.48</v>
      </c>
      <c r="I102" s="4">
        <v>19141.48</v>
      </c>
      <c r="J102" s="3">
        <v>22</v>
      </c>
      <c r="K102" s="3">
        <v>22</v>
      </c>
      <c r="L102" s="54">
        <v>22</v>
      </c>
    </row>
    <row r="103" spans="2:12" ht="15.75" thickBot="1" x14ac:dyDescent="0.3">
      <c r="B103" s="18">
        <v>44845</v>
      </c>
      <c r="C103" s="13">
        <v>19051.419999999998</v>
      </c>
      <c r="D103" s="54">
        <v>24</v>
      </c>
      <c r="F103" s="18">
        <v>44845</v>
      </c>
      <c r="G103" s="13">
        <v>19051.419999999998</v>
      </c>
      <c r="H103" s="4">
        <v>19051.419999999998</v>
      </c>
      <c r="I103" s="4">
        <v>19051.419999999998</v>
      </c>
      <c r="J103" s="3">
        <v>24</v>
      </c>
      <c r="K103" s="3">
        <v>24</v>
      </c>
      <c r="L103" s="54">
        <v>24</v>
      </c>
    </row>
    <row r="104" spans="2:12" x14ac:dyDescent="0.25">
      <c r="B104" s="16">
        <v>44846</v>
      </c>
      <c r="C104" s="13">
        <v>19157.45</v>
      </c>
      <c r="D104" s="54">
        <v>20</v>
      </c>
      <c r="F104" s="16">
        <v>44846</v>
      </c>
      <c r="G104" s="13">
        <v>19157.45</v>
      </c>
      <c r="H104" s="4">
        <v>19157.45</v>
      </c>
      <c r="I104" s="4">
        <v>19157.45</v>
      </c>
      <c r="J104" s="3">
        <v>20</v>
      </c>
      <c r="K104" s="3">
        <v>20</v>
      </c>
      <c r="L104" s="54">
        <v>20</v>
      </c>
    </row>
    <row r="105" spans="2:12" x14ac:dyDescent="0.25">
      <c r="B105" s="17">
        <v>44847</v>
      </c>
      <c r="C105" s="13">
        <v>19382.900000000001</v>
      </c>
      <c r="D105" s="54">
        <v>20</v>
      </c>
      <c r="F105" s="17">
        <v>44847</v>
      </c>
      <c r="G105" s="13">
        <v>19382.900000000001</v>
      </c>
      <c r="H105" s="4">
        <v>19382.900000000001</v>
      </c>
      <c r="I105" s="4">
        <v>19382.900000000001</v>
      </c>
      <c r="J105" s="3">
        <v>20</v>
      </c>
      <c r="K105" s="3">
        <v>20</v>
      </c>
      <c r="L105" s="54">
        <v>20</v>
      </c>
    </row>
    <row r="106" spans="2:12" x14ac:dyDescent="0.25">
      <c r="B106" s="17">
        <v>44848</v>
      </c>
      <c r="C106" s="13">
        <v>19185.66</v>
      </c>
      <c r="D106" s="54">
        <v>24</v>
      </c>
      <c r="F106" s="17">
        <v>44848</v>
      </c>
      <c r="G106" s="13">
        <v>19185.66</v>
      </c>
      <c r="H106" s="4">
        <v>19185.66</v>
      </c>
      <c r="I106" s="4">
        <v>19185.66</v>
      </c>
      <c r="J106" s="3">
        <v>24</v>
      </c>
      <c r="K106" s="3">
        <v>24</v>
      </c>
      <c r="L106" s="54">
        <v>24</v>
      </c>
    </row>
    <row r="107" spans="2:12" x14ac:dyDescent="0.25">
      <c r="B107" s="17">
        <v>44849</v>
      </c>
      <c r="C107" s="13">
        <v>19067.63</v>
      </c>
      <c r="D107" s="54">
        <v>24</v>
      </c>
      <c r="F107" s="17">
        <v>44849</v>
      </c>
      <c r="G107" s="13">
        <v>19067.63</v>
      </c>
      <c r="H107" s="4">
        <v>19067.63</v>
      </c>
      <c r="I107" s="4">
        <v>19067.63</v>
      </c>
      <c r="J107" s="3">
        <v>24</v>
      </c>
      <c r="K107" s="3">
        <v>24</v>
      </c>
      <c r="L107" s="54">
        <v>24</v>
      </c>
    </row>
    <row r="108" spans="2:12" x14ac:dyDescent="0.25">
      <c r="B108" s="17">
        <v>44850</v>
      </c>
      <c r="C108" s="13">
        <v>19268.09</v>
      </c>
      <c r="D108" s="54">
        <v>24</v>
      </c>
      <c r="F108" s="17">
        <v>44850</v>
      </c>
      <c r="G108" s="13">
        <v>19268.09</v>
      </c>
      <c r="H108" s="4">
        <v>19268.09</v>
      </c>
      <c r="I108" s="4">
        <v>19268.09</v>
      </c>
      <c r="J108" s="3">
        <v>24</v>
      </c>
      <c r="K108" s="3">
        <v>24</v>
      </c>
      <c r="L108" s="54">
        <v>24</v>
      </c>
    </row>
    <row r="109" spans="2:12" x14ac:dyDescent="0.25">
      <c r="B109" s="17">
        <v>44851</v>
      </c>
      <c r="C109" s="13">
        <v>19550.759999999998</v>
      </c>
      <c r="D109" s="54">
        <v>20</v>
      </c>
      <c r="F109" s="17">
        <v>44851</v>
      </c>
      <c r="G109" s="13">
        <v>19550.759999999998</v>
      </c>
      <c r="H109" s="4">
        <v>19550.759999999998</v>
      </c>
      <c r="I109" s="4">
        <v>19550.759999999998</v>
      </c>
      <c r="J109" s="3">
        <v>20</v>
      </c>
      <c r="K109" s="3">
        <v>20</v>
      </c>
      <c r="L109" s="54">
        <v>20</v>
      </c>
    </row>
    <row r="110" spans="2:12" x14ac:dyDescent="0.25">
      <c r="B110" s="17">
        <v>44852</v>
      </c>
      <c r="C110" s="13">
        <v>19334.419999999998</v>
      </c>
      <c r="D110" s="54">
        <v>22</v>
      </c>
      <c r="F110" s="17">
        <v>44852</v>
      </c>
      <c r="G110" s="13">
        <v>19334.419999999998</v>
      </c>
      <c r="H110" s="4">
        <v>19334.419999999998</v>
      </c>
      <c r="I110" s="4">
        <v>19334.419999999998</v>
      </c>
      <c r="J110" s="3">
        <v>22</v>
      </c>
      <c r="K110" s="3">
        <v>22</v>
      </c>
      <c r="L110" s="54">
        <v>22</v>
      </c>
    </row>
    <row r="111" spans="2:12" x14ac:dyDescent="0.25">
      <c r="B111" s="17">
        <v>44853</v>
      </c>
      <c r="C111" s="13">
        <v>19139.54</v>
      </c>
      <c r="D111" s="54">
        <v>23</v>
      </c>
      <c r="F111" s="17">
        <v>44853</v>
      </c>
      <c r="G111" s="13">
        <v>19139.54</v>
      </c>
      <c r="H111" s="4">
        <v>19139.54</v>
      </c>
      <c r="I111" s="4">
        <v>19139.54</v>
      </c>
      <c r="J111" s="3">
        <v>23</v>
      </c>
      <c r="K111" s="3">
        <v>23</v>
      </c>
      <c r="L111" s="54">
        <v>23</v>
      </c>
    </row>
    <row r="112" spans="2:12" x14ac:dyDescent="0.25">
      <c r="B112" s="17">
        <v>44854</v>
      </c>
      <c r="C112" s="13">
        <v>19053.740000000002</v>
      </c>
      <c r="D112" s="54">
        <v>23</v>
      </c>
      <c r="F112" s="17">
        <v>44854</v>
      </c>
      <c r="G112" s="13">
        <v>19053.740000000002</v>
      </c>
      <c r="H112" s="4">
        <v>19053.740000000002</v>
      </c>
      <c r="I112" s="4">
        <v>19053.740000000002</v>
      </c>
      <c r="J112" s="3">
        <v>23</v>
      </c>
      <c r="K112" s="3">
        <v>23</v>
      </c>
      <c r="L112" s="54">
        <v>23</v>
      </c>
    </row>
    <row r="113" spans="2:12" x14ac:dyDescent="0.25">
      <c r="B113" s="17">
        <v>44855</v>
      </c>
      <c r="C113" s="13">
        <v>19172.47</v>
      </c>
      <c r="D113" s="54">
        <v>23</v>
      </c>
      <c r="F113" s="17">
        <v>44855</v>
      </c>
      <c r="G113" s="13">
        <v>19172.47</v>
      </c>
      <c r="H113" s="4">
        <v>19172.47</v>
      </c>
      <c r="I113" s="4">
        <v>19172.47</v>
      </c>
      <c r="J113" s="3">
        <v>23</v>
      </c>
      <c r="K113" s="3">
        <v>23</v>
      </c>
      <c r="L113" s="54">
        <v>23</v>
      </c>
    </row>
    <row r="114" spans="2:12" x14ac:dyDescent="0.25">
      <c r="B114" s="17">
        <v>44856</v>
      </c>
      <c r="C114" s="13">
        <v>19208.189999999999</v>
      </c>
      <c r="D114" s="54">
        <v>20</v>
      </c>
      <c r="F114" s="17">
        <v>44856</v>
      </c>
      <c r="G114" s="13">
        <v>19208.189999999999</v>
      </c>
      <c r="H114" s="4">
        <v>19208.189999999999</v>
      </c>
      <c r="I114" s="4">
        <v>19208.189999999999</v>
      </c>
      <c r="J114" s="3">
        <v>20</v>
      </c>
      <c r="K114" s="3">
        <v>20</v>
      </c>
      <c r="L114" s="54">
        <v>20</v>
      </c>
    </row>
    <row r="115" spans="2:12" x14ac:dyDescent="0.25">
      <c r="B115" s="17">
        <v>44857</v>
      </c>
      <c r="C115" s="13">
        <v>19567.009999999998</v>
      </c>
      <c r="D115" s="54">
        <v>23</v>
      </c>
      <c r="F115" s="17">
        <v>44857</v>
      </c>
      <c r="G115" s="13">
        <v>19567.009999999998</v>
      </c>
      <c r="H115" s="4">
        <v>19567.009999999998</v>
      </c>
      <c r="I115" s="4">
        <v>19567.009999999998</v>
      </c>
      <c r="J115" s="3">
        <v>23</v>
      </c>
      <c r="K115" s="3">
        <v>23</v>
      </c>
      <c r="L115" s="54">
        <v>23</v>
      </c>
    </row>
    <row r="116" spans="2:12" x14ac:dyDescent="0.25">
      <c r="B116" s="17">
        <v>44858</v>
      </c>
      <c r="C116" s="13">
        <v>19345.57</v>
      </c>
      <c r="D116" s="54">
        <v>22</v>
      </c>
      <c r="F116" s="17">
        <v>44858</v>
      </c>
      <c r="G116" s="13">
        <v>19345.57</v>
      </c>
      <c r="H116" s="4">
        <v>19345.57</v>
      </c>
      <c r="I116" s="4">
        <v>19345.57</v>
      </c>
      <c r="J116" s="3">
        <v>22</v>
      </c>
      <c r="K116" s="3">
        <v>22</v>
      </c>
      <c r="L116" s="54">
        <v>22</v>
      </c>
    </row>
    <row r="117" spans="2:12" x14ac:dyDescent="0.25">
      <c r="B117" s="17">
        <v>44859</v>
      </c>
      <c r="C117" s="13">
        <v>20095.86</v>
      </c>
      <c r="D117" s="54">
        <v>20</v>
      </c>
      <c r="F117" s="17">
        <v>44859</v>
      </c>
      <c r="G117" s="13">
        <v>20095.86</v>
      </c>
      <c r="H117" s="4">
        <v>20095.86</v>
      </c>
      <c r="I117" s="4">
        <v>20095.86</v>
      </c>
      <c r="J117" s="3">
        <v>20</v>
      </c>
      <c r="K117" s="3">
        <v>20</v>
      </c>
      <c r="L117" s="54">
        <v>20</v>
      </c>
    </row>
    <row r="118" spans="2:12" x14ac:dyDescent="0.25">
      <c r="B118" s="17">
        <v>44860</v>
      </c>
      <c r="C118" s="13">
        <v>20770.439999999999</v>
      </c>
      <c r="D118" s="54">
        <v>33</v>
      </c>
      <c r="F118" s="17">
        <v>44860</v>
      </c>
      <c r="G118" s="13">
        <v>20770.439999999999</v>
      </c>
      <c r="H118" s="4">
        <v>20770.439999999999</v>
      </c>
      <c r="I118" s="4">
        <v>20770.439999999999</v>
      </c>
      <c r="J118" s="3">
        <v>33</v>
      </c>
      <c r="K118" s="3">
        <v>33</v>
      </c>
      <c r="L118" s="54">
        <v>33</v>
      </c>
    </row>
    <row r="119" spans="2:12" x14ac:dyDescent="0.25">
      <c r="B119" s="17">
        <v>44861</v>
      </c>
      <c r="C119" s="13">
        <v>20285.84</v>
      </c>
      <c r="D119" s="54">
        <v>32</v>
      </c>
      <c r="F119" s="17">
        <v>44861</v>
      </c>
      <c r="G119" s="13">
        <v>20285.84</v>
      </c>
      <c r="H119" s="4">
        <v>20285.84</v>
      </c>
      <c r="I119" s="4">
        <v>20285.84</v>
      </c>
      <c r="J119" s="3">
        <v>32</v>
      </c>
      <c r="K119" s="3">
        <v>32</v>
      </c>
      <c r="L119" s="54">
        <v>32</v>
      </c>
    </row>
    <row r="120" spans="2:12" x14ac:dyDescent="0.25">
      <c r="B120" s="17">
        <v>44862</v>
      </c>
      <c r="C120" s="13">
        <v>20595.349999999999</v>
      </c>
      <c r="D120" s="54">
        <v>30</v>
      </c>
      <c r="F120" s="17">
        <v>44862</v>
      </c>
      <c r="G120" s="13">
        <v>20595.349999999999</v>
      </c>
      <c r="H120" s="4">
        <v>20595.349999999999</v>
      </c>
      <c r="I120" s="4">
        <v>20595.349999999999</v>
      </c>
      <c r="J120" s="3">
        <v>30</v>
      </c>
      <c r="K120" s="3">
        <v>30</v>
      </c>
      <c r="L120" s="54">
        <v>30</v>
      </c>
    </row>
    <row r="121" spans="2:12" x14ac:dyDescent="0.25">
      <c r="B121" s="17">
        <v>44863</v>
      </c>
      <c r="C121" s="13">
        <v>20818.48</v>
      </c>
      <c r="D121" s="54">
        <v>34</v>
      </c>
      <c r="F121" s="17">
        <v>44863</v>
      </c>
      <c r="G121" s="13">
        <v>20818.48</v>
      </c>
      <c r="H121" s="4">
        <v>20818.48</v>
      </c>
      <c r="I121" s="4">
        <v>20818.48</v>
      </c>
      <c r="J121" s="3">
        <v>34</v>
      </c>
      <c r="K121" s="3">
        <v>34</v>
      </c>
      <c r="L121" s="54">
        <v>34</v>
      </c>
    </row>
    <row r="122" spans="2:12" x14ac:dyDescent="0.25">
      <c r="B122" s="17">
        <v>44864</v>
      </c>
      <c r="C122" s="13">
        <v>20635.599999999999</v>
      </c>
      <c r="D122" s="54">
        <v>34</v>
      </c>
      <c r="F122" s="17">
        <v>44864</v>
      </c>
      <c r="G122" s="13">
        <v>20635.599999999999</v>
      </c>
      <c r="H122" s="4">
        <v>20635.599999999999</v>
      </c>
      <c r="I122" s="4">
        <v>20635.599999999999</v>
      </c>
      <c r="J122" s="3">
        <v>34</v>
      </c>
      <c r="K122" s="3">
        <v>34</v>
      </c>
      <c r="L122" s="54">
        <v>34</v>
      </c>
    </row>
    <row r="123" spans="2:12" x14ac:dyDescent="0.25">
      <c r="B123" s="17">
        <v>44865</v>
      </c>
      <c r="C123" s="13">
        <v>20495.77</v>
      </c>
      <c r="D123" s="54">
        <v>31</v>
      </c>
      <c r="F123" s="17">
        <v>44865</v>
      </c>
      <c r="G123" s="13">
        <v>20495.77</v>
      </c>
      <c r="H123" s="4">
        <v>20495.77</v>
      </c>
      <c r="I123" s="4">
        <v>20495.77</v>
      </c>
      <c r="J123" s="3">
        <v>31</v>
      </c>
      <c r="K123" s="3">
        <v>31</v>
      </c>
      <c r="L123" s="54">
        <v>31</v>
      </c>
    </row>
    <row r="124" spans="2:12" x14ac:dyDescent="0.25">
      <c r="B124" s="17">
        <v>44866</v>
      </c>
      <c r="C124" s="13">
        <v>20485.27</v>
      </c>
      <c r="D124" s="54">
        <v>30</v>
      </c>
      <c r="F124" s="17">
        <v>44866</v>
      </c>
      <c r="G124" s="13">
        <v>20485.27</v>
      </c>
      <c r="H124" s="4">
        <v>20485.27</v>
      </c>
      <c r="I124" s="4">
        <v>20485.27</v>
      </c>
      <c r="J124" s="3">
        <v>30</v>
      </c>
      <c r="K124" s="3">
        <v>30</v>
      </c>
      <c r="L124" s="54">
        <v>30</v>
      </c>
    </row>
    <row r="125" spans="2:12" x14ac:dyDescent="0.25">
      <c r="B125" s="17">
        <v>44867</v>
      </c>
      <c r="C125" s="13">
        <v>20159.5</v>
      </c>
      <c r="D125" s="54">
        <v>30</v>
      </c>
      <c r="F125" s="17">
        <v>44867</v>
      </c>
      <c r="G125" s="13">
        <v>20159.5</v>
      </c>
      <c r="H125" s="4">
        <v>20159.5</v>
      </c>
      <c r="I125" s="4">
        <v>20159.5</v>
      </c>
      <c r="J125" s="3">
        <v>30</v>
      </c>
      <c r="K125" s="3">
        <v>30</v>
      </c>
      <c r="L125" s="54">
        <v>30</v>
      </c>
    </row>
    <row r="126" spans="2:12" x14ac:dyDescent="0.25">
      <c r="B126" s="17">
        <v>44868</v>
      </c>
      <c r="C126" s="13">
        <v>20209.990000000002</v>
      </c>
      <c r="D126" s="54">
        <v>30</v>
      </c>
      <c r="F126" s="17">
        <v>44868</v>
      </c>
      <c r="G126" s="13">
        <v>20209.990000000002</v>
      </c>
      <c r="H126" s="4">
        <v>20209.990000000002</v>
      </c>
      <c r="I126" s="4">
        <v>20209.990000000002</v>
      </c>
      <c r="J126" s="3">
        <v>30</v>
      </c>
      <c r="K126" s="3">
        <v>30</v>
      </c>
      <c r="L126" s="54">
        <v>30</v>
      </c>
    </row>
    <row r="127" spans="2:12" x14ac:dyDescent="0.25">
      <c r="B127" s="17">
        <v>44869</v>
      </c>
      <c r="C127" s="13">
        <v>21147.23</v>
      </c>
      <c r="D127" s="54">
        <v>30</v>
      </c>
      <c r="F127" s="17">
        <v>44869</v>
      </c>
      <c r="G127" s="13">
        <v>21147.23</v>
      </c>
      <c r="H127" s="4">
        <v>21147.23</v>
      </c>
      <c r="I127" s="4">
        <v>21147.23</v>
      </c>
      <c r="J127" s="3">
        <v>30</v>
      </c>
      <c r="K127" s="3">
        <v>30</v>
      </c>
      <c r="L127" s="54">
        <v>30</v>
      </c>
    </row>
    <row r="128" spans="2:12" x14ac:dyDescent="0.25">
      <c r="B128" s="17">
        <v>44870</v>
      </c>
      <c r="C128" s="13">
        <v>21282.69</v>
      </c>
      <c r="D128" s="54">
        <v>38</v>
      </c>
      <c r="F128" s="17">
        <v>44870</v>
      </c>
      <c r="G128" s="13">
        <v>21282.69</v>
      </c>
      <c r="H128" s="4">
        <v>21282.69</v>
      </c>
      <c r="I128" s="4">
        <v>21282.69</v>
      </c>
      <c r="J128" s="3">
        <v>38</v>
      </c>
      <c r="K128" s="3">
        <v>38</v>
      </c>
      <c r="L128" s="54">
        <v>38</v>
      </c>
    </row>
    <row r="129" spans="2:12" x14ac:dyDescent="0.25">
      <c r="B129" s="17">
        <v>44871</v>
      </c>
      <c r="C129" s="13">
        <v>20926.490000000002</v>
      </c>
      <c r="D129" s="54">
        <v>40</v>
      </c>
      <c r="F129" s="17">
        <v>44871</v>
      </c>
      <c r="G129" s="13">
        <v>20926.490000000002</v>
      </c>
      <c r="H129" s="4">
        <v>20926.490000000002</v>
      </c>
      <c r="I129" s="4">
        <v>20926.490000000002</v>
      </c>
      <c r="J129" s="3">
        <v>40</v>
      </c>
      <c r="K129" s="3">
        <v>40</v>
      </c>
      <c r="L129" s="54">
        <v>40</v>
      </c>
    </row>
    <row r="130" spans="2:12" x14ac:dyDescent="0.25">
      <c r="B130" s="17">
        <v>44872</v>
      </c>
      <c r="C130" s="13">
        <v>20602.82</v>
      </c>
      <c r="D130" s="54">
        <v>33</v>
      </c>
      <c r="F130" s="17">
        <v>44872</v>
      </c>
      <c r="G130" s="13">
        <v>20602.82</v>
      </c>
      <c r="H130" s="4">
        <v>20602.82</v>
      </c>
      <c r="I130" s="4">
        <v>20602.82</v>
      </c>
      <c r="J130" s="3">
        <v>33</v>
      </c>
      <c r="K130" s="3">
        <v>33</v>
      </c>
      <c r="L130" s="54">
        <v>33</v>
      </c>
    </row>
    <row r="131" spans="2:12" x14ac:dyDescent="0.25">
      <c r="B131" s="17">
        <v>44873</v>
      </c>
      <c r="C131" s="13">
        <v>18541.27</v>
      </c>
      <c r="D131" s="54">
        <v>31</v>
      </c>
      <c r="F131" s="17">
        <v>44873</v>
      </c>
      <c r="G131" s="13">
        <v>18541.27</v>
      </c>
      <c r="H131" s="4">
        <v>18541.27</v>
      </c>
      <c r="I131" s="4">
        <v>18541.27</v>
      </c>
      <c r="J131" s="3">
        <v>31</v>
      </c>
      <c r="K131" s="3">
        <v>31</v>
      </c>
      <c r="L131" s="54">
        <v>31</v>
      </c>
    </row>
    <row r="132" spans="2:12" x14ac:dyDescent="0.25">
      <c r="B132" s="17">
        <v>44874</v>
      </c>
      <c r="C132" s="13">
        <v>15880.78</v>
      </c>
      <c r="D132" s="54">
        <v>29</v>
      </c>
      <c r="F132" s="17">
        <v>44874</v>
      </c>
      <c r="G132" s="13">
        <v>15880.78</v>
      </c>
      <c r="H132" s="4">
        <v>15880.78</v>
      </c>
      <c r="I132" s="4">
        <v>15880.78</v>
      </c>
      <c r="J132" s="3">
        <v>29</v>
      </c>
      <c r="K132" s="3">
        <v>29</v>
      </c>
      <c r="L132" s="54">
        <v>29</v>
      </c>
    </row>
    <row r="133" spans="2:12" x14ac:dyDescent="0.25">
      <c r="B133" s="17">
        <v>44875</v>
      </c>
      <c r="C133" s="13">
        <v>17586.77</v>
      </c>
      <c r="D133" s="54">
        <v>22</v>
      </c>
      <c r="F133" s="17">
        <v>44875</v>
      </c>
      <c r="G133" s="13">
        <v>17586.77</v>
      </c>
      <c r="H133" s="4">
        <v>17586.77</v>
      </c>
      <c r="I133" s="4">
        <v>17586.77</v>
      </c>
      <c r="J133" s="3">
        <v>22</v>
      </c>
      <c r="K133" s="3">
        <v>22</v>
      </c>
      <c r="L133" s="54">
        <v>22</v>
      </c>
    </row>
    <row r="134" spans="2:12" x14ac:dyDescent="0.25">
      <c r="B134" s="17">
        <v>44876</v>
      </c>
      <c r="C134" s="13">
        <v>17034.29</v>
      </c>
      <c r="D134" s="54">
        <v>25</v>
      </c>
      <c r="F134" s="17">
        <v>44876</v>
      </c>
      <c r="G134" s="13">
        <v>17034.29</v>
      </c>
      <c r="H134" s="4">
        <v>17034.29</v>
      </c>
      <c r="I134" s="4">
        <v>17034.29</v>
      </c>
      <c r="J134" s="3">
        <v>25</v>
      </c>
      <c r="K134" s="3">
        <v>25</v>
      </c>
      <c r="L134" s="54">
        <v>25</v>
      </c>
    </row>
    <row r="135" spans="2:12" x14ac:dyDescent="0.25">
      <c r="B135" s="17">
        <v>44877</v>
      </c>
      <c r="C135" s="13">
        <v>16799.189999999999</v>
      </c>
      <c r="D135" s="54">
        <v>21</v>
      </c>
      <c r="F135" s="17">
        <v>44877</v>
      </c>
      <c r="G135" s="13">
        <v>16799.189999999999</v>
      </c>
      <c r="H135" s="4">
        <v>16799.189999999999</v>
      </c>
      <c r="I135" s="4">
        <v>16799.189999999999</v>
      </c>
      <c r="J135" s="3">
        <v>21</v>
      </c>
      <c r="K135" s="3">
        <v>21</v>
      </c>
      <c r="L135" s="54">
        <v>21</v>
      </c>
    </row>
    <row r="136" spans="2:12" x14ac:dyDescent="0.25">
      <c r="B136" s="17">
        <v>44878</v>
      </c>
      <c r="C136" s="13">
        <v>16353.37</v>
      </c>
      <c r="D136" s="54">
        <v>22</v>
      </c>
      <c r="F136" s="17">
        <v>44878</v>
      </c>
      <c r="G136" s="13">
        <v>16353.37</v>
      </c>
      <c r="H136" s="4">
        <v>16353.37</v>
      </c>
      <c r="I136" s="4">
        <v>16353.37</v>
      </c>
      <c r="J136" s="3">
        <v>22</v>
      </c>
      <c r="K136" s="3">
        <v>22</v>
      </c>
      <c r="L136" s="54">
        <v>22</v>
      </c>
    </row>
    <row r="137" spans="2:12" x14ac:dyDescent="0.25">
      <c r="B137" s="17">
        <v>44879</v>
      </c>
      <c r="C137" s="13">
        <v>16618.2</v>
      </c>
      <c r="D137" s="54">
        <v>24</v>
      </c>
      <c r="F137" s="17">
        <v>44879</v>
      </c>
      <c r="G137" s="13">
        <v>16618.2</v>
      </c>
      <c r="H137" s="4">
        <v>16618.2</v>
      </c>
      <c r="I137" s="4">
        <v>16618.2</v>
      </c>
      <c r="J137" s="3">
        <v>24</v>
      </c>
      <c r="K137" s="3">
        <v>24</v>
      </c>
      <c r="L137" s="54">
        <v>24</v>
      </c>
    </row>
    <row r="138" spans="2:12" x14ac:dyDescent="0.25">
      <c r="B138" s="17">
        <v>44880</v>
      </c>
      <c r="C138" s="13">
        <v>16884.61</v>
      </c>
      <c r="D138" s="54">
        <v>22</v>
      </c>
      <c r="F138" s="17">
        <v>44880</v>
      </c>
      <c r="G138" s="13">
        <v>16884.61</v>
      </c>
      <c r="H138" s="4">
        <v>16884.61</v>
      </c>
      <c r="I138" s="4">
        <v>16884.61</v>
      </c>
      <c r="J138" s="3">
        <v>22</v>
      </c>
      <c r="K138" s="3">
        <v>22</v>
      </c>
      <c r="L138" s="54">
        <v>22</v>
      </c>
    </row>
    <row r="139" spans="2:12" x14ac:dyDescent="0.25">
      <c r="B139" s="17">
        <v>44881</v>
      </c>
      <c r="C139" s="13">
        <v>16669.439999999999</v>
      </c>
      <c r="D139" s="54">
        <v>23</v>
      </c>
      <c r="F139" s="17">
        <v>44881</v>
      </c>
      <c r="G139" s="13">
        <v>16669.439999999999</v>
      </c>
      <c r="H139" s="4">
        <v>16669.439999999999</v>
      </c>
      <c r="I139" s="4">
        <v>16669.439999999999</v>
      </c>
      <c r="J139" s="3">
        <v>23</v>
      </c>
      <c r="K139" s="3">
        <v>23</v>
      </c>
      <c r="L139" s="54">
        <v>23</v>
      </c>
    </row>
    <row r="140" spans="2:12" x14ac:dyDescent="0.25">
      <c r="B140" s="17">
        <v>44882</v>
      </c>
      <c r="C140" s="13">
        <v>16687.52</v>
      </c>
      <c r="D140" s="54">
        <v>20</v>
      </c>
      <c r="F140" s="17">
        <v>44882</v>
      </c>
      <c r="G140" s="13">
        <v>16687.52</v>
      </c>
      <c r="H140" s="4">
        <v>16687.52</v>
      </c>
      <c r="I140" s="4">
        <v>16687.52</v>
      </c>
      <c r="J140" s="3">
        <v>20</v>
      </c>
      <c r="K140" s="3">
        <v>20</v>
      </c>
      <c r="L140" s="54">
        <v>20</v>
      </c>
    </row>
    <row r="141" spans="2:12" x14ac:dyDescent="0.25">
      <c r="B141" s="17">
        <v>44883</v>
      </c>
      <c r="C141" s="13">
        <v>16697.78</v>
      </c>
      <c r="D141" s="54">
        <v>23</v>
      </c>
      <c r="F141" s="17">
        <v>44883</v>
      </c>
      <c r="G141" s="13">
        <v>16697.78</v>
      </c>
      <c r="H141" s="4">
        <v>16697.78</v>
      </c>
      <c r="I141" s="4">
        <v>16697.78</v>
      </c>
      <c r="J141" s="3">
        <v>23</v>
      </c>
      <c r="K141" s="3">
        <v>23</v>
      </c>
      <c r="L141" s="54">
        <v>23</v>
      </c>
    </row>
    <row r="142" spans="2:12" x14ac:dyDescent="0.25">
      <c r="B142" s="17">
        <v>44884</v>
      </c>
      <c r="C142" s="13">
        <v>16711.55</v>
      </c>
      <c r="D142" s="54">
        <v>23</v>
      </c>
      <c r="F142" s="17">
        <v>44884</v>
      </c>
      <c r="G142" s="13">
        <v>16711.55</v>
      </c>
      <c r="H142" s="4">
        <v>16711.55</v>
      </c>
      <c r="I142" s="4">
        <v>16711.55</v>
      </c>
      <c r="J142" s="3">
        <v>23</v>
      </c>
      <c r="K142" s="3">
        <v>23</v>
      </c>
      <c r="L142" s="54">
        <v>23</v>
      </c>
    </row>
    <row r="143" spans="2:12" x14ac:dyDescent="0.25">
      <c r="B143" s="17">
        <v>44885</v>
      </c>
      <c r="C143" s="13">
        <v>16291.83</v>
      </c>
      <c r="D143" s="54">
        <v>24</v>
      </c>
      <c r="F143" s="17">
        <v>44885</v>
      </c>
      <c r="G143" s="13">
        <v>16291.83</v>
      </c>
      <c r="H143" s="4">
        <v>16291.83</v>
      </c>
      <c r="I143" s="4">
        <v>16291.83</v>
      </c>
      <c r="J143" s="3">
        <v>24</v>
      </c>
      <c r="K143" s="3">
        <v>24</v>
      </c>
      <c r="L143" s="54">
        <v>24</v>
      </c>
    </row>
    <row r="144" spans="2:12" x14ac:dyDescent="0.25">
      <c r="B144" s="17">
        <v>44886</v>
      </c>
      <c r="C144" s="13">
        <v>15787.28</v>
      </c>
      <c r="D144" s="54">
        <v>21</v>
      </c>
      <c r="F144" s="17">
        <v>44886</v>
      </c>
      <c r="G144" s="13">
        <v>15787.28</v>
      </c>
      <c r="H144" s="4">
        <v>15787.28</v>
      </c>
      <c r="I144" s="4">
        <v>15787.28</v>
      </c>
      <c r="J144" s="3">
        <v>21</v>
      </c>
      <c r="K144" s="3">
        <v>21</v>
      </c>
      <c r="L144" s="54">
        <v>21</v>
      </c>
    </row>
    <row r="145" spans="2:12" x14ac:dyDescent="0.25">
      <c r="B145" s="17">
        <v>44887</v>
      </c>
      <c r="C145" s="13">
        <v>16189.77</v>
      </c>
      <c r="D145" s="54">
        <v>22</v>
      </c>
      <c r="F145" s="17">
        <v>44887</v>
      </c>
      <c r="G145" s="13">
        <v>16189.77</v>
      </c>
      <c r="H145" s="4">
        <v>16189.77</v>
      </c>
      <c r="I145" s="4">
        <v>16189.77</v>
      </c>
      <c r="J145" s="3">
        <v>22</v>
      </c>
      <c r="K145" s="3">
        <v>22</v>
      </c>
      <c r="L145" s="54">
        <v>22</v>
      </c>
    </row>
    <row r="146" spans="2:12" x14ac:dyDescent="0.25">
      <c r="B146" s="17">
        <v>44888</v>
      </c>
      <c r="C146" s="13">
        <v>16610.71</v>
      </c>
      <c r="D146" s="54">
        <v>22</v>
      </c>
      <c r="F146" s="17">
        <v>44888</v>
      </c>
      <c r="G146" s="13">
        <v>16610.71</v>
      </c>
      <c r="H146" s="4">
        <v>16610.71</v>
      </c>
      <c r="I146" s="4">
        <v>16610.71</v>
      </c>
      <c r="J146" s="3">
        <v>22</v>
      </c>
      <c r="K146" s="3">
        <v>22</v>
      </c>
      <c r="L146" s="54">
        <v>22</v>
      </c>
    </row>
    <row r="147" spans="2:12" x14ac:dyDescent="0.25">
      <c r="B147" s="17">
        <v>44889</v>
      </c>
      <c r="C147" s="13">
        <v>16604.46</v>
      </c>
      <c r="D147" s="54">
        <v>20</v>
      </c>
      <c r="F147" s="17">
        <v>44889</v>
      </c>
      <c r="G147" s="13">
        <v>16604.46</v>
      </c>
      <c r="H147" s="4">
        <v>16604.46</v>
      </c>
      <c r="I147" s="4">
        <v>16604.46</v>
      </c>
      <c r="J147" s="3">
        <v>20</v>
      </c>
      <c r="K147" s="3">
        <v>20</v>
      </c>
      <c r="L147" s="54">
        <v>20</v>
      </c>
    </row>
    <row r="148" spans="2:12" x14ac:dyDescent="0.25">
      <c r="B148" s="17">
        <v>44890</v>
      </c>
      <c r="C148" s="13">
        <v>16521.84</v>
      </c>
      <c r="D148" s="54">
        <v>20</v>
      </c>
      <c r="F148" s="17">
        <v>44890</v>
      </c>
      <c r="G148" s="13">
        <v>16521.84</v>
      </c>
      <c r="H148" s="4">
        <v>16521.84</v>
      </c>
      <c r="I148" s="4">
        <v>16521.84</v>
      </c>
      <c r="J148" s="3">
        <v>20</v>
      </c>
      <c r="K148" s="3">
        <v>20</v>
      </c>
      <c r="L148" s="54">
        <v>20</v>
      </c>
    </row>
    <row r="149" spans="2:12" x14ac:dyDescent="0.25">
      <c r="B149" s="17">
        <v>44891</v>
      </c>
      <c r="C149" s="13">
        <v>16464.28</v>
      </c>
      <c r="D149" s="54">
        <v>22</v>
      </c>
      <c r="F149" s="17">
        <v>44891</v>
      </c>
      <c r="G149" s="13">
        <v>16464.28</v>
      </c>
      <c r="H149" s="4">
        <v>16464.28</v>
      </c>
      <c r="I149" s="4">
        <v>16464.28</v>
      </c>
      <c r="J149" s="3">
        <v>22</v>
      </c>
      <c r="K149" s="3">
        <v>22</v>
      </c>
      <c r="L149" s="54">
        <v>22</v>
      </c>
    </row>
    <row r="150" spans="2:12" x14ac:dyDescent="0.25">
      <c r="B150" s="17">
        <v>44892</v>
      </c>
      <c r="C150" s="13">
        <v>16444.63</v>
      </c>
      <c r="D150" s="54">
        <v>26</v>
      </c>
      <c r="F150" s="17">
        <v>44892</v>
      </c>
      <c r="G150" s="13">
        <v>16444.63</v>
      </c>
      <c r="H150" s="4">
        <v>16444.63</v>
      </c>
      <c r="I150" s="4">
        <v>16444.63</v>
      </c>
      <c r="J150" s="3">
        <v>26</v>
      </c>
      <c r="K150" s="3">
        <v>26</v>
      </c>
      <c r="L150" s="54">
        <v>26</v>
      </c>
    </row>
    <row r="151" spans="2:12" x14ac:dyDescent="0.25">
      <c r="B151" s="17">
        <v>44893</v>
      </c>
      <c r="C151" s="13">
        <v>16217.32</v>
      </c>
      <c r="D151" s="54">
        <v>28</v>
      </c>
      <c r="F151" s="17">
        <v>44893</v>
      </c>
      <c r="G151" s="13">
        <v>16217.32</v>
      </c>
      <c r="H151" s="4">
        <v>16217.32</v>
      </c>
      <c r="I151" s="4">
        <v>16217.32</v>
      </c>
      <c r="J151" s="3">
        <v>28</v>
      </c>
      <c r="K151" s="3">
        <v>28</v>
      </c>
      <c r="L151" s="54">
        <v>28</v>
      </c>
    </row>
    <row r="152" spans="2:12" x14ac:dyDescent="0.25">
      <c r="B152" s="17">
        <v>44894</v>
      </c>
      <c r="C152" s="13">
        <v>16444.98</v>
      </c>
      <c r="D152" s="54">
        <v>26</v>
      </c>
      <c r="F152" s="17">
        <v>44894</v>
      </c>
      <c r="G152" s="13">
        <v>16444.98</v>
      </c>
      <c r="H152" s="4">
        <v>16444.98</v>
      </c>
      <c r="I152" s="4">
        <v>16444.98</v>
      </c>
      <c r="J152" s="3">
        <v>26</v>
      </c>
      <c r="K152" s="3">
        <v>26</v>
      </c>
      <c r="L152" s="54">
        <v>26</v>
      </c>
    </row>
    <row r="153" spans="2:12" ht="15.75" thickBot="1" x14ac:dyDescent="0.3">
      <c r="B153" s="18">
        <v>44895</v>
      </c>
      <c r="C153" s="13">
        <v>17168.57</v>
      </c>
      <c r="D153" s="54">
        <v>29</v>
      </c>
      <c r="F153" s="18">
        <v>44895</v>
      </c>
      <c r="G153" s="13">
        <v>17168.57</v>
      </c>
      <c r="H153" s="4">
        <v>17168.57</v>
      </c>
      <c r="I153" s="4">
        <v>17168.57</v>
      </c>
      <c r="J153" s="3">
        <v>29</v>
      </c>
      <c r="K153" s="3">
        <v>29</v>
      </c>
      <c r="L153" s="54">
        <v>29</v>
      </c>
    </row>
    <row r="154" spans="2:12" x14ac:dyDescent="0.25">
      <c r="B154" s="16">
        <v>44896</v>
      </c>
      <c r="C154" s="13">
        <v>16967.13</v>
      </c>
      <c r="D154" s="54">
        <v>27</v>
      </c>
      <c r="F154" s="16">
        <v>44896</v>
      </c>
      <c r="G154" s="13">
        <v>16967.13</v>
      </c>
      <c r="H154" s="4">
        <v>16967.13</v>
      </c>
      <c r="I154" s="4">
        <v>16967.13</v>
      </c>
      <c r="J154" s="3">
        <v>27</v>
      </c>
      <c r="K154" s="3">
        <v>27</v>
      </c>
      <c r="L154" s="54">
        <v>27</v>
      </c>
    </row>
    <row r="155" spans="2:12" x14ac:dyDescent="0.25">
      <c r="B155" s="17">
        <v>44897</v>
      </c>
      <c r="C155" s="13">
        <v>17088.66</v>
      </c>
      <c r="D155" s="54">
        <v>27</v>
      </c>
      <c r="F155" s="17">
        <v>44897</v>
      </c>
      <c r="G155" s="13">
        <v>17088.66</v>
      </c>
      <c r="H155" s="4">
        <v>17088.66</v>
      </c>
      <c r="I155" s="4">
        <v>17088.66</v>
      </c>
      <c r="J155" s="3">
        <v>27</v>
      </c>
      <c r="K155" s="3">
        <v>27</v>
      </c>
      <c r="L155" s="54">
        <v>27</v>
      </c>
    </row>
    <row r="156" spans="2:12" x14ac:dyDescent="0.25">
      <c r="B156" s="17">
        <v>44898</v>
      </c>
      <c r="C156" s="13">
        <v>16908.240000000002</v>
      </c>
      <c r="D156" s="54">
        <v>27</v>
      </c>
      <c r="F156" s="17">
        <v>44898</v>
      </c>
      <c r="G156" s="13">
        <v>16908.240000000002</v>
      </c>
      <c r="H156" s="4">
        <v>16908.240000000002</v>
      </c>
      <c r="I156" s="4">
        <v>16908.240000000002</v>
      </c>
      <c r="J156" s="3">
        <v>27</v>
      </c>
      <c r="K156" s="3">
        <v>27</v>
      </c>
      <c r="L156" s="54">
        <v>27</v>
      </c>
    </row>
    <row r="157" spans="2:12" x14ac:dyDescent="0.25">
      <c r="B157" s="17">
        <v>44899</v>
      </c>
      <c r="C157" s="13">
        <v>17130.490000000002</v>
      </c>
      <c r="D157" s="54">
        <v>26</v>
      </c>
      <c r="F157" s="17">
        <v>44899</v>
      </c>
      <c r="G157" s="13">
        <v>17130.490000000002</v>
      </c>
      <c r="H157" s="4">
        <v>17130.490000000002</v>
      </c>
      <c r="I157" s="4">
        <v>17130.490000000002</v>
      </c>
      <c r="J157" s="3">
        <v>26</v>
      </c>
      <c r="K157" s="3">
        <v>26</v>
      </c>
      <c r="L157" s="54">
        <v>26</v>
      </c>
    </row>
    <row r="158" spans="2:12" x14ac:dyDescent="0.25">
      <c r="B158" s="17">
        <v>44900</v>
      </c>
      <c r="C158" s="13">
        <v>16974.830000000002</v>
      </c>
      <c r="D158" s="54">
        <v>26</v>
      </c>
      <c r="F158" s="17">
        <v>44900</v>
      </c>
      <c r="G158" s="13">
        <v>16974.830000000002</v>
      </c>
      <c r="H158" s="4">
        <v>16974.830000000002</v>
      </c>
      <c r="I158" s="4">
        <v>16974.830000000002</v>
      </c>
      <c r="J158" s="3">
        <v>26</v>
      </c>
      <c r="K158" s="3">
        <v>26</v>
      </c>
      <c r="L158" s="54">
        <v>26</v>
      </c>
    </row>
    <row r="159" spans="2:12" x14ac:dyDescent="0.25">
      <c r="B159" s="17">
        <v>44901</v>
      </c>
      <c r="C159" s="13">
        <v>17089.5</v>
      </c>
      <c r="D159" s="54">
        <v>25</v>
      </c>
      <c r="F159" s="17">
        <v>44901</v>
      </c>
      <c r="G159" s="13">
        <v>17089.5</v>
      </c>
      <c r="H159" s="4">
        <v>17089.5</v>
      </c>
      <c r="I159" s="4">
        <v>17089.5</v>
      </c>
      <c r="J159" s="3">
        <v>25</v>
      </c>
      <c r="K159" s="3">
        <v>25</v>
      </c>
      <c r="L159" s="54">
        <v>25</v>
      </c>
    </row>
    <row r="160" spans="2:12" x14ac:dyDescent="0.25">
      <c r="B160" s="17">
        <v>44902</v>
      </c>
      <c r="C160" s="13">
        <v>16848.13</v>
      </c>
      <c r="D160" s="54">
        <v>29</v>
      </c>
      <c r="F160" s="17">
        <v>44902</v>
      </c>
      <c r="G160" s="13">
        <v>16848.13</v>
      </c>
      <c r="H160" s="4">
        <v>16848.13</v>
      </c>
      <c r="I160" s="4">
        <v>16848.13</v>
      </c>
      <c r="J160" s="3">
        <v>29</v>
      </c>
      <c r="K160" s="3">
        <v>29</v>
      </c>
      <c r="L160" s="54">
        <v>29</v>
      </c>
    </row>
    <row r="161" spans="2:12" x14ac:dyDescent="0.25">
      <c r="B161" s="17">
        <v>44903</v>
      </c>
      <c r="C161" s="13">
        <v>17233.47</v>
      </c>
      <c r="D161" s="54">
        <v>25</v>
      </c>
      <c r="F161" s="17">
        <v>44903</v>
      </c>
      <c r="G161" s="13">
        <v>17233.47</v>
      </c>
      <c r="H161" s="4">
        <v>17233.47</v>
      </c>
      <c r="I161" s="4">
        <v>17233.47</v>
      </c>
      <c r="J161" s="3">
        <v>25</v>
      </c>
      <c r="K161" s="3">
        <v>25</v>
      </c>
      <c r="L161" s="54">
        <v>25</v>
      </c>
    </row>
    <row r="162" spans="2:12" x14ac:dyDescent="0.25">
      <c r="B162" s="17">
        <v>44904</v>
      </c>
      <c r="C162" s="13">
        <v>17133.150000000001</v>
      </c>
      <c r="D162" s="54">
        <v>26</v>
      </c>
      <c r="F162" s="17">
        <v>44904</v>
      </c>
      <c r="G162" s="13">
        <v>17133.150000000001</v>
      </c>
      <c r="H162" s="4">
        <v>17133.150000000001</v>
      </c>
      <c r="I162" s="4">
        <v>17133.150000000001</v>
      </c>
      <c r="J162" s="3">
        <v>26</v>
      </c>
      <c r="K162" s="3">
        <v>26</v>
      </c>
      <c r="L162" s="54">
        <v>26</v>
      </c>
    </row>
    <row r="163" spans="2:12" x14ac:dyDescent="0.25">
      <c r="B163" s="17">
        <v>44905</v>
      </c>
      <c r="C163" s="13">
        <v>17128.72</v>
      </c>
      <c r="D163" s="54">
        <v>27</v>
      </c>
      <c r="F163" s="17">
        <v>44905</v>
      </c>
      <c r="G163" s="13">
        <v>17128.72</v>
      </c>
      <c r="H163" s="4">
        <v>17128.72</v>
      </c>
      <c r="I163" s="4">
        <v>17128.72</v>
      </c>
      <c r="J163" s="3">
        <v>27</v>
      </c>
      <c r="K163" s="3">
        <v>27</v>
      </c>
      <c r="L163" s="54">
        <v>27</v>
      </c>
    </row>
    <row r="164" spans="2:12" x14ac:dyDescent="0.25">
      <c r="B164" s="17">
        <v>44906</v>
      </c>
      <c r="C164" s="13">
        <v>17104.189999999999</v>
      </c>
      <c r="D164" s="54">
        <v>26</v>
      </c>
      <c r="F164" s="17">
        <v>44906</v>
      </c>
      <c r="G164" s="13">
        <v>17104.189999999999</v>
      </c>
      <c r="H164" s="4">
        <v>17104.189999999999</v>
      </c>
      <c r="I164" s="4">
        <v>17104.189999999999</v>
      </c>
      <c r="J164" s="3">
        <v>26</v>
      </c>
      <c r="K164" s="3">
        <v>26</v>
      </c>
      <c r="L164" s="54">
        <v>26</v>
      </c>
    </row>
    <row r="165" spans="2:12" x14ac:dyDescent="0.25">
      <c r="B165" s="17">
        <v>44907</v>
      </c>
      <c r="C165" s="13">
        <v>17206.439999999999</v>
      </c>
      <c r="D165" s="54">
        <v>27</v>
      </c>
      <c r="F165" s="17">
        <v>44907</v>
      </c>
      <c r="G165" s="13">
        <v>17206.439999999999</v>
      </c>
      <c r="H165" s="4">
        <v>17206.439999999999</v>
      </c>
      <c r="I165" s="4">
        <v>17206.439999999999</v>
      </c>
      <c r="J165" s="3">
        <v>27</v>
      </c>
      <c r="K165" s="3">
        <v>27</v>
      </c>
      <c r="L165" s="54">
        <v>27</v>
      </c>
    </row>
    <row r="166" spans="2:12" x14ac:dyDescent="0.25">
      <c r="B166" s="17">
        <v>44908</v>
      </c>
      <c r="C166" s="13">
        <v>17781.32</v>
      </c>
      <c r="D166" s="54">
        <v>27</v>
      </c>
      <c r="F166" s="17">
        <v>44908</v>
      </c>
      <c r="G166" s="13">
        <v>17781.32</v>
      </c>
      <c r="H166" s="4">
        <v>17781.32</v>
      </c>
      <c r="I166" s="4">
        <v>17781.32</v>
      </c>
      <c r="J166" s="3">
        <v>27</v>
      </c>
      <c r="K166" s="3">
        <v>27</v>
      </c>
      <c r="L166" s="54">
        <v>27</v>
      </c>
    </row>
    <row r="167" spans="2:12" x14ac:dyDescent="0.25">
      <c r="B167" s="17">
        <v>44909</v>
      </c>
      <c r="C167" s="13">
        <v>17815.650000000001</v>
      </c>
      <c r="D167" s="54">
        <v>30</v>
      </c>
      <c r="F167" s="17">
        <v>44909</v>
      </c>
      <c r="G167" s="13">
        <v>17815.650000000001</v>
      </c>
      <c r="H167" s="4">
        <v>17815.650000000001</v>
      </c>
      <c r="I167" s="4">
        <v>17815.650000000001</v>
      </c>
      <c r="J167" s="3">
        <v>30</v>
      </c>
      <c r="K167" s="3">
        <v>30</v>
      </c>
      <c r="L167" s="54">
        <v>30</v>
      </c>
    </row>
    <row r="168" spans="2:12" x14ac:dyDescent="0.25">
      <c r="B168" s="17">
        <v>44910</v>
      </c>
      <c r="C168" s="13">
        <v>17364.87</v>
      </c>
      <c r="D168" s="54">
        <v>31</v>
      </c>
      <c r="F168" s="17">
        <v>44910</v>
      </c>
      <c r="G168" s="13">
        <v>17364.87</v>
      </c>
      <c r="H168" s="4">
        <v>17364.87</v>
      </c>
      <c r="I168" s="4">
        <v>17364.87</v>
      </c>
      <c r="J168" s="3">
        <v>31</v>
      </c>
      <c r="K168" s="3">
        <v>31</v>
      </c>
      <c r="L168" s="54">
        <v>31</v>
      </c>
    </row>
    <row r="169" spans="2:12" x14ac:dyDescent="0.25">
      <c r="B169" s="17">
        <v>44911</v>
      </c>
      <c r="C169" s="13">
        <v>16647.48</v>
      </c>
      <c r="D169" s="54">
        <v>29</v>
      </c>
      <c r="F169" s="17">
        <v>44911</v>
      </c>
      <c r="G169" s="13">
        <v>16647.48</v>
      </c>
      <c r="H169" s="4">
        <v>16647.48</v>
      </c>
      <c r="I169" s="4">
        <v>16647.48</v>
      </c>
      <c r="J169" s="3">
        <v>29</v>
      </c>
      <c r="K169" s="3">
        <v>29</v>
      </c>
      <c r="L169" s="54">
        <v>29</v>
      </c>
    </row>
    <row r="170" spans="2:12" x14ac:dyDescent="0.25">
      <c r="B170" s="17">
        <v>44912</v>
      </c>
      <c r="C170" s="13">
        <v>16795.09</v>
      </c>
      <c r="D170" s="54">
        <v>28</v>
      </c>
      <c r="F170" s="17">
        <v>44912</v>
      </c>
      <c r="G170" s="13">
        <v>16795.09</v>
      </c>
      <c r="H170" s="4">
        <v>16795.09</v>
      </c>
      <c r="I170" s="4">
        <v>16795.09</v>
      </c>
      <c r="J170" s="3">
        <v>28</v>
      </c>
      <c r="K170" s="3">
        <v>28</v>
      </c>
      <c r="L170" s="54">
        <v>28</v>
      </c>
    </row>
    <row r="171" spans="2:12" x14ac:dyDescent="0.25">
      <c r="B171" s="17">
        <v>44913</v>
      </c>
      <c r="C171" s="13">
        <v>16757.98</v>
      </c>
      <c r="D171" s="54">
        <v>26</v>
      </c>
      <c r="F171" s="17">
        <v>44913</v>
      </c>
      <c r="G171" s="13">
        <v>16757.98</v>
      </c>
      <c r="H171" s="4">
        <v>16757.98</v>
      </c>
      <c r="I171" s="4">
        <v>16757.98</v>
      </c>
      <c r="J171" s="3">
        <v>26</v>
      </c>
      <c r="K171" s="3">
        <v>26</v>
      </c>
      <c r="L171" s="54">
        <v>26</v>
      </c>
    </row>
    <row r="172" spans="2:12" x14ac:dyDescent="0.25">
      <c r="B172" s="17">
        <v>44914</v>
      </c>
      <c r="C172" s="13">
        <v>16439.68</v>
      </c>
      <c r="D172" s="54">
        <v>29</v>
      </c>
      <c r="F172" s="17">
        <v>44914</v>
      </c>
      <c r="G172" s="13">
        <v>16439.68</v>
      </c>
      <c r="H172" s="4">
        <v>16439.68</v>
      </c>
      <c r="I172" s="4">
        <v>16439.68</v>
      </c>
      <c r="J172" s="3">
        <v>29</v>
      </c>
      <c r="K172" s="3">
        <v>29</v>
      </c>
      <c r="L172" s="54">
        <v>29</v>
      </c>
    </row>
    <row r="173" spans="2:12" x14ac:dyDescent="0.25">
      <c r="B173" s="17">
        <v>44915</v>
      </c>
      <c r="C173" s="13">
        <v>16906.3</v>
      </c>
      <c r="D173" s="54">
        <v>29</v>
      </c>
      <c r="F173" s="17">
        <v>44915</v>
      </c>
      <c r="G173" s="13">
        <v>16906.3</v>
      </c>
      <c r="H173" s="4">
        <v>16906.3</v>
      </c>
      <c r="I173" s="4">
        <v>16906.3</v>
      </c>
      <c r="J173" s="3">
        <v>29</v>
      </c>
      <c r="K173" s="3">
        <v>29</v>
      </c>
      <c r="L173" s="54">
        <v>29</v>
      </c>
    </row>
    <row r="174" spans="2:12" x14ac:dyDescent="0.25">
      <c r="B174" s="17">
        <v>44916</v>
      </c>
      <c r="C174" s="13">
        <v>16817.54</v>
      </c>
      <c r="D174" s="54">
        <v>26</v>
      </c>
      <c r="F174" s="17">
        <v>44916</v>
      </c>
      <c r="G174" s="13">
        <v>16817.54</v>
      </c>
      <c r="H174" s="4">
        <v>16817.54</v>
      </c>
      <c r="I174" s="4">
        <v>16817.54</v>
      </c>
      <c r="J174" s="3">
        <v>26</v>
      </c>
      <c r="K174" s="3">
        <v>26</v>
      </c>
      <c r="L174" s="54">
        <v>26</v>
      </c>
    </row>
    <row r="175" spans="2:12" x14ac:dyDescent="0.25">
      <c r="B175" s="17">
        <v>44917</v>
      </c>
      <c r="C175" s="13">
        <v>16830.34</v>
      </c>
      <c r="D175" s="54">
        <v>28</v>
      </c>
      <c r="F175" s="17">
        <v>44917</v>
      </c>
      <c r="G175" s="13">
        <v>16830.34</v>
      </c>
      <c r="H175" s="4">
        <v>16830.34</v>
      </c>
      <c r="I175" s="4">
        <v>16830.34</v>
      </c>
      <c r="J175" s="3">
        <v>28</v>
      </c>
      <c r="K175" s="3">
        <v>28</v>
      </c>
      <c r="L175" s="54">
        <v>28</v>
      </c>
    </row>
    <row r="176" spans="2:12" x14ac:dyDescent="0.25">
      <c r="B176" s="17">
        <v>44918</v>
      </c>
      <c r="C176" s="13">
        <v>16796.95</v>
      </c>
      <c r="D176" s="54">
        <v>27</v>
      </c>
      <c r="F176" s="17">
        <v>44918</v>
      </c>
      <c r="G176" s="13">
        <v>16796.95</v>
      </c>
      <c r="H176" s="4">
        <v>16796.95</v>
      </c>
      <c r="I176" s="4">
        <v>16796.95</v>
      </c>
      <c r="J176" s="3">
        <v>27</v>
      </c>
      <c r="K176" s="3">
        <v>27</v>
      </c>
      <c r="L176" s="54">
        <v>27</v>
      </c>
    </row>
    <row r="177" spans="2:12" x14ac:dyDescent="0.25">
      <c r="B177" s="17">
        <v>44919</v>
      </c>
      <c r="C177" s="13">
        <v>16847.759999999998</v>
      </c>
      <c r="D177" s="54">
        <v>29</v>
      </c>
      <c r="F177" s="17">
        <v>44919</v>
      </c>
      <c r="G177" s="13">
        <v>16847.759999999998</v>
      </c>
      <c r="H177" s="4">
        <v>16847.759999999998</v>
      </c>
      <c r="I177" s="4">
        <v>16847.759999999998</v>
      </c>
      <c r="J177" s="3">
        <v>29</v>
      </c>
      <c r="K177" s="3">
        <v>29</v>
      </c>
      <c r="L177" s="54">
        <v>29</v>
      </c>
    </row>
    <row r="178" spans="2:12" x14ac:dyDescent="0.25">
      <c r="B178" s="17">
        <v>44920</v>
      </c>
      <c r="C178" s="13">
        <v>16841.990000000002</v>
      </c>
      <c r="D178" s="54">
        <v>29</v>
      </c>
      <c r="F178" s="17">
        <v>44920</v>
      </c>
      <c r="G178" s="13">
        <v>16841.990000000002</v>
      </c>
      <c r="H178" s="4">
        <v>16841.990000000002</v>
      </c>
      <c r="I178" s="4">
        <v>16841.990000000002</v>
      </c>
      <c r="J178" s="3">
        <v>29</v>
      </c>
      <c r="K178" s="3">
        <v>29</v>
      </c>
      <c r="L178" s="54">
        <v>29</v>
      </c>
    </row>
    <row r="179" spans="2:12" x14ac:dyDescent="0.25">
      <c r="B179" s="17">
        <v>44921</v>
      </c>
      <c r="C179" s="13">
        <v>16919.8</v>
      </c>
      <c r="D179" s="54">
        <v>28</v>
      </c>
      <c r="F179" s="17">
        <v>44921</v>
      </c>
      <c r="G179" s="13">
        <v>16919.8</v>
      </c>
      <c r="H179" s="4">
        <v>16919.8</v>
      </c>
      <c r="I179" s="4">
        <v>16919.8</v>
      </c>
      <c r="J179" s="3">
        <v>28</v>
      </c>
      <c r="K179" s="3">
        <v>28</v>
      </c>
      <c r="L179" s="54">
        <v>28</v>
      </c>
    </row>
    <row r="180" spans="2:12" x14ac:dyDescent="0.25">
      <c r="B180" s="17">
        <v>44922</v>
      </c>
      <c r="C180" s="13">
        <v>16717.169999999998</v>
      </c>
      <c r="D180" s="54">
        <v>27</v>
      </c>
      <c r="F180" s="17">
        <v>44922</v>
      </c>
      <c r="G180" s="13">
        <v>16717.169999999998</v>
      </c>
      <c r="H180" s="4">
        <v>16717.169999999998</v>
      </c>
      <c r="I180" s="4">
        <v>16717.169999999998</v>
      </c>
      <c r="J180" s="3">
        <v>27</v>
      </c>
      <c r="K180" s="3">
        <v>27</v>
      </c>
      <c r="L180" s="54">
        <v>27</v>
      </c>
    </row>
    <row r="181" spans="2:12" x14ac:dyDescent="0.25">
      <c r="B181" s="17">
        <v>44923</v>
      </c>
      <c r="C181" s="13">
        <v>16552.57</v>
      </c>
      <c r="D181" s="54">
        <v>28</v>
      </c>
      <c r="F181" s="17">
        <v>44923</v>
      </c>
      <c r="G181" s="13">
        <v>16552.57</v>
      </c>
      <c r="H181" s="4">
        <v>16552.57</v>
      </c>
      <c r="I181" s="4">
        <v>16552.57</v>
      </c>
      <c r="J181" s="3">
        <v>28</v>
      </c>
      <c r="K181" s="3">
        <v>28</v>
      </c>
      <c r="L181" s="54">
        <v>28</v>
      </c>
    </row>
    <row r="182" spans="2:12" x14ac:dyDescent="0.25">
      <c r="B182" s="17">
        <v>44924</v>
      </c>
      <c r="C182" s="13">
        <v>16642.34</v>
      </c>
      <c r="D182" s="54">
        <v>28</v>
      </c>
      <c r="F182" s="17">
        <v>44924</v>
      </c>
      <c r="G182" s="13">
        <v>16642.34</v>
      </c>
      <c r="H182" s="4">
        <v>16642.34</v>
      </c>
      <c r="I182" s="4">
        <v>16642.34</v>
      </c>
      <c r="J182" s="3">
        <v>28</v>
      </c>
      <c r="K182" s="3">
        <v>28</v>
      </c>
      <c r="L182" s="54">
        <v>28</v>
      </c>
    </row>
    <row r="183" spans="2:12" x14ac:dyDescent="0.25">
      <c r="B183" s="17">
        <v>44925</v>
      </c>
      <c r="C183" s="13">
        <v>16602.59</v>
      </c>
      <c r="D183" s="54">
        <v>28</v>
      </c>
      <c r="F183" s="17">
        <v>44925</v>
      </c>
      <c r="G183" s="13">
        <v>16602.59</v>
      </c>
      <c r="H183" s="4">
        <v>16602.59</v>
      </c>
      <c r="I183" s="4">
        <v>16602.59</v>
      </c>
      <c r="J183" s="3">
        <v>28</v>
      </c>
      <c r="K183" s="3">
        <v>28</v>
      </c>
      <c r="L183" s="54">
        <v>28</v>
      </c>
    </row>
    <row r="184" spans="2:12" x14ac:dyDescent="0.25">
      <c r="B184" s="17">
        <v>44926</v>
      </c>
      <c r="C184" s="13">
        <v>16547.5</v>
      </c>
      <c r="D184" s="54">
        <v>25</v>
      </c>
      <c r="F184" s="17">
        <v>44926</v>
      </c>
      <c r="G184" s="13">
        <v>16547.5</v>
      </c>
      <c r="H184" s="4">
        <v>16547.5</v>
      </c>
      <c r="I184" s="4">
        <v>16547.5</v>
      </c>
      <c r="J184" s="3">
        <v>25</v>
      </c>
      <c r="K184" s="3">
        <v>25</v>
      </c>
      <c r="L184" s="54">
        <v>25</v>
      </c>
    </row>
    <row r="185" spans="2:12" x14ac:dyDescent="0.25">
      <c r="B185" s="17">
        <v>44927</v>
      </c>
      <c r="C185" s="13">
        <v>16625.080000000002</v>
      </c>
      <c r="D185" s="54">
        <v>26</v>
      </c>
      <c r="F185" s="17">
        <v>44927</v>
      </c>
      <c r="G185" s="13">
        <v>16625.080000000002</v>
      </c>
      <c r="H185" s="4">
        <v>16625.080000000002</v>
      </c>
      <c r="I185" s="4">
        <v>16625.080000000002</v>
      </c>
      <c r="J185" s="3">
        <v>26</v>
      </c>
      <c r="K185" s="3">
        <v>26</v>
      </c>
      <c r="L185" s="54">
        <v>26</v>
      </c>
    </row>
    <row r="186" spans="2:12" x14ac:dyDescent="0.25">
      <c r="B186" s="17">
        <v>44928</v>
      </c>
      <c r="C186" s="13">
        <v>16688.47</v>
      </c>
      <c r="D186" s="54">
        <v>27</v>
      </c>
      <c r="F186" s="17">
        <v>44928</v>
      </c>
      <c r="G186" s="13">
        <v>16688.47</v>
      </c>
      <c r="H186" s="4">
        <v>16688.47</v>
      </c>
      <c r="I186" s="4">
        <v>16688.47</v>
      </c>
      <c r="J186" s="3">
        <v>27</v>
      </c>
      <c r="K186" s="3">
        <v>27</v>
      </c>
      <c r="L186" s="54">
        <v>27</v>
      </c>
    </row>
    <row r="187" spans="2:12" x14ac:dyDescent="0.25">
      <c r="B187" s="17">
        <v>44929</v>
      </c>
      <c r="C187" s="13">
        <v>16679.86</v>
      </c>
      <c r="D187" s="54">
        <v>26</v>
      </c>
      <c r="F187" s="17">
        <v>44929</v>
      </c>
      <c r="G187" s="13">
        <v>16679.86</v>
      </c>
      <c r="H187" s="4">
        <v>16679.86</v>
      </c>
      <c r="I187" s="4">
        <v>16679.86</v>
      </c>
      <c r="J187" s="3">
        <v>26</v>
      </c>
      <c r="K187" s="3">
        <v>26</v>
      </c>
      <c r="L187" s="54">
        <v>26</v>
      </c>
    </row>
    <row r="188" spans="2:12" x14ac:dyDescent="0.25">
      <c r="B188" s="17">
        <v>44930</v>
      </c>
      <c r="C188" s="13">
        <v>16863.240000000002</v>
      </c>
      <c r="D188" s="54">
        <v>29</v>
      </c>
      <c r="F188" s="17">
        <v>44930</v>
      </c>
      <c r="G188" s="13">
        <v>16863.240000000002</v>
      </c>
      <c r="H188" s="4">
        <v>16863.240000000002</v>
      </c>
      <c r="I188" s="4">
        <v>16863.240000000002</v>
      </c>
      <c r="J188" s="3">
        <v>29</v>
      </c>
      <c r="K188" s="3">
        <v>29</v>
      </c>
      <c r="L188" s="54">
        <v>29</v>
      </c>
    </row>
    <row r="189" spans="2:12" x14ac:dyDescent="0.25">
      <c r="B189" s="17">
        <v>44931</v>
      </c>
      <c r="C189" s="13">
        <v>16836.740000000002</v>
      </c>
      <c r="D189" s="54">
        <v>29</v>
      </c>
      <c r="F189" s="17">
        <v>44931</v>
      </c>
      <c r="G189" s="13">
        <v>16836.740000000002</v>
      </c>
      <c r="H189" s="4">
        <v>16836.740000000002</v>
      </c>
      <c r="I189" s="4">
        <v>16836.740000000002</v>
      </c>
      <c r="J189" s="3">
        <v>29</v>
      </c>
      <c r="K189" s="3">
        <v>29</v>
      </c>
      <c r="L189" s="54">
        <v>29</v>
      </c>
    </row>
    <row r="190" spans="2:12" x14ac:dyDescent="0.25">
      <c r="B190" s="17">
        <v>44932</v>
      </c>
      <c r="C190" s="13">
        <v>16951.97</v>
      </c>
      <c r="D190" s="54">
        <v>26</v>
      </c>
      <c r="F190" s="17">
        <v>44932</v>
      </c>
      <c r="G190" s="13">
        <v>16951.97</v>
      </c>
      <c r="H190" s="4">
        <v>16951.97</v>
      </c>
      <c r="I190" s="4">
        <v>16951.97</v>
      </c>
      <c r="J190" s="3">
        <v>26</v>
      </c>
      <c r="K190" s="3">
        <v>26</v>
      </c>
      <c r="L190" s="54">
        <v>26</v>
      </c>
    </row>
    <row r="191" spans="2:12" x14ac:dyDescent="0.25">
      <c r="B191" s="17">
        <v>44933</v>
      </c>
      <c r="C191" s="13">
        <v>16955.080000000002</v>
      </c>
      <c r="D191" s="54">
        <v>25</v>
      </c>
      <c r="F191" s="17">
        <v>44933</v>
      </c>
      <c r="G191" s="13">
        <v>16955.080000000002</v>
      </c>
      <c r="H191" s="4">
        <v>16955.080000000002</v>
      </c>
      <c r="I191" s="4">
        <v>16955.080000000002</v>
      </c>
      <c r="J191" s="3">
        <v>25</v>
      </c>
      <c r="K191" s="3">
        <v>25</v>
      </c>
      <c r="L191" s="54">
        <v>25</v>
      </c>
    </row>
    <row r="192" spans="2:12" x14ac:dyDescent="0.25">
      <c r="B192" s="17">
        <v>44934</v>
      </c>
      <c r="C192" s="13">
        <v>17091.14</v>
      </c>
      <c r="D192" s="54">
        <v>25</v>
      </c>
      <c r="F192" s="17">
        <v>44934</v>
      </c>
      <c r="G192" s="13">
        <v>17091.14</v>
      </c>
      <c r="H192" s="4">
        <v>17091.14</v>
      </c>
      <c r="I192" s="4">
        <v>17091.14</v>
      </c>
      <c r="J192" s="3">
        <v>25</v>
      </c>
      <c r="K192" s="3">
        <v>25</v>
      </c>
      <c r="L192" s="54">
        <v>25</v>
      </c>
    </row>
    <row r="193" spans="2:12" x14ac:dyDescent="0.25">
      <c r="B193" s="17">
        <v>44935</v>
      </c>
      <c r="C193" s="13">
        <v>17196.55</v>
      </c>
      <c r="D193" s="54">
        <v>25</v>
      </c>
      <c r="F193" s="17">
        <v>44935</v>
      </c>
      <c r="G193" s="13">
        <v>17196.55</v>
      </c>
      <c r="H193" s="4">
        <v>17196.55</v>
      </c>
      <c r="I193" s="4">
        <v>17196.55</v>
      </c>
      <c r="J193" s="3">
        <v>25</v>
      </c>
      <c r="K193" s="3">
        <v>25</v>
      </c>
      <c r="L193" s="54">
        <v>25</v>
      </c>
    </row>
    <row r="194" spans="2:12" x14ac:dyDescent="0.25">
      <c r="B194" s="17">
        <v>44936</v>
      </c>
      <c r="C194" s="13">
        <v>17446.29</v>
      </c>
      <c r="D194" s="54">
        <v>26</v>
      </c>
      <c r="F194" s="17">
        <v>44936</v>
      </c>
      <c r="G194" s="13">
        <v>17446.29</v>
      </c>
      <c r="H194" s="4">
        <v>17446.29</v>
      </c>
      <c r="I194" s="4">
        <v>17446.29</v>
      </c>
      <c r="J194" s="3">
        <v>26</v>
      </c>
      <c r="K194" s="3">
        <v>26</v>
      </c>
      <c r="L194" s="54">
        <v>26</v>
      </c>
    </row>
    <row r="195" spans="2:12" x14ac:dyDescent="0.25">
      <c r="B195" s="17">
        <v>44937</v>
      </c>
      <c r="C195" s="13">
        <v>17934.900000000001</v>
      </c>
      <c r="D195" s="54">
        <v>26</v>
      </c>
      <c r="F195" s="17">
        <v>44937</v>
      </c>
      <c r="G195" s="13">
        <v>17934.900000000001</v>
      </c>
      <c r="H195" s="4">
        <v>17934.900000000001</v>
      </c>
      <c r="I195" s="4">
        <v>17934.900000000001</v>
      </c>
      <c r="J195" s="3">
        <v>26</v>
      </c>
      <c r="K195" s="3">
        <v>26</v>
      </c>
      <c r="L195" s="54">
        <v>26</v>
      </c>
    </row>
    <row r="196" spans="2:12" x14ac:dyDescent="0.25">
      <c r="B196" s="17">
        <v>44938</v>
      </c>
      <c r="C196" s="13">
        <v>18869.59</v>
      </c>
      <c r="D196" s="54">
        <v>30</v>
      </c>
      <c r="F196" s="17">
        <v>44938</v>
      </c>
      <c r="G196" s="13">
        <v>18869.59</v>
      </c>
      <c r="H196" s="4">
        <v>18869.59</v>
      </c>
      <c r="I196" s="4">
        <v>18869.59</v>
      </c>
      <c r="J196" s="3">
        <v>30</v>
      </c>
      <c r="K196" s="3">
        <v>30</v>
      </c>
      <c r="L196" s="54">
        <v>30</v>
      </c>
    </row>
    <row r="197" spans="2:12" x14ac:dyDescent="0.25">
      <c r="B197" s="17">
        <v>44939</v>
      </c>
      <c r="C197" s="13">
        <v>19909.57</v>
      </c>
      <c r="D197" s="54">
        <v>31</v>
      </c>
      <c r="F197" s="17">
        <v>44939</v>
      </c>
      <c r="G197" s="13">
        <v>19909.57</v>
      </c>
      <c r="H197" s="4">
        <v>19909.57</v>
      </c>
      <c r="I197" s="4">
        <v>19909.57</v>
      </c>
      <c r="J197" s="3">
        <v>31</v>
      </c>
      <c r="K197" s="3">
        <v>31</v>
      </c>
      <c r="L197" s="54">
        <v>31</v>
      </c>
    </row>
    <row r="198" spans="2:12" x14ac:dyDescent="0.25">
      <c r="B198" s="17">
        <v>44940</v>
      </c>
      <c r="C198" s="13">
        <v>20976.3</v>
      </c>
      <c r="D198" s="54">
        <v>46</v>
      </c>
      <c r="F198" s="17">
        <v>44940</v>
      </c>
      <c r="G198" s="13">
        <v>20976.3</v>
      </c>
      <c r="H198" s="4">
        <v>20976.3</v>
      </c>
      <c r="I198" s="4">
        <v>20976.3</v>
      </c>
      <c r="J198" s="3">
        <v>46</v>
      </c>
      <c r="K198" s="3">
        <v>46</v>
      </c>
      <c r="L198" s="54">
        <v>46</v>
      </c>
    </row>
    <row r="199" spans="2:12" x14ac:dyDescent="0.25">
      <c r="B199" s="17">
        <v>44941</v>
      </c>
      <c r="C199" s="13">
        <v>20880.8</v>
      </c>
      <c r="D199" s="54">
        <v>52</v>
      </c>
      <c r="F199" s="17">
        <v>44941</v>
      </c>
      <c r="G199" s="13">
        <v>20880.8</v>
      </c>
      <c r="H199" s="4">
        <v>20880.8</v>
      </c>
      <c r="I199" s="4">
        <v>20880.8</v>
      </c>
      <c r="J199" s="3">
        <v>52</v>
      </c>
      <c r="K199" s="3">
        <v>52</v>
      </c>
      <c r="L199" s="54">
        <v>52</v>
      </c>
    </row>
    <row r="200" spans="2:12" x14ac:dyDescent="0.25">
      <c r="B200" s="17">
        <v>44942</v>
      </c>
      <c r="C200" s="13">
        <v>21169.63</v>
      </c>
      <c r="D200" s="54">
        <v>45</v>
      </c>
      <c r="F200" s="17">
        <v>44942</v>
      </c>
      <c r="G200" s="13">
        <v>21169.63</v>
      </c>
      <c r="H200" s="4">
        <v>21169.63</v>
      </c>
      <c r="I200" s="4">
        <v>21169.63</v>
      </c>
      <c r="J200" s="3">
        <v>45</v>
      </c>
      <c r="K200" s="3">
        <v>45</v>
      </c>
      <c r="L200" s="54">
        <v>45</v>
      </c>
    </row>
    <row r="201" spans="2:12" x14ac:dyDescent="0.25">
      <c r="B201" s="17">
        <v>44943</v>
      </c>
      <c r="C201" s="13">
        <v>21161.52</v>
      </c>
      <c r="D201" s="54">
        <v>51</v>
      </c>
      <c r="F201" s="17">
        <v>44943</v>
      </c>
      <c r="G201" s="13">
        <v>21161.52</v>
      </c>
      <c r="H201" s="4">
        <v>21161.52</v>
      </c>
      <c r="I201" s="4">
        <v>21161.52</v>
      </c>
      <c r="J201" s="3">
        <v>51</v>
      </c>
      <c r="K201" s="3">
        <v>51</v>
      </c>
      <c r="L201" s="54">
        <v>51</v>
      </c>
    </row>
    <row r="202" spans="2:12" x14ac:dyDescent="0.25">
      <c r="B202" s="17">
        <v>44944</v>
      </c>
      <c r="C202" s="13">
        <v>20688.78</v>
      </c>
      <c r="D202" s="54">
        <v>52</v>
      </c>
      <c r="F202" s="17">
        <v>44944</v>
      </c>
      <c r="G202" s="13">
        <v>20688.78</v>
      </c>
      <c r="H202" s="4">
        <v>20688.78</v>
      </c>
      <c r="I202" s="4">
        <v>20688.78</v>
      </c>
      <c r="J202" s="3">
        <v>52</v>
      </c>
      <c r="K202" s="3">
        <v>52</v>
      </c>
      <c r="L202" s="54">
        <v>52</v>
      </c>
    </row>
    <row r="203" spans="2:12" ht="15.75" thickBot="1" x14ac:dyDescent="0.3">
      <c r="B203" s="18">
        <v>44945</v>
      </c>
      <c r="C203" s="13">
        <v>21086.79</v>
      </c>
      <c r="D203" s="54">
        <v>45</v>
      </c>
      <c r="F203" s="18">
        <v>44945</v>
      </c>
      <c r="G203" s="13">
        <v>21086.79</v>
      </c>
      <c r="H203" s="4">
        <v>21086.79</v>
      </c>
      <c r="I203" s="4">
        <v>21086.79</v>
      </c>
      <c r="J203" s="3">
        <v>45</v>
      </c>
      <c r="K203" s="3">
        <v>45</v>
      </c>
      <c r="L203" s="54">
        <v>45</v>
      </c>
    </row>
    <row r="204" spans="2:12" x14ac:dyDescent="0.25">
      <c r="B204" s="16">
        <v>44946</v>
      </c>
      <c r="C204" s="13">
        <v>22676.55</v>
      </c>
      <c r="D204" s="54">
        <v>51</v>
      </c>
      <c r="F204" s="16">
        <v>44946</v>
      </c>
      <c r="G204" s="13">
        <v>22676.55</v>
      </c>
      <c r="H204" s="4">
        <v>22676.55</v>
      </c>
      <c r="I204" s="4">
        <v>22676.55</v>
      </c>
      <c r="J204" s="3">
        <v>51</v>
      </c>
      <c r="K204" s="3">
        <v>51</v>
      </c>
      <c r="L204" s="54">
        <v>51</v>
      </c>
    </row>
    <row r="205" spans="2:12" x14ac:dyDescent="0.25">
      <c r="B205" s="17">
        <v>44947</v>
      </c>
      <c r="C205" s="13">
        <v>22777.63</v>
      </c>
      <c r="D205" s="54">
        <v>53</v>
      </c>
      <c r="F205" s="17">
        <v>44947</v>
      </c>
      <c r="G205" s="13">
        <v>22777.63</v>
      </c>
      <c r="H205" s="4">
        <v>22777.63</v>
      </c>
      <c r="I205" s="4">
        <v>22777.63</v>
      </c>
      <c r="J205" s="3">
        <v>53</v>
      </c>
      <c r="K205" s="3">
        <v>53</v>
      </c>
      <c r="L205" s="54">
        <v>53</v>
      </c>
    </row>
    <row r="206" spans="2:12" x14ac:dyDescent="0.25">
      <c r="B206" s="17">
        <v>44948</v>
      </c>
      <c r="C206" s="13">
        <v>22720.42</v>
      </c>
      <c r="D206" s="54">
        <v>53</v>
      </c>
      <c r="F206" s="17">
        <v>44948</v>
      </c>
      <c r="G206" s="13">
        <v>22720.42</v>
      </c>
      <c r="H206" s="4">
        <v>22720.42</v>
      </c>
      <c r="I206" s="4">
        <v>22720.42</v>
      </c>
      <c r="J206" s="3">
        <v>53</v>
      </c>
      <c r="K206" s="3">
        <v>53</v>
      </c>
      <c r="L206" s="54">
        <v>53</v>
      </c>
    </row>
    <row r="207" spans="2:12" x14ac:dyDescent="0.25">
      <c r="B207" s="17">
        <v>44949</v>
      </c>
      <c r="C207" s="13">
        <v>22934.43</v>
      </c>
      <c r="D207" s="54">
        <v>50</v>
      </c>
      <c r="F207" s="17">
        <v>44949</v>
      </c>
      <c r="G207" s="13">
        <v>22934.43</v>
      </c>
      <c r="H207" s="4">
        <v>22934.43</v>
      </c>
      <c r="I207" s="4">
        <v>22934.43</v>
      </c>
      <c r="J207" s="3">
        <v>50</v>
      </c>
      <c r="K207" s="3">
        <v>50</v>
      </c>
      <c r="L207" s="54">
        <v>50</v>
      </c>
    </row>
    <row r="208" spans="2:12" x14ac:dyDescent="0.25">
      <c r="B208" s="17">
        <v>44950</v>
      </c>
      <c r="C208" s="13">
        <v>22636.47</v>
      </c>
      <c r="D208" s="54">
        <v>52</v>
      </c>
      <c r="F208" s="17">
        <v>44950</v>
      </c>
      <c r="G208" s="13">
        <v>22636.47</v>
      </c>
      <c r="H208" s="4">
        <v>22636.47</v>
      </c>
      <c r="I208" s="4">
        <v>22636.47</v>
      </c>
      <c r="J208" s="3">
        <v>52</v>
      </c>
      <c r="K208" s="3">
        <v>52</v>
      </c>
      <c r="L208" s="54">
        <v>52</v>
      </c>
    </row>
    <row r="209" spans="2:12" x14ac:dyDescent="0.25">
      <c r="B209" s="17">
        <v>44951</v>
      </c>
      <c r="C209" s="13">
        <v>23117.86</v>
      </c>
      <c r="D209" s="54">
        <v>51</v>
      </c>
      <c r="F209" s="17">
        <v>44951</v>
      </c>
      <c r="G209" s="13">
        <v>23117.86</v>
      </c>
      <c r="H209" s="4">
        <v>23117.86</v>
      </c>
      <c r="I209" s="4">
        <v>23117.86</v>
      </c>
      <c r="J209" s="3">
        <v>51</v>
      </c>
      <c r="K209" s="3">
        <v>51</v>
      </c>
      <c r="L209" s="54">
        <v>51</v>
      </c>
    </row>
    <row r="210" spans="2:12" x14ac:dyDescent="0.25">
      <c r="B210" s="17">
        <v>44952</v>
      </c>
      <c r="C210" s="13">
        <v>23032.78</v>
      </c>
      <c r="D210" s="54">
        <v>54</v>
      </c>
      <c r="F210" s="17">
        <v>44952</v>
      </c>
      <c r="G210" s="13">
        <v>23032.78</v>
      </c>
      <c r="H210" s="4">
        <v>23032.78</v>
      </c>
      <c r="I210" s="4">
        <v>23032.78</v>
      </c>
      <c r="J210" s="3">
        <v>54</v>
      </c>
      <c r="K210" s="3">
        <v>54</v>
      </c>
      <c r="L210" s="54">
        <v>54</v>
      </c>
    </row>
    <row r="211" spans="2:12" x14ac:dyDescent="0.25">
      <c r="B211" s="17">
        <v>44953</v>
      </c>
      <c r="C211" s="13">
        <v>23078.73</v>
      </c>
      <c r="D211" s="54">
        <v>55</v>
      </c>
      <c r="F211" s="17">
        <v>44953</v>
      </c>
      <c r="G211" s="13">
        <v>23078.73</v>
      </c>
      <c r="H211" s="4">
        <v>23078.73</v>
      </c>
      <c r="I211" s="4">
        <v>23078.73</v>
      </c>
      <c r="J211" s="3">
        <v>55</v>
      </c>
      <c r="K211" s="3">
        <v>55</v>
      </c>
      <c r="L211" s="54">
        <v>55</v>
      </c>
    </row>
    <row r="212" spans="2:12" x14ac:dyDescent="0.25">
      <c r="B212" s="17">
        <v>44954</v>
      </c>
      <c r="C212" s="13">
        <v>23031.09</v>
      </c>
      <c r="D212" s="54">
        <v>52</v>
      </c>
      <c r="F212" s="17">
        <v>44954</v>
      </c>
      <c r="G212" s="13">
        <v>23031.09</v>
      </c>
      <c r="H212" s="4">
        <v>23031.09</v>
      </c>
      <c r="I212" s="4">
        <v>23031.09</v>
      </c>
      <c r="J212" s="3">
        <v>52</v>
      </c>
      <c r="K212" s="3">
        <v>52</v>
      </c>
      <c r="L212" s="54">
        <v>52</v>
      </c>
    </row>
    <row r="213" spans="2:12" x14ac:dyDescent="0.25">
      <c r="B213" s="17">
        <v>44955</v>
      </c>
      <c r="C213" s="13">
        <v>23774.57</v>
      </c>
      <c r="D213" s="54">
        <v>55</v>
      </c>
      <c r="F213" s="17">
        <v>44955</v>
      </c>
      <c r="G213" s="13">
        <v>23774.57</v>
      </c>
      <c r="H213" s="4">
        <v>23774.57</v>
      </c>
      <c r="I213" s="4">
        <v>23774.57</v>
      </c>
      <c r="J213" s="3">
        <v>55</v>
      </c>
      <c r="K213" s="3">
        <v>55</v>
      </c>
      <c r="L213" s="54">
        <v>55</v>
      </c>
    </row>
    <row r="214" spans="2:12" x14ac:dyDescent="0.25">
      <c r="B214" s="17">
        <v>44956</v>
      </c>
      <c r="C214" s="13">
        <v>22840.14</v>
      </c>
      <c r="D214" s="54">
        <v>61</v>
      </c>
      <c r="F214" s="17">
        <v>44956</v>
      </c>
      <c r="G214" s="13">
        <v>22840.14</v>
      </c>
      <c r="H214" s="4">
        <v>22840.14</v>
      </c>
      <c r="I214" s="4">
        <v>22840.14</v>
      </c>
      <c r="J214" s="3">
        <v>61</v>
      </c>
      <c r="K214" s="3">
        <v>61</v>
      </c>
      <c r="L214" s="54">
        <v>61</v>
      </c>
    </row>
    <row r="215" spans="2:12" x14ac:dyDescent="0.25">
      <c r="B215" s="17">
        <v>44957</v>
      </c>
      <c r="C215" s="13">
        <v>23139.279999999999</v>
      </c>
      <c r="D215" s="54">
        <v>51</v>
      </c>
      <c r="F215" s="17">
        <v>44957</v>
      </c>
      <c r="G215" s="13">
        <v>23139.279999999999</v>
      </c>
      <c r="H215" s="4">
        <v>23139.279999999999</v>
      </c>
      <c r="I215" s="4">
        <v>23139.279999999999</v>
      </c>
      <c r="J215" s="3">
        <v>51</v>
      </c>
      <c r="K215" s="3">
        <v>51</v>
      </c>
      <c r="L215" s="54">
        <v>51</v>
      </c>
    </row>
    <row r="216" spans="2:12" x14ac:dyDescent="0.25">
      <c r="B216" s="17">
        <v>44958</v>
      </c>
      <c r="C216" s="13">
        <v>23723.77</v>
      </c>
      <c r="D216" s="54">
        <v>56</v>
      </c>
      <c r="F216" s="17">
        <v>44958</v>
      </c>
      <c r="G216" s="13">
        <v>23723.77</v>
      </c>
      <c r="H216" s="4">
        <v>23723.77</v>
      </c>
      <c r="I216" s="4">
        <v>23723.77</v>
      </c>
      <c r="J216" s="3">
        <v>56</v>
      </c>
      <c r="K216" s="3">
        <v>56</v>
      </c>
      <c r="L216" s="54">
        <v>56</v>
      </c>
    </row>
    <row r="217" spans="2:12" x14ac:dyDescent="0.25">
      <c r="B217" s="17">
        <v>44959</v>
      </c>
      <c r="C217" s="13">
        <v>23471.87</v>
      </c>
      <c r="D217" s="54">
        <v>60</v>
      </c>
      <c r="F217" s="17">
        <v>44959</v>
      </c>
      <c r="G217" s="13">
        <v>23471.87</v>
      </c>
      <c r="H217" s="4">
        <v>23471.87</v>
      </c>
      <c r="I217" s="4">
        <v>23471.87</v>
      </c>
      <c r="J217" s="3">
        <v>60</v>
      </c>
      <c r="K217" s="3">
        <v>60</v>
      </c>
      <c r="L217" s="54">
        <v>60</v>
      </c>
    </row>
    <row r="218" spans="2:12" x14ac:dyDescent="0.25">
      <c r="B218" s="17">
        <v>44960</v>
      </c>
      <c r="C218" s="13">
        <v>23449.32</v>
      </c>
      <c r="D218" s="54">
        <v>60</v>
      </c>
      <c r="F218" s="17">
        <v>44960</v>
      </c>
      <c r="G218" s="13">
        <v>23449.32</v>
      </c>
      <c r="H218" s="4">
        <v>23449.32</v>
      </c>
      <c r="I218" s="4">
        <v>23449.32</v>
      </c>
      <c r="J218" s="3">
        <v>60</v>
      </c>
      <c r="K218" s="3">
        <v>60</v>
      </c>
      <c r="L218" s="54">
        <v>60</v>
      </c>
    </row>
    <row r="219" spans="2:12" x14ac:dyDescent="0.25">
      <c r="B219" s="17">
        <v>44961</v>
      </c>
      <c r="C219" s="13">
        <v>23331.85</v>
      </c>
      <c r="D219" s="54">
        <v>58</v>
      </c>
      <c r="F219" s="17">
        <v>44961</v>
      </c>
      <c r="G219" s="13">
        <v>23331.85</v>
      </c>
      <c r="H219" s="4">
        <v>23331.85</v>
      </c>
      <c r="I219" s="4">
        <v>23331.85</v>
      </c>
      <c r="J219" s="3">
        <v>58</v>
      </c>
      <c r="K219" s="3">
        <v>58</v>
      </c>
      <c r="L219" s="54">
        <v>58</v>
      </c>
    </row>
    <row r="220" spans="2:12" x14ac:dyDescent="0.25">
      <c r="B220" s="17">
        <v>44962</v>
      </c>
      <c r="C220" s="13">
        <v>22955.67</v>
      </c>
      <c r="D220" s="54">
        <v>58</v>
      </c>
      <c r="F220" s="17">
        <v>44962</v>
      </c>
      <c r="G220" s="13">
        <v>22955.67</v>
      </c>
      <c r="H220" s="4">
        <v>22955.67</v>
      </c>
      <c r="I220" s="4">
        <v>22955.67</v>
      </c>
      <c r="J220" s="3">
        <v>58</v>
      </c>
      <c r="K220" s="3">
        <v>58</v>
      </c>
      <c r="L220" s="54">
        <v>58</v>
      </c>
    </row>
    <row r="221" spans="2:12" x14ac:dyDescent="0.25">
      <c r="B221" s="17">
        <v>44963</v>
      </c>
      <c r="C221" s="13">
        <v>22760.11</v>
      </c>
      <c r="D221" s="54">
        <v>56</v>
      </c>
      <c r="F221" s="17">
        <v>44963</v>
      </c>
      <c r="G221" s="13">
        <v>22760.11</v>
      </c>
      <c r="H221" s="4">
        <v>22760.11</v>
      </c>
      <c r="I221" s="4">
        <v>22760.11</v>
      </c>
      <c r="J221" s="3">
        <v>56</v>
      </c>
      <c r="K221" s="3">
        <v>56</v>
      </c>
      <c r="L221" s="54">
        <v>56</v>
      </c>
    </row>
    <row r="222" spans="2:12" x14ac:dyDescent="0.25">
      <c r="B222" s="17">
        <v>44964</v>
      </c>
      <c r="C222" s="13">
        <v>23264.29</v>
      </c>
      <c r="D222" s="54">
        <v>54</v>
      </c>
      <c r="F222" s="17">
        <v>44964</v>
      </c>
      <c r="G222" s="13">
        <v>23264.29</v>
      </c>
      <c r="H222" s="4">
        <v>23264.29</v>
      </c>
      <c r="I222" s="4">
        <v>23264.29</v>
      </c>
      <c r="J222" s="3">
        <v>54</v>
      </c>
      <c r="K222" s="3">
        <v>54</v>
      </c>
      <c r="L222" s="54">
        <v>54</v>
      </c>
    </row>
    <row r="223" spans="2:12" x14ac:dyDescent="0.25">
      <c r="B223" s="17">
        <v>44965</v>
      </c>
      <c r="C223" s="13">
        <v>22939.4</v>
      </c>
      <c r="D223" s="54">
        <v>58</v>
      </c>
      <c r="F223" s="17">
        <v>44965</v>
      </c>
      <c r="G223" s="13">
        <v>22939.4</v>
      </c>
      <c r="H223" s="4">
        <v>22939.4</v>
      </c>
      <c r="I223" s="4">
        <v>22939.4</v>
      </c>
      <c r="J223" s="3">
        <v>58</v>
      </c>
      <c r="K223" s="3">
        <v>58</v>
      </c>
      <c r="L223" s="54">
        <v>58</v>
      </c>
    </row>
    <row r="224" spans="2:12" x14ac:dyDescent="0.25">
      <c r="B224" s="17">
        <v>44966</v>
      </c>
      <c r="C224" s="13">
        <v>21819.040000000001</v>
      </c>
      <c r="D224" s="54">
        <v>55</v>
      </c>
      <c r="F224" s="17">
        <v>44966</v>
      </c>
      <c r="G224" s="13">
        <v>21819.040000000001</v>
      </c>
      <c r="H224" s="4">
        <v>21819.040000000001</v>
      </c>
      <c r="I224" s="4">
        <v>21819.040000000001</v>
      </c>
      <c r="J224" s="3">
        <v>55</v>
      </c>
      <c r="K224" s="3">
        <v>55</v>
      </c>
      <c r="L224" s="54">
        <v>55</v>
      </c>
    </row>
    <row r="225" spans="2:12" x14ac:dyDescent="0.25">
      <c r="B225" s="17">
        <v>44967</v>
      </c>
      <c r="C225" s="13">
        <v>21651.18</v>
      </c>
      <c r="D225" s="54">
        <v>48</v>
      </c>
      <c r="F225" s="17">
        <v>44967</v>
      </c>
      <c r="G225" s="13">
        <v>21651.18</v>
      </c>
      <c r="H225" s="4">
        <v>21651.18</v>
      </c>
      <c r="I225" s="4">
        <v>21651.18</v>
      </c>
      <c r="J225" s="3">
        <v>48</v>
      </c>
      <c r="K225" s="3">
        <v>48</v>
      </c>
      <c r="L225" s="54">
        <v>48</v>
      </c>
    </row>
    <row r="226" spans="2:12" x14ac:dyDescent="0.25">
      <c r="B226" s="17">
        <v>44968</v>
      </c>
      <c r="C226" s="13">
        <v>21870.880000000001</v>
      </c>
      <c r="D226" s="54">
        <v>49</v>
      </c>
      <c r="F226" s="17">
        <v>44968</v>
      </c>
      <c r="G226" s="13">
        <v>21870.880000000001</v>
      </c>
      <c r="H226" s="4">
        <v>21870.880000000001</v>
      </c>
      <c r="I226" s="4">
        <v>21870.880000000001</v>
      </c>
      <c r="J226" s="3">
        <v>49</v>
      </c>
      <c r="K226" s="3">
        <v>49</v>
      </c>
      <c r="L226" s="54">
        <v>49</v>
      </c>
    </row>
    <row r="227" spans="2:12" x14ac:dyDescent="0.25">
      <c r="B227" s="17">
        <v>44969</v>
      </c>
      <c r="C227" s="13">
        <v>21788.2</v>
      </c>
      <c r="D227" s="54">
        <v>50</v>
      </c>
      <c r="F227" s="17">
        <v>44969</v>
      </c>
      <c r="G227" s="13">
        <v>21788.2</v>
      </c>
      <c r="H227" s="4">
        <v>21788.2</v>
      </c>
      <c r="I227" s="4">
        <v>21788.2</v>
      </c>
      <c r="J227" s="3">
        <v>50</v>
      </c>
      <c r="K227" s="3">
        <v>50</v>
      </c>
      <c r="L227" s="54">
        <v>50</v>
      </c>
    </row>
    <row r="228" spans="2:12" x14ac:dyDescent="0.25">
      <c r="B228" s="17">
        <v>44970</v>
      </c>
      <c r="C228" s="13">
        <v>21808.1</v>
      </c>
      <c r="D228" s="54">
        <v>48</v>
      </c>
      <c r="F228" s="17">
        <v>44970</v>
      </c>
      <c r="G228" s="13">
        <v>21808.1</v>
      </c>
      <c r="H228" s="4">
        <v>21808.1</v>
      </c>
      <c r="I228" s="4">
        <v>21808.1</v>
      </c>
      <c r="J228" s="3">
        <v>48</v>
      </c>
      <c r="K228" s="3">
        <v>48</v>
      </c>
      <c r="L228" s="54">
        <v>48</v>
      </c>
    </row>
    <row r="229" spans="2:12" x14ac:dyDescent="0.25">
      <c r="B229" s="17">
        <v>44971</v>
      </c>
      <c r="C229" s="13">
        <v>22220.799999999999</v>
      </c>
      <c r="D229" s="54">
        <v>50</v>
      </c>
      <c r="F229" s="17">
        <v>44971</v>
      </c>
      <c r="G229" s="13">
        <v>22220.799999999999</v>
      </c>
      <c r="H229" s="4">
        <v>22220.799999999999</v>
      </c>
      <c r="I229" s="4">
        <v>22220.799999999999</v>
      </c>
      <c r="J229" s="3">
        <v>50</v>
      </c>
      <c r="K229" s="3">
        <v>50</v>
      </c>
      <c r="L229" s="54">
        <v>50</v>
      </c>
    </row>
    <row r="230" spans="2:12" x14ac:dyDescent="0.25">
      <c r="B230" s="17">
        <v>44972</v>
      </c>
      <c r="C230" s="13">
        <v>24307.84</v>
      </c>
      <c r="D230" s="54">
        <v>53</v>
      </c>
      <c r="F230" s="17">
        <v>44972</v>
      </c>
      <c r="G230" s="13">
        <v>24307.84</v>
      </c>
      <c r="H230" s="4">
        <v>24307.84</v>
      </c>
      <c r="I230" s="4">
        <v>24307.84</v>
      </c>
      <c r="J230" s="3">
        <v>53</v>
      </c>
      <c r="K230" s="3">
        <v>53</v>
      </c>
      <c r="L230" s="54">
        <v>53</v>
      </c>
    </row>
    <row r="231" spans="2:12" x14ac:dyDescent="0.25">
      <c r="B231" s="17">
        <v>44973</v>
      </c>
      <c r="C231" s="13">
        <v>23623.47</v>
      </c>
      <c r="D231" s="54">
        <v>62</v>
      </c>
      <c r="F231" s="17">
        <v>44973</v>
      </c>
      <c r="G231" s="13">
        <v>23623.47</v>
      </c>
      <c r="H231" s="4">
        <v>23623.47</v>
      </c>
      <c r="I231" s="4">
        <v>23623.47</v>
      </c>
      <c r="J231" s="3">
        <v>62</v>
      </c>
      <c r="K231" s="3">
        <v>62</v>
      </c>
      <c r="L231" s="54">
        <v>62</v>
      </c>
    </row>
    <row r="232" spans="2:12" x14ac:dyDescent="0.25">
      <c r="B232" s="17">
        <v>44974</v>
      </c>
      <c r="C232" s="13">
        <v>24565.599999999999</v>
      </c>
      <c r="D232" s="54">
        <v>61</v>
      </c>
      <c r="F232" s="17">
        <v>44974</v>
      </c>
      <c r="G232" s="13">
        <v>24565.599999999999</v>
      </c>
      <c r="H232" s="4">
        <v>24565.599999999999</v>
      </c>
      <c r="I232" s="4">
        <v>24565.599999999999</v>
      </c>
      <c r="J232" s="3">
        <v>61</v>
      </c>
      <c r="K232" s="3">
        <v>61</v>
      </c>
      <c r="L232" s="54">
        <v>61</v>
      </c>
    </row>
    <row r="233" spans="2:12" x14ac:dyDescent="0.25">
      <c r="B233" s="17">
        <v>44975</v>
      </c>
      <c r="C233" s="13">
        <v>24641.279999999999</v>
      </c>
      <c r="D233" s="54">
        <v>60</v>
      </c>
      <c r="F233" s="17">
        <v>44975</v>
      </c>
      <c r="G233" s="13">
        <v>24641.279999999999</v>
      </c>
      <c r="H233" s="4">
        <v>24641.279999999999</v>
      </c>
      <c r="I233" s="4">
        <v>24641.279999999999</v>
      </c>
      <c r="J233" s="3">
        <v>60</v>
      </c>
      <c r="K233" s="3">
        <v>60</v>
      </c>
      <c r="L233" s="54">
        <v>60</v>
      </c>
    </row>
    <row r="234" spans="2:12" x14ac:dyDescent="0.25">
      <c r="B234" s="17">
        <v>44976</v>
      </c>
      <c r="C234" s="13">
        <v>24327.64</v>
      </c>
      <c r="D234" s="54">
        <v>60</v>
      </c>
      <c r="F234" s="17">
        <v>44976</v>
      </c>
      <c r="G234" s="13">
        <v>24327.64</v>
      </c>
      <c r="H234" s="4">
        <v>24327.64</v>
      </c>
      <c r="I234" s="4">
        <v>24327.64</v>
      </c>
      <c r="J234" s="3">
        <v>60</v>
      </c>
      <c r="K234" s="3">
        <v>60</v>
      </c>
      <c r="L234" s="54">
        <v>60</v>
      </c>
    </row>
    <row r="235" spans="2:12" x14ac:dyDescent="0.25">
      <c r="B235" s="17">
        <v>44977</v>
      </c>
      <c r="C235" s="13">
        <v>24829.15</v>
      </c>
      <c r="D235" s="54">
        <v>58</v>
      </c>
      <c r="F235" s="17">
        <v>44977</v>
      </c>
      <c r="G235" s="13">
        <v>24829.15</v>
      </c>
      <c r="H235" s="4">
        <v>24829.15</v>
      </c>
      <c r="I235" s="4">
        <v>24829.15</v>
      </c>
      <c r="J235" s="3">
        <v>58</v>
      </c>
      <c r="K235" s="3">
        <v>58</v>
      </c>
      <c r="L235" s="54">
        <v>58</v>
      </c>
    </row>
    <row r="236" spans="2:12" x14ac:dyDescent="0.25">
      <c r="B236" s="17">
        <v>44978</v>
      </c>
      <c r="C236" s="13">
        <v>24436.35</v>
      </c>
      <c r="D236" s="54">
        <v>60</v>
      </c>
      <c r="F236" s="17">
        <v>44978</v>
      </c>
      <c r="G236" s="13">
        <v>24436.35</v>
      </c>
      <c r="H236" s="4">
        <v>24436.35</v>
      </c>
      <c r="I236" s="4">
        <v>24436.35</v>
      </c>
      <c r="J236" s="3">
        <v>60</v>
      </c>
      <c r="K236" s="3">
        <v>60</v>
      </c>
      <c r="L236" s="54">
        <v>60</v>
      </c>
    </row>
    <row r="237" spans="2:12" x14ac:dyDescent="0.25">
      <c r="B237" s="17">
        <v>44979</v>
      </c>
      <c r="C237" s="13">
        <v>24188.84</v>
      </c>
      <c r="D237" s="54">
        <v>59</v>
      </c>
      <c r="F237" s="17">
        <v>44979</v>
      </c>
      <c r="G237" s="13">
        <v>24188.84</v>
      </c>
      <c r="H237" s="4">
        <v>24188.84</v>
      </c>
      <c r="I237" s="4">
        <v>24188.84</v>
      </c>
      <c r="J237" s="3">
        <v>59</v>
      </c>
      <c r="K237" s="3">
        <v>59</v>
      </c>
      <c r="L237" s="54">
        <v>59</v>
      </c>
    </row>
    <row r="238" spans="2:12" x14ac:dyDescent="0.25">
      <c r="B238" s="17">
        <v>44980</v>
      </c>
      <c r="C238" s="13">
        <v>23947.49</v>
      </c>
      <c r="D238" s="54">
        <v>56</v>
      </c>
      <c r="F238" s="17">
        <v>44980</v>
      </c>
      <c r="G238" s="13">
        <v>23947.49</v>
      </c>
      <c r="H238" s="4">
        <v>23947.49</v>
      </c>
      <c r="I238" s="4">
        <v>23947.49</v>
      </c>
      <c r="J238" s="3">
        <v>56</v>
      </c>
      <c r="K238" s="3">
        <v>56</v>
      </c>
      <c r="L238" s="54">
        <v>56</v>
      </c>
    </row>
    <row r="239" spans="2:12" x14ac:dyDescent="0.25">
      <c r="B239" s="17">
        <v>44981</v>
      </c>
      <c r="C239" s="13">
        <v>23198.13</v>
      </c>
      <c r="D239" s="54">
        <v>53</v>
      </c>
      <c r="F239" s="17">
        <v>44981</v>
      </c>
      <c r="G239" s="13">
        <v>23198.13</v>
      </c>
      <c r="H239" s="4">
        <v>23198.13</v>
      </c>
      <c r="I239" s="4">
        <v>23198.13</v>
      </c>
      <c r="J239" s="3">
        <v>53</v>
      </c>
      <c r="K239" s="3">
        <v>53</v>
      </c>
      <c r="L239" s="54">
        <v>53</v>
      </c>
    </row>
    <row r="240" spans="2:12" x14ac:dyDescent="0.25">
      <c r="B240" s="17">
        <v>44982</v>
      </c>
      <c r="C240" s="13">
        <v>23175.38</v>
      </c>
      <c r="D240" s="54">
        <v>52</v>
      </c>
      <c r="F240" s="17">
        <v>44982</v>
      </c>
      <c r="G240" s="13">
        <v>23175.38</v>
      </c>
      <c r="H240" s="4">
        <v>23175.38</v>
      </c>
      <c r="I240" s="4">
        <v>23175.38</v>
      </c>
      <c r="J240" s="3">
        <v>52</v>
      </c>
      <c r="K240" s="3">
        <v>52</v>
      </c>
      <c r="L240" s="54">
        <v>52</v>
      </c>
    </row>
    <row r="241" spans="2:12" x14ac:dyDescent="0.25">
      <c r="B241" s="17">
        <v>44983</v>
      </c>
      <c r="C241" s="13">
        <v>23561.21</v>
      </c>
      <c r="D241" s="54">
        <v>51</v>
      </c>
      <c r="F241" s="17">
        <v>44983</v>
      </c>
      <c r="G241" s="13">
        <v>23561.21</v>
      </c>
      <c r="H241" s="4">
        <v>23561.21</v>
      </c>
      <c r="I241" s="4">
        <v>23561.21</v>
      </c>
      <c r="J241" s="3">
        <v>51</v>
      </c>
      <c r="K241" s="3">
        <v>51</v>
      </c>
      <c r="L241" s="54">
        <v>51</v>
      </c>
    </row>
    <row r="242" spans="2:12" x14ac:dyDescent="0.25">
      <c r="B242" s="17">
        <v>44984</v>
      </c>
      <c r="C242" s="13">
        <v>23522.87</v>
      </c>
      <c r="D242" s="54">
        <v>50</v>
      </c>
      <c r="F242" s="17">
        <v>44984</v>
      </c>
      <c r="G242" s="13">
        <v>23522.87</v>
      </c>
      <c r="H242" s="4">
        <v>23522.87</v>
      </c>
      <c r="I242" s="4">
        <v>23522.87</v>
      </c>
      <c r="J242" s="3">
        <v>50</v>
      </c>
      <c r="K242" s="3">
        <v>50</v>
      </c>
      <c r="L242" s="54">
        <v>50</v>
      </c>
    </row>
    <row r="243" spans="2:12" x14ac:dyDescent="0.25">
      <c r="B243" s="17">
        <v>44985</v>
      </c>
      <c r="C243" s="13">
        <v>23147.35</v>
      </c>
      <c r="D243" s="54">
        <v>53</v>
      </c>
      <c r="F243" s="17">
        <v>44985</v>
      </c>
      <c r="G243" s="13">
        <v>23147.35</v>
      </c>
      <c r="H243" s="4">
        <v>23147.35</v>
      </c>
      <c r="I243" s="4">
        <v>23147.35</v>
      </c>
      <c r="J243" s="3">
        <v>53</v>
      </c>
      <c r="K243" s="3">
        <v>53</v>
      </c>
      <c r="L243" s="54">
        <v>53</v>
      </c>
    </row>
    <row r="244" spans="2:12" x14ac:dyDescent="0.25">
      <c r="B244" s="17">
        <v>44986</v>
      </c>
      <c r="C244" s="13">
        <v>23646.55</v>
      </c>
      <c r="D244" s="54">
        <v>50</v>
      </c>
      <c r="F244" s="17">
        <v>44986</v>
      </c>
      <c r="G244" s="13">
        <v>23646.55</v>
      </c>
      <c r="H244" s="4">
        <v>23646.55</v>
      </c>
      <c r="I244" s="4">
        <v>23646.55</v>
      </c>
      <c r="J244" s="3">
        <v>50</v>
      </c>
      <c r="K244" s="3">
        <v>50</v>
      </c>
      <c r="L244" s="54">
        <v>50</v>
      </c>
    </row>
    <row r="245" spans="2:12" x14ac:dyDescent="0.25">
      <c r="B245" s="17">
        <v>44987</v>
      </c>
      <c r="C245" s="13">
        <v>23475.47</v>
      </c>
      <c r="D245" s="54">
        <v>51</v>
      </c>
      <c r="F245" s="17">
        <v>44987</v>
      </c>
      <c r="G245" s="13">
        <v>23475.47</v>
      </c>
      <c r="H245" s="4">
        <v>23475.47</v>
      </c>
      <c r="I245" s="4">
        <v>23475.47</v>
      </c>
      <c r="J245" s="3">
        <v>51</v>
      </c>
      <c r="K245" s="3">
        <v>51</v>
      </c>
      <c r="L245" s="54">
        <v>51</v>
      </c>
    </row>
    <row r="246" spans="2:12" x14ac:dyDescent="0.25">
      <c r="B246" s="17">
        <v>44988</v>
      </c>
      <c r="C246" s="13">
        <v>22362.68</v>
      </c>
      <c r="D246" s="54">
        <v>50</v>
      </c>
      <c r="F246" s="17">
        <v>44988</v>
      </c>
      <c r="G246" s="13">
        <v>22362.68</v>
      </c>
      <c r="H246" s="4">
        <v>22362.68</v>
      </c>
      <c r="I246" s="4">
        <v>22362.68</v>
      </c>
      <c r="J246" s="3">
        <v>50</v>
      </c>
      <c r="K246" s="3">
        <v>50</v>
      </c>
      <c r="L246" s="54">
        <v>50</v>
      </c>
    </row>
    <row r="247" spans="2:12" x14ac:dyDescent="0.25">
      <c r="B247" s="17">
        <v>44989</v>
      </c>
      <c r="C247" s="13">
        <v>22353.35</v>
      </c>
      <c r="D247" s="54">
        <v>50</v>
      </c>
      <c r="F247" s="17">
        <v>44989</v>
      </c>
      <c r="G247" s="13">
        <v>22353.35</v>
      </c>
      <c r="H247" s="4">
        <v>22353.35</v>
      </c>
      <c r="I247" s="4">
        <v>22353.35</v>
      </c>
      <c r="J247" s="3">
        <v>50</v>
      </c>
      <c r="K247" s="3">
        <v>50</v>
      </c>
      <c r="L247" s="54">
        <v>50</v>
      </c>
    </row>
    <row r="248" spans="2:12" x14ac:dyDescent="0.25">
      <c r="B248" s="17">
        <v>44990</v>
      </c>
      <c r="C248" s="13">
        <v>22435.51</v>
      </c>
      <c r="D248" s="54">
        <v>47</v>
      </c>
      <c r="F248" s="17">
        <v>44990</v>
      </c>
      <c r="G248" s="13">
        <v>22435.51</v>
      </c>
      <c r="H248" s="4">
        <v>22435.51</v>
      </c>
      <c r="I248" s="4">
        <v>22435.51</v>
      </c>
      <c r="J248" s="3">
        <v>47</v>
      </c>
      <c r="K248" s="3">
        <v>47</v>
      </c>
      <c r="L248" s="54">
        <v>47</v>
      </c>
    </row>
    <row r="249" spans="2:12" x14ac:dyDescent="0.25">
      <c r="B249" s="17">
        <v>44991</v>
      </c>
      <c r="C249" s="13">
        <v>22429.759999999998</v>
      </c>
      <c r="D249" s="54">
        <v>48</v>
      </c>
      <c r="F249" s="17">
        <v>44991</v>
      </c>
      <c r="G249" s="13">
        <v>22429.759999999998</v>
      </c>
      <c r="H249" s="4">
        <v>22429.759999999998</v>
      </c>
      <c r="I249" s="4">
        <v>22429.759999999998</v>
      </c>
      <c r="J249" s="3">
        <v>48</v>
      </c>
      <c r="K249" s="3">
        <v>48</v>
      </c>
      <c r="L249" s="54">
        <v>48</v>
      </c>
    </row>
    <row r="250" spans="2:12" x14ac:dyDescent="0.25">
      <c r="B250" s="17">
        <v>44992</v>
      </c>
      <c r="C250" s="13">
        <v>22219.77</v>
      </c>
      <c r="D250" s="54">
        <v>49</v>
      </c>
      <c r="F250" s="17">
        <v>44992</v>
      </c>
      <c r="G250" s="13">
        <v>22219.77</v>
      </c>
      <c r="H250" s="4">
        <v>22219.77</v>
      </c>
      <c r="I250" s="4">
        <v>22219.77</v>
      </c>
      <c r="J250" s="3">
        <v>49</v>
      </c>
      <c r="K250" s="3">
        <v>49</v>
      </c>
      <c r="L250" s="54">
        <v>49</v>
      </c>
    </row>
    <row r="251" spans="2:12" x14ac:dyDescent="0.25">
      <c r="B251" s="17">
        <v>44993</v>
      </c>
      <c r="C251" s="13">
        <v>21718.080000000002</v>
      </c>
      <c r="D251" s="54">
        <v>50</v>
      </c>
      <c r="F251" s="17">
        <v>44993</v>
      </c>
      <c r="G251" s="13">
        <v>21718.080000000002</v>
      </c>
      <c r="H251" s="4">
        <v>21718.080000000002</v>
      </c>
      <c r="I251" s="4">
        <v>21718.080000000002</v>
      </c>
      <c r="J251" s="3">
        <v>50</v>
      </c>
      <c r="K251" s="3">
        <v>50</v>
      </c>
      <c r="L251" s="54">
        <v>50</v>
      </c>
    </row>
    <row r="252" spans="2:12" x14ac:dyDescent="0.25">
      <c r="B252" s="17">
        <v>44994</v>
      </c>
      <c r="C252" s="13">
        <v>20363.02</v>
      </c>
      <c r="D252" s="54">
        <v>44</v>
      </c>
      <c r="F252" s="17">
        <v>44994</v>
      </c>
      <c r="G252" s="13">
        <v>20363.02</v>
      </c>
      <c r="H252" s="4">
        <v>20363.02</v>
      </c>
      <c r="I252" s="4">
        <v>20363.02</v>
      </c>
      <c r="J252" s="3">
        <v>44</v>
      </c>
      <c r="K252" s="3">
        <v>44</v>
      </c>
      <c r="L252" s="54">
        <v>44</v>
      </c>
    </row>
    <row r="253" spans="2:12" ht="15.75" thickBot="1" x14ac:dyDescent="0.3">
      <c r="B253" s="18">
        <v>44995</v>
      </c>
      <c r="C253" s="13">
        <v>20187.240000000002</v>
      </c>
      <c r="D253" s="54">
        <v>34</v>
      </c>
      <c r="F253" s="18">
        <v>44995</v>
      </c>
      <c r="G253" s="13">
        <v>20187.240000000002</v>
      </c>
      <c r="H253" s="4">
        <v>20187.240000000002</v>
      </c>
      <c r="I253" s="4">
        <v>20187.240000000002</v>
      </c>
      <c r="J253" s="3">
        <v>34</v>
      </c>
      <c r="K253" s="3">
        <v>34</v>
      </c>
      <c r="L253" s="54">
        <v>34</v>
      </c>
    </row>
    <row r="254" spans="2:12" x14ac:dyDescent="0.25">
      <c r="B254" s="16">
        <v>44996</v>
      </c>
      <c r="C254" s="13">
        <v>20632.41</v>
      </c>
      <c r="D254" s="54">
        <v>33</v>
      </c>
      <c r="F254" s="16">
        <v>44996</v>
      </c>
      <c r="G254" s="13">
        <v>20632.41</v>
      </c>
      <c r="H254" s="4">
        <v>20632.41</v>
      </c>
      <c r="I254" s="4">
        <v>20632.41</v>
      </c>
      <c r="J254" s="3">
        <v>33</v>
      </c>
      <c r="K254" s="3">
        <v>33</v>
      </c>
      <c r="L254" s="54">
        <v>33</v>
      </c>
    </row>
    <row r="255" spans="2:12" x14ac:dyDescent="0.25">
      <c r="B255" s="17">
        <v>44997</v>
      </c>
      <c r="C255" s="13">
        <v>22163.95</v>
      </c>
      <c r="D255" s="54">
        <v>33</v>
      </c>
      <c r="F255" s="17">
        <v>44997</v>
      </c>
      <c r="G255" s="13">
        <v>22163.95</v>
      </c>
      <c r="H255" s="4">
        <v>22163.95</v>
      </c>
      <c r="I255" s="4">
        <v>22163.95</v>
      </c>
      <c r="J255" s="3">
        <v>33</v>
      </c>
      <c r="K255" s="3">
        <v>33</v>
      </c>
      <c r="L255" s="54">
        <v>33</v>
      </c>
    </row>
    <row r="256" spans="2:12" x14ac:dyDescent="0.25">
      <c r="B256" s="17">
        <v>44998</v>
      </c>
      <c r="C256" s="13">
        <v>24197.53</v>
      </c>
      <c r="D256" s="54">
        <v>49</v>
      </c>
      <c r="F256" s="17">
        <v>44998</v>
      </c>
      <c r="G256" s="13">
        <v>24197.53</v>
      </c>
      <c r="H256" s="4">
        <v>24197.53</v>
      </c>
      <c r="I256" s="4">
        <v>24197.53</v>
      </c>
      <c r="J256" s="3">
        <v>49</v>
      </c>
      <c r="K256" s="3">
        <v>49</v>
      </c>
      <c r="L256" s="54">
        <v>49</v>
      </c>
    </row>
    <row r="257" spans="2:12" x14ac:dyDescent="0.25">
      <c r="B257" s="17">
        <v>44999</v>
      </c>
      <c r="C257" s="13">
        <v>24746.07</v>
      </c>
      <c r="D257" s="54">
        <v>56</v>
      </c>
      <c r="F257" s="17">
        <v>44999</v>
      </c>
      <c r="G257" s="13">
        <v>24746.07</v>
      </c>
      <c r="H257" s="4">
        <v>24746.07</v>
      </c>
      <c r="I257" s="4">
        <v>24746.07</v>
      </c>
      <c r="J257" s="3">
        <v>56</v>
      </c>
      <c r="K257" s="3">
        <v>56</v>
      </c>
      <c r="L257" s="54">
        <v>56</v>
      </c>
    </row>
    <row r="258" spans="2:12" x14ac:dyDescent="0.25">
      <c r="B258" s="17">
        <v>45000</v>
      </c>
      <c r="C258" s="13">
        <v>24375.96</v>
      </c>
      <c r="D258" s="54">
        <v>50</v>
      </c>
      <c r="F258" s="17">
        <v>45000</v>
      </c>
      <c r="G258" s="13">
        <v>24375.96</v>
      </c>
      <c r="H258" s="4">
        <v>24375.96</v>
      </c>
      <c r="I258" s="4">
        <v>24375.96</v>
      </c>
      <c r="J258" s="3">
        <v>50</v>
      </c>
      <c r="K258" s="3">
        <v>50</v>
      </c>
      <c r="L258" s="54">
        <v>50</v>
      </c>
    </row>
    <row r="259" spans="2:12" x14ac:dyDescent="0.25">
      <c r="B259" s="17">
        <v>45001</v>
      </c>
      <c r="C259" s="13">
        <v>25052.79</v>
      </c>
      <c r="D259" s="54">
        <v>52</v>
      </c>
      <c r="F259" s="17">
        <v>45001</v>
      </c>
      <c r="G259" s="13">
        <v>25052.79</v>
      </c>
      <c r="H259" s="4">
        <v>25052.79</v>
      </c>
      <c r="I259" s="4">
        <v>25052.79</v>
      </c>
      <c r="J259" s="3">
        <v>52</v>
      </c>
      <c r="K259" s="3">
        <v>52</v>
      </c>
      <c r="L259" s="54">
        <v>52</v>
      </c>
    </row>
    <row r="260" spans="2:12" x14ac:dyDescent="0.25">
      <c r="B260" s="17">
        <v>45002</v>
      </c>
      <c r="C260" s="13">
        <v>27423.93</v>
      </c>
      <c r="D260" s="54">
        <v>51</v>
      </c>
      <c r="F260" s="17">
        <v>45002</v>
      </c>
      <c r="G260" s="13">
        <v>27423.93</v>
      </c>
      <c r="H260" s="4">
        <v>27423.93</v>
      </c>
      <c r="I260" s="4">
        <v>27423.93</v>
      </c>
      <c r="J260" s="3">
        <v>51</v>
      </c>
      <c r="K260" s="3">
        <v>51</v>
      </c>
      <c r="L260" s="54">
        <v>51</v>
      </c>
    </row>
    <row r="261" spans="2:12" x14ac:dyDescent="0.25">
      <c r="B261" s="17">
        <v>45003</v>
      </c>
      <c r="C261" s="13">
        <v>26965.88</v>
      </c>
      <c r="D261" s="54">
        <v>64</v>
      </c>
      <c r="F261" s="17">
        <v>45003</v>
      </c>
      <c r="G261" s="13">
        <v>26965.88</v>
      </c>
      <c r="H261" s="4">
        <v>26965.88</v>
      </c>
      <c r="I261" s="4">
        <v>26965.88</v>
      </c>
      <c r="J261" s="3">
        <v>64</v>
      </c>
      <c r="K261" s="3">
        <v>64</v>
      </c>
      <c r="L261" s="54">
        <v>64</v>
      </c>
    </row>
    <row r="262" spans="2:12" x14ac:dyDescent="0.25">
      <c r="B262" s="17">
        <v>45004</v>
      </c>
      <c r="C262" s="13">
        <v>28038.68</v>
      </c>
      <c r="D262" s="54">
        <v>63</v>
      </c>
      <c r="F262" s="17">
        <v>45004</v>
      </c>
      <c r="G262" s="13">
        <v>28038.68</v>
      </c>
      <c r="H262" s="4">
        <v>28038.68</v>
      </c>
      <c r="I262" s="4">
        <v>28038.68</v>
      </c>
      <c r="J262" s="3">
        <v>63</v>
      </c>
      <c r="K262" s="3">
        <v>63</v>
      </c>
      <c r="L262" s="54">
        <v>63</v>
      </c>
    </row>
    <row r="263" spans="2:12" x14ac:dyDescent="0.25">
      <c r="B263" s="17">
        <v>45005</v>
      </c>
      <c r="C263" s="13">
        <v>27767.24</v>
      </c>
      <c r="D263" s="54">
        <v>66</v>
      </c>
      <c r="F263" s="17">
        <v>45005</v>
      </c>
      <c r="G263" s="13">
        <v>27767.24</v>
      </c>
      <c r="H263" s="4">
        <v>27767.24</v>
      </c>
      <c r="I263" s="4">
        <v>27767.24</v>
      </c>
      <c r="J263" s="3">
        <v>66</v>
      </c>
      <c r="K263" s="3">
        <v>66</v>
      </c>
      <c r="L263" s="54">
        <v>66</v>
      </c>
    </row>
    <row r="264" spans="2:12" x14ac:dyDescent="0.25">
      <c r="B264" s="17">
        <v>45006</v>
      </c>
      <c r="C264" s="13">
        <v>28175.82</v>
      </c>
      <c r="D264" s="54">
        <v>68</v>
      </c>
      <c r="F264" s="17">
        <v>45006</v>
      </c>
      <c r="G264" s="13">
        <v>28175.82</v>
      </c>
      <c r="H264" s="4">
        <v>28175.82</v>
      </c>
      <c r="I264" s="4">
        <v>28175.82</v>
      </c>
      <c r="J264" s="3">
        <v>68</v>
      </c>
      <c r="K264" s="3">
        <v>68</v>
      </c>
      <c r="L264" s="54">
        <v>68</v>
      </c>
    </row>
    <row r="265" spans="2:12" x14ac:dyDescent="0.25">
      <c r="B265" s="17">
        <v>45007</v>
      </c>
      <c r="C265" s="13">
        <v>27307.439999999999</v>
      </c>
      <c r="D265" s="54">
        <v>62</v>
      </c>
      <c r="F265" s="17">
        <v>45007</v>
      </c>
      <c r="G265" s="13">
        <v>27307.439999999999</v>
      </c>
      <c r="H265" s="4">
        <v>27307.439999999999</v>
      </c>
      <c r="I265" s="4">
        <v>27307.439999999999</v>
      </c>
      <c r="J265" s="3">
        <v>62</v>
      </c>
      <c r="K265" s="3">
        <v>62</v>
      </c>
      <c r="L265" s="54">
        <v>62</v>
      </c>
    </row>
    <row r="266" spans="2:12" x14ac:dyDescent="0.25">
      <c r="B266" s="17">
        <v>45008</v>
      </c>
      <c r="C266" s="13">
        <v>28333.97</v>
      </c>
      <c r="D266" s="54">
        <v>57</v>
      </c>
      <c r="F266" s="17">
        <v>45008</v>
      </c>
      <c r="G266" s="13">
        <v>28333.97</v>
      </c>
      <c r="H266" s="4">
        <v>28333.97</v>
      </c>
      <c r="I266" s="4">
        <v>28333.97</v>
      </c>
      <c r="J266" s="3">
        <v>57</v>
      </c>
      <c r="K266" s="3">
        <v>57</v>
      </c>
      <c r="L266" s="54">
        <v>57</v>
      </c>
    </row>
    <row r="267" spans="2:12" x14ac:dyDescent="0.25">
      <c r="B267" s="17">
        <v>45009</v>
      </c>
      <c r="C267" s="13">
        <v>27493.29</v>
      </c>
      <c r="D267" s="54">
        <v>61</v>
      </c>
      <c r="F267" s="17">
        <v>45009</v>
      </c>
      <c r="G267" s="13">
        <v>27493.29</v>
      </c>
      <c r="H267" s="4">
        <v>27493.29</v>
      </c>
      <c r="I267" s="4">
        <v>27493.29</v>
      </c>
      <c r="J267" s="3">
        <v>61</v>
      </c>
      <c r="K267" s="3">
        <v>61</v>
      </c>
      <c r="L267" s="54">
        <v>61</v>
      </c>
    </row>
    <row r="268" spans="2:12" x14ac:dyDescent="0.25">
      <c r="B268" s="17">
        <v>45010</v>
      </c>
      <c r="C268" s="13">
        <v>27494.71</v>
      </c>
      <c r="D268" s="54">
        <v>64</v>
      </c>
      <c r="F268" s="17">
        <v>45010</v>
      </c>
      <c r="G268" s="13">
        <v>27494.71</v>
      </c>
      <c r="H268" s="4">
        <v>27494.71</v>
      </c>
      <c r="I268" s="4">
        <v>27494.71</v>
      </c>
      <c r="J268" s="3">
        <v>64</v>
      </c>
      <c r="K268" s="3">
        <v>64</v>
      </c>
      <c r="L268" s="54">
        <v>64</v>
      </c>
    </row>
    <row r="269" spans="2:12" x14ac:dyDescent="0.25">
      <c r="B269" s="17">
        <v>45011</v>
      </c>
      <c r="C269" s="13">
        <v>27994.33</v>
      </c>
      <c r="D269" s="54">
        <v>64</v>
      </c>
      <c r="F269" s="17">
        <v>45011</v>
      </c>
      <c r="G269" s="13">
        <v>27994.33</v>
      </c>
      <c r="H269" s="4">
        <v>27994.33</v>
      </c>
      <c r="I269" s="4">
        <v>27994.33</v>
      </c>
      <c r="J269" s="3">
        <v>64</v>
      </c>
      <c r="K269" s="3">
        <v>64</v>
      </c>
      <c r="L269" s="54">
        <v>64</v>
      </c>
    </row>
    <row r="270" spans="2:12" x14ac:dyDescent="0.25">
      <c r="B270" s="17">
        <v>45012</v>
      </c>
      <c r="C270" s="13">
        <v>27139.89</v>
      </c>
      <c r="D270" s="54">
        <v>64</v>
      </c>
      <c r="F270" s="17">
        <v>45012</v>
      </c>
      <c r="G270" s="13">
        <v>27139.89</v>
      </c>
      <c r="H270" s="4">
        <v>27139.89</v>
      </c>
      <c r="I270" s="4">
        <v>27139.89</v>
      </c>
      <c r="J270" s="3">
        <v>64</v>
      </c>
      <c r="K270" s="3">
        <v>64</v>
      </c>
      <c r="L270" s="54">
        <v>64</v>
      </c>
    </row>
    <row r="271" spans="2:12" x14ac:dyDescent="0.25">
      <c r="B271" s="17">
        <v>45013</v>
      </c>
      <c r="C271" s="13">
        <v>27268.13</v>
      </c>
      <c r="D271" s="54">
        <v>59</v>
      </c>
      <c r="F271" s="17">
        <v>45013</v>
      </c>
      <c r="G271" s="13">
        <v>27268.13</v>
      </c>
      <c r="H271" s="4">
        <v>27268.13</v>
      </c>
      <c r="I271" s="4">
        <v>27268.13</v>
      </c>
      <c r="J271" s="3">
        <v>59</v>
      </c>
      <c r="K271" s="3">
        <v>59</v>
      </c>
      <c r="L271" s="54">
        <v>59</v>
      </c>
    </row>
    <row r="272" spans="2:12" x14ac:dyDescent="0.25">
      <c r="B272" s="17">
        <v>45014</v>
      </c>
      <c r="C272" s="13">
        <v>28348.44</v>
      </c>
      <c r="D272" s="54">
        <v>57</v>
      </c>
      <c r="F272" s="17">
        <v>45014</v>
      </c>
      <c r="G272" s="13">
        <v>28348.44</v>
      </c>
      <c r="H272" s="4">
        <v>28348.44</v>
      </c>
      <c r="I272" s="4">
        <v>28348.44</v>
      </c>
      <c r="J272" s="3">
        <v>57</v>
      </c>
      <c r="K272" s="3">
        <v>57</v>
      </c>
      <c r="L272" s="54">
        <v>57</v>
      </c>
    </row>
    <row r="273" spans="2:12" x14ac:dyDescent="0.25">
      <c r="B273" s="17">
        <v>45015</v>
      </c>
      <c r="C273" s="13">
        <v>28033.56</v>
      </c>
      <c r="D273" s="54">
        <v>60</v>
      </c>
      <c r="F273" s="17">
        <v>45015</v>
      </c>
      <c r="G273" s="13">
        <v>28033.56</v>
      </c>
      <c r="H273" s="4">
        <v>28033.56</v>
      </c>
      <c r="I273" s="4">
        <v>28033.56</v>
      </c>
      <c r="J273" s="3">
        <v>60</v>
      </c>
      <c r="K273" s="3">
        <v>60</v>
      </c>
      <c r="L273" s="54">
        <v>60</v>
      </c>
    </row>
    <row r="274" spans="2:12" x14ac:dyDescent="0.25">
      <c r="B274" s="17">
        <v>45016</v>
      </c>
      <c r="C274" s="13">
        <v>28478.48</v>
      </c>
      <c r="D274" s="54">
        <v>63</v>
      </c>
      <c r="F274" s="17">
        <v>45016</v>
      </c>
      <c r="G274" s="13">
        <v>28478.48</v>
      </c>
      <c r="H274" s="4">
        <v>28478.48</v>
      </c>
      <c r="I274" s="4">
        <v>28478.48</v>
      </c>
      <c r="J274" s="3">
        <v>63</v>
      </c>
      <c r="K274" s="3">
        <v>63</v>
      </c>
      <c r="L274" s="54">
        <v>63</v>
      </c>
    </row>
    <row r="275" spans="2:12" x14ac:dyDescent="0.25">
      <c r="B275" s="17">
        <v>45017</v>
      </c>
      <c r="C275" s="13">
        <v>28411.040000000001</v>
      </c>
      <c r="D275" s="54">
        <v>61</v>
      </c>
      <c r="F275" s="17">
        <v>45017</v>
      </c>
      <c r="G275" s="13">
        <v>28411.040000000001</v>
      </c>
      <c r="H275" s="4">
        <v>28411.040000000001</v>
      </c>
      <c r="I275" s="4">
        <v>28411.040000000001</v>
      </c>
      <c r="J275" s="3">
        <v>61</v>
      </c>
      <c r="K275" s="3">
        <v>61</v>
      </c>
      <c r="L275" s="54">
        <v>61</v>
      </c>
    </row>
    <row r="276" spans="2:12" x14ac:dyDescent="0.25">
      <c r="B276" s="17">
        <v>45018</v>
      </c>
      <c r="C276" s="13">
        <v>28199.31</v>
      </c>
      <c r="D276" s="54">
        <v>63</v>
      </c>
      <c r="F276" s="17">
        <v>45018</v>
      </c>
      <c r="G276" s="13">
        <v>28199.31</v>
      </c>
      <c r="H276" s="4">
        <v>28199.31</v>
      </c>
      <c r="I276" s="4">
        <v>28199.31</v>
      </c>
      <c r="J276" s="3">
        <v>63</v>
      </c>
      <c r="K276" s="3">
        <v>63</v>
      </c>
      <c r="L276" s="54">
        <v>63</v>
      </c>
    </row>
    <row r="277" spans="2:12" x14ac:dyDescent="0.25">
      <c r="B277" s="17">
        <v>45019</v>
      </c>
      <c r="C277" s="13">
        <v>27790.22</v>
      </c>
      <c r="D277" s="54">
        <v>63</v>
      </c>
      <c r="F277" s="17">
        <v>45019</v>
      </c>
      <c r="G277" s="13">
        <v>27790.22</v>
      </c>
      <c r="H277" s="4">
        <v>27790.22</v>
      </c>
      <c r="I277" s="4">
        <v>27790.22</v>
      </c>
      <c r="J277" s="3">
        <v>63</v>
      </c>
      <c r="K277" s="3">
        <v>63</v>
      </c>
      <c r="L277" s="54">
        <v>63</v>
      </c>
    </row>
    <row r="278" spans="2:12" x14ac:dyDescent="0.25">
      <c r="B278" s="17">
        <v>45020</v>
      </c>
      <c r="C278" s="13">
        <v>28168.09</v>
      </c>
      <c r="D278" s="54">
        <v>62</v>
      </c>
      <c r="F278" s="17">
        <v>45020</v>
      </c>
      <c r="G278" s="13">
        <v>28168.09</v>
      </c>
      <c r="H278" s="4">
        <v>28168.09</v>
      </c>
      <c r="I278" s="4">
        <v>28168.09</v>
      </c>
      <c r="J278" s="3">
        <v>62</v>
      </c>
      <c r="K278" s="3">
        <v>62</v>
      </c>
      <c r="L278" s="54">
        <v>62</v>
      </c>
    </row>
    <row r="279" spans="2:12" x14ac:dyDescent="0.25">
      <c r="B279" s="17">
        <v>45021</v>
      </c>
      <c r="C279" s="13">
        <v>28177.98</v>
      </c>
      <c r="D279" s="54">
        <v>62</v>
      </c>
      <c r="F279" s="17">
        <v>45021</v>
      </c>
      <c r="G279" s="13">
        <v>28177.98</v>
      </c>
      <c r="H279" s="4">
        <v>28177.98</v>
      </c>
      <c r="I279" s="4">
        <v>28177.98</v>
      </c>
      <c r="J279" s="3">
        <v>62</v>
      </c>
      <c r="K279" s="3">
        <v>62</v>
      </c>
      <c r="L279" s="54">
        <v>62</v>
      </c>
    </row>
    <row r="280" spans="2:12" x14ac:dyDescent="0.25">
      <c r="B280" s="17">
        <v>45022</v>
      </c>
      <c r="C280" s="13">
        <v>28044.14</v>
      </c>
      <c r="D280" s="54">
        <v>63</v>
      </c>
      <c r="F280" s="17">
        <v>45022</v>
      </c>
      <c r="G280" s="13">
        <v>28044.14</v>
      </c>
      <c r="H280" s="4">
        <v>28044.14</v>
      </c>
      <c r="I280" s="4">
        <v>28044.14</v>
      </c>
      <c r="J280" s="3">
        <v>63</v>
      </c>
      <c r="K280" s="3">
        <v>63</v>
      </c>
      <c r="L280" s="54">
        <v>63</v>
      </c>
    </row>
    <row r="281" spans="2:12" x14ac:dyDescent="0.25">
      <c r="B281" s="17">
        <v>45023</v>
      </c>
      <c r="C281" s="13">
        <v>27925.86</v>
      </c>
      <c r="D281" s="54">
        <v>64</v>
      </c>
      <c r="F281" s="17">
        <v>45023</v>
      </c>
      <c r="G281" s="13">
        <v>27925.86</v>
      </c>
      <c r="H281" s="4">
        <v>27925.86</v>
      </c>
      <c r="I281" s="4">
        <v>27925.86</v>
      </c>
      <c r="J281" s="3">
        <v>64</v>
      </c>
      <c r="K281" s="3">
        <v>64</v>
      </c>
      <c r="L281" s="54">
        <v>64</v>
      </c>
    </row>
    <row r="282" spans="2:12" x14ac:dyDescent="0.25">
      <c r="B282" s="17">
        <v>45024</v>
      </c>
      <c r="C282" s="13">
        <v>27947.79</v>
      </c>
      <c r="D282" s="54">
        <v>61</v>
      </c>
      <c r="F282" s="17">
        <v>45024</v>
      </c>
      <c r="G282" s="13">
        <v>27947.79</v>
      </c>
      <c r="H282" s="4">
        <v>27947.79</v>
      </c>
      <c r="I282" s="4">
        <v>27947.79</v>
      </c>
      <c r="J282" s="3">
        <v>61</v>
      </c>
      <c r="K282" s="3">
        <v>61</v>
      </c>
      <c r="L282" s="54">
        <v>61</v>
      </c>
    </row>
    <row r="283" spans="2:12" x14ac:dyDescent="0.25">
      <c r="B283" s="17">
        <v>45025</v>
      </c>
      <c r="C283" s="13">
        <v>28333.05</v>
      </c>
      <c r="D283" s="54">
        <v>61</v>
      </c>
      <c r="F283" s="17">
        <v>45025</v>
      </c>
      <c r="G283" s="13">
        <v>28333.05</v>
      </c>
      <c r="H283" s="4">
        <v>28333.05</v>
      </c>
      <c r="I283" s="4">
        <v>28333.05</v>
      </c>
      <c r="J283" s="3">
        <v>61</v>
      </c>
      <c r="K283" s="3">
        <v>61</v>
      </c>
      <c r="L283" s="54">
        <v>61</v>
      </c>
    </row>
    <row r="284" spans="2:12" x14ac:dyDescent="0.25">
      <c r="B284" s="17">
        <v>45026</v>
      </c>
      <c r="C284" s="13">
        <v>29652.98</v>
      </c>
      <c r="D284" s="54">
        <v>62</v>
      </c>
      <c r="F284" s="17">
        <v>45026</v>
      </c>
      <c r="G284" s="13">
        <v>29652.98</v>
      </c>
      <c r="H284" s="4">
        <v>29652.98</v>
      </c>
      <c r="I284" s="4">
        <v>29652.98</v>
      </c>
      <c r="J284" s="3">
        <v>62</v>
      </c>
      <c r="K284" s="3">
        <v>62</v>
      </c>
      <c r="L284" s="54">
        <v>62</v>
      </c>
    </row>
    <row r="285" spans="2:12" x14ac:dyDescent="0.25">
      <c r="B285" s="17">
        <v>45027</v>
      </c>
      <c r="C285" s="13">
        <v>30235.06</v>
      </c>
      <c r="D285" s="54">
        <v>68</v>
      </c>
      <c r="F285" s="17">
        <v>45027</v>
      </c>
      <c r="G285" s="13">
        <v>30235.06</v>
      </c>
      <c r="H285" s="4">
        <v>30235.06</v>
      </c>
      <c r="I285" s="4">
        <v>30235.06</v>
      </c>
      <c r="J285" s="3">
        <v>68</v>
      </c>
      <c r="K285" s="3">
        <v>68</v>
      </c>
      <c r="L285" s="54">
        <v>68</v>
      </c>
    </row>
    <row r="286" spans="2:12" x14ac:dyDescent="0.25">
      <c r="B286" s="17">
        <v>45028</v>
      </c>
      <c r="C286" s="13">
        <v>30139.05</v>
      </c>
      <c r="D286" s="54">
        <v>65</v>
      </c>
      <c r="F286" s="17">
        <v>45028</v>
      </c>
      <c r="G286" s="13">
        <v>30139.05</v>
      </c>
      <c r="H286" s="4">
        <v>30139.05</v>
      </c>
      <c r="I286" s="4">
        <v>30139.05</v>
      </c>
      <c r="J286" s="3">
        <v>65</v>
      </c>
      <c r="K286" s="3">
        <v>65</v>
      </c>
      <c r="L286" s="54">
        <v>65</v>
      </c>
    </row>
    <row r="287" spans="2:12" x14ac:dyDescent="0.25">
      <c r="B287" s="17">
        <v>45029</v>
      </c>
      <c r="C287" s="13">
        <v>30399.07</v>
      </c>
      <c r="D287" s="54">
        <v>61</v>
      </c>
      <c r="F287" s="17">
        <v>45029</v>
      </c>
      <c r="G287" s="13">
        <v>30399.07</v>
      </c>
      <c r="H287" s="4">
        <v>30399.07</v>
      </c>
      <c r="I287" s="4">
        <v>30399.07</v>
      </c>
      <c r="J287" s="3">
        <v>61</v>
      </c>
      <c r="K287" s="3">
        <v>61</v>
      </c>
      <c r="L287" s="54">
        <v>61</v>
      </c>
    </row>
    <row r="288" spans="2:12" x14ac:dyDescent="0.25">
      <c r="B288" s="17">
        <v>45030</v>
      </c>
      <c r="C288" s="13">
        <v>30485.7</v>
      </c>
      <c r="D288" s="54">
        <v>68</v>
      </c>
      <c r="F288" s="17">
        <v>45030</v>
      </c>
      <c r="G288" s="13">
        <v>30485.7</v>
      </c>
      <c r="H288" s="4">
        <v>30485.7</v>
      </c>
      <c r="I288" s="4">
        <v>30485.7</v>
      </c>
      <c r="J288" s="3">
        <v>68</v>
      </c>
      <c r="K288" s="3">
        <v>68</v>
      </c>
      <c r="L288" s="54">
        <v>68</v>
      </c>
    </row>
    <row r="289" spans="2:12" x14ac:dyDescent="0.25">
      <c r="B289" s="17">
        <v>45031</v>
      </c>
      <c r="C289" s="13">
        <v>30318.5</v>
      </c>
      <c r="D289" s="54">
        <v>68</v>
      </c>
      <c r="F289" s="17">
        <v>45031</v>
      </c>
      <c r="G289" s="13">
        <v>30318.5</v>
      </c>
      <c r="H289" s="4">
        <v>30318.5</v>
      </c>
      <c r="I289" s="4">
        <v>30318.5</v>
      </c>
      <c r="J289" s="3">
        <v>68</v>
      </c>
      <c r="K289" s="3">
        <v>68</v>
      </c>
      <c r="L289" s="54">
        <v>68</v>
      </c>
    </row>
    <row r="290" spans="2:12" x14ac:dyDescent="0.25">
      <c r="B290" s="17">
        <v>45032</v>
      </c>
      <c r="C290" s="13">
        <v>30315.360000000001</v>
      </c>
      <c r="D290" s="54">
        <v>68</v>
      </c>
      <c r="F290" s="17">
        <v>45032</v>
      </c>
      <c r="G290" s="13">
        <v>30315.360000000001</v>
      </c>
      <c r="H290" s="4">
        <v>30315.360000000001</v>
      </c>
      <c r="I290" s="4">
        <v>30315.360000000001</v>
      </c>
      <c r="J290" s="3">
        <v>68</v>
      </c>
      <c r="K290" s="3">
        <v>68</v>
      </c>
      <c r="L290" s="54">
        <v>68</v>
      </c>
    </row>
    <row r="291" spans="2:12" x14ac:dyDescent="0.25">
      <c r="B291" s="17">
        <v>45033</v>
      </c>
      <c r="C291" s="13">
        <v>29445.040000000001</v>
      </c>
      <c r="D291" s="54">
        <v>69</v>
      </c>
      <c r="F291" s="17">
        <v>45033</v>
      </c>
      <c r="G291" s="13">
        <v>29445.040000000001</v>
      </c>
      <c r="H291" s="4">
        <v>29445.040000000001</v>
      </c>
      <c r="I291" s="4">
        <v>29445.040000000001</v>
      </c>
      <c r="J291" s="3">
        <v>69</v>
      </c>
      <c r="K291" s="3">
        <v>69</v>
      </c>
      <c r="L291" s="54">
        <v>69</v>
      </c>
    </row>
    <row r="292" spans="2:12" x14ac:dyDescent="0.25">
      <c r="B292" s="17">
        <v>45034</v>
      </c>
      <c r="C292" s="13">
        <v>30397.55</v>
      </c>
      <c r="D292" s="54">
        <v>58</v>
      </c>
      <c r="F292" s="17">
        <v>45034</v>
      </c>
      <c r="G292" s="13">
        <v>30397.55</v>
      </c>
      <c r="H292" s="4">
        <v>30397.55</v>
      </c>
      <c r="I292" s="4">
        <v>30397.55</v>
      </c>
      <c r="J292" s="3">
        <v>58</v>
      </c>
      <c r="K292" s="3">
        <v>58</v>
      </c>
      <c r="L292" s="54">
        <v>58</v>
      </c>
    </row>
    <row r="293" spans="2:12" x14ac:dyDescent="0.25">
      <c r="B293" s="17">
        <v>45035</v>
      </c>
      <c r="C293" s="13">
        <v>28822.68</v>
      </c>
      <c r="D293" s="54">
        <v>63</v>
      </c>
      <c r="F293" s="17">
        <v>45035</v>
      </c>
      <c r="G293" s="13">
        <v>28822.68</v>
      </c>
      <c r="H293" s="4">
        <v>28822.68</v>
      </c>
      <c r="I293" s="4">
        <v>28822.68</v>
      </c>
      <c r="J293" s="3">
        <v>63</v>
      </c>
      <c r="K293" s="3">
        <v>63</v>
      </c>
      <c r="L293" s="54">
        <v>63</v>
      </c>
    </row>
    <row r="294" spans="2:12" x14ac:dyDescent="0.25">
      <c r="B294" s="17">
        <v>45036</v>
      </c>
      <c r="C294" s="13">
        <v>28245.99</v>
      </c>
      <c r="D294" s="54">
        <v>52</v>
      </c>
      <c r="F294" s="17">
        <v>45036</v>
      </c>
      <c r="G294" s="13">
        <v>28245.99</v>
      </c>
      <c r="H294" s="4">
        <v>28245.99</v>
      </c>
      <c r="I294" s="4">
        <v>28245.99</v>
      </c>
      <c r="J294" s="3">
        <v>52</v>
      </c>
      <c r="K294" s="3">
        <v>52</v>
      </c>
      <c r="L294" s="54">
        <v>52</v>
      </c>
    </row>
    <row r="295" spans="2:12" x14ac:dyDescent="0.25">
      <c r="B295" s="17">
        <v>45037</v>
      </c>
      <c r="C295" s="13">
        <v>27276.91</v>
      </c>
      <c r="D295" s="54">
        <v>50</v>
      </c>
      <c r="F295" s="17">
        <v>45037</v>
      </c>
      <c r="G295" s="13">
        <v>27276.91</v>
      </c>
      <c r="H295" s="4">
        <v>27276.91</v>
      </c>
      <c r="I295" s="4">
        <v>27276.91</v>
      </c>
      <c r="J295" s="3">
        <v>50</v>
      </c>
      <c r="K295" s="3">
        <v>50</v>
      </c>
      <c r="L295" s="54">
        <v>50</v>
      </c>
    </row>
    <row r="296" spans="2:12" x14ac:dyDescent="0.25">
      <c r="B296" s="17">
        <v>45038</v>
      </c>
      <c r="C296" s="13">
        <v>27817.5</v>
      </c>
      <c r="D296" s="54">
        <v>53</v>
      </c>
      <c r="F296" s="17">
        <v>45038</v>
      </c>
      <c r="G296" s="13">
        <v>27817.5</v>
      </c>
      <c r="H296" s="4">
        <v>27817.5</v>
      </c>
      <c r="I296" s="4">
        <v>27817.5</v>
      </c>
      <c r="J296" s="3">
        <v>53</v>
      </c>
      <c r="K296" s="3">
        <v>53</v>
      </c>
      <c r="L296" s="54">
        <v>53</v>
      </c>
    </row>
    <row r="297" spans="2:12" x14ac:dyDescent="0.25">
      <c r="B297" s="17">
        <v>45039</v>
      </c>
      <c r="C297" s="13">
        <v>27591.38</v>
      </c>
      <c r="D297" s="54">
        <v>56</v>
      </c>
      <c r="F297" s="17">
        <v>45039</v>
      </c>
      <c r="G297" s="13">
        <v>27591.38</v>
      </c>
      <c r="H297" s="4">
        <v>27591.38</v>
      </c>
      <c r="I297" s="4">
        <v>27591.38</v>
      </c>
      <c r="J297" s="3">
        <v>56</v>
      </c>
      <c r="K297" s="3">
        <v>56</v>
      </c>
      <c r="L297" s="54">
        <v>56</v>
      </c>
    </row>
    <row r="298" spans="2:12" x14ac:dyDescent="0.25">
      <c r="B298" s="17">
        <v>45040</v>
      </c>
      <c r="C298" s="13">
        <v>27525.34</v>
      </c>
      <c r="D298" s="54">
        <v>53</v>
      </c>
      <c r="F298" s="17">
        <v>45040</v>
      </c>
      <c r="G298" s="13">
        <v>27525.34</v>
      </c>
      <c r="H298" s="4">
        <v>27525.34</v>
      </c>
      <c r="I298" s="4">
        <v>27525.34</v>
      </c>
      <c r="J298" s="3">
        <v>53</v>
      </c>
      <c r="K298" s="3">
        <v>53</v>
      </c>
      <c r="L298" s="54">
        <v>53</v>
      </c>
    </row>
    <row r="299" spans="2:12" x14ac:dyDescent="0.25">
      <c r="B299" s="17">
        <v>45041</v>
      </c>
      <c r="C299" s="13">
        <v>28307.599999999999</v>
      </c>
      <c r="D299" s="54">
        <v>53</v>
      </c>
      <c r="F299" s="17">
        <v>45041</v>
      </c>
      <c r="G299" s="13">
        <v>28307.599999999999</v>
      </c>
      <c r="H299" s="4">
        <v>28307.599999999999</v>
      </c>
      <c r="I299" s="4">
        <v>28307.599999999999</v>
      </c>
      <c r="J299" s="3">
        <v>53</v>
      </c>
      <c r="K299" s="3">
        <v>53</v>
      </c>
      <c r="L299" s="54">
        <v>53</v>
      </c>
    </row>
    <row r="300" spans="2:12" x14ac:dyDescent="0.25">
      <c r="B300" s="17">
        <v>45042</v>
      </c>
      <c r="C300" s="13">
        <v>28422.7</v>
      </c>
      <c r="D300" s="54">
        <v>56</v>
      </c>
      <c r="F300" s="17">
        <v>45042</v>
      </c>
      <c r="G300" s="13">
        <v>28422.7</v>
      </c>
      <c r="H300" s="4">
        <v>28422.7</v>
      </c>
      <c r="I300" s="4">
        <v>28422.7</v>
      </c>
      <c r="J300" s="3">
        <v>56</v>
      </c>
      <c r="K300" s="3">
        <v>56</v>
      </c>
      <c r="L300" s="54">
        <v>56</v>
      </c>
    </row>
    <row r="301" spans="2:12" x14ac:dyDescent="0.25">
      <c r="B301" s="17">
        <v>45043</v>
      </c>
      <c r="C301" s="13">
        <v>29473.79</v>
      </c>
      <c r="D301" s="54">
        <v>59</v>
      </c>
      <c r="F301" s="17">
        <v>45043</v>
      </c>
      <c r="G301" s="13">
        <v>29473.79</v>
      </c>
      <c r="H301" s="4">
        <v>29473.79</v>
      </c>
      <c r="I301" s="4">
        <v>29473.79</v>
      </c>
      <c r="J301" s="3">
        <v>59</v>
      </c>
      <c r="K301" s="3">
        <v>59</v>
      </c>
      <c r="L301" s="54">
        <v>59</v>
      </c>
    </row>
    <row r="302" spans="2:12" x14ac:dyDescent="0.25">
      <c r="B302" s="17">
        <v>45044</v>
      </c>
      <c r="C302" s="13">
        <v>29340.26</v>
      </c>
      <c r="D302" s="54">
        <v>64</v>
      </c>
      <c r="F302" s="17">
        <v>45044</v>
      </c>
      <c r="G302" s="13">
        <v>29340.26</v>
      </c>
      <c r="H302" s="4">
        <v>29340.26</v>
      </c>
      <c r="I302" s="4">
        <v>29340.26</v>
      </c>
      <c r="J302" s="3">
        <v>64</v>
      </c>
      <c r="K302" s="3">
        <v>64</v>
      </c>
      <c r="L302" s="54">
        <v>64</v>
      </c>
    </row>
    <row r="303" spans="2:12" ht="15.75" thickBot="1" x14ac:dyDescent="0.3">
      <c r="B303" s="18">
        <v>45045</v>
      </c>
      <c r="C303" s="13">
        <v>29248.49</v>
      </c>
      <c r="D303" s="54">
        <v>64</v>
      </c>
      <c r="F303" s="18">
        <v>45045</v>
      </c>
      <c r="G303" s="13">
        <v>29248.49</v>
      </c>
      <c r="H303" s="4">
        <v>29248.49</v>
      </c>
      <c r="I303" s="4">
        <v>29248.49</v>
      </c>
      <c r="J303" s="3">
        <v>64</v>
      </c>
      <c r="K303" s="3">
        <v>64</v>
      </c>
      <c r="L303" s="54">
        <v>64</v>
      </c>
    </row>
    <row r="304" spans="2:12" x14ac:dyDescent="0.25">
      <c r="B304" s="16">
        <v>45046</v>
      </c>
      <c r="C304" s="13">
        <v>29268.81</v>
      </c>
      <c r="D304" s="54">
        <v>60</v>
      </c>
      <c r="F304" s="16">
        <v>45046</v>
      </c>
      <c r="G304" s="13">
        <v>29268.81</v>
      </c>
      <c r="H304" s="4">
        <v>29268.81</v>
      </c>
      <c r="I304" s="4">
        <v>29268.81</v>
      </c>
      <c r="J304" s="3">
        <v>60</v>
      </c>
      <c r="K304" s="3">
        <v>60</v>
      </c>
      <c r="L304" s="54">
        <v>60</v>
      </c>
    </row>
    <row r="305" spans="2:12" x14ac:dyDescent="0.25">
      <c r="B305" s="17">
        <v>45047</v>
      </c>
      <c r="C305" s="13">
        <v>28091.57</v>
      </c>
      <c r="D305" s="54">
        <v>63</v>
      </c>
      <c r="F305" s="17">
        <v>45047</v>
      </c>
      <c r="G305" s="13">
        <v>28091.57</v>
      </c>
      <c r="H305" s="4">
        <v>28091.57</v>
      </c>
      <c r="I305" s="4">
        <v>28091.57</v>
      </c>
      <c r="J305" s="3">
        <v>63</v>
      </c>
      <c r="K305" s="3">
        <v>63</v>
      </c>
      <c r="L305" s="54">
        <v>63</v>
      </c>
    </row>
    <row r="306" spans="2:12" x14ac:dyDescent="0.25">
      <c r="B306" s="17">
        <v>45048</v>
      </c>
      <c r="C306" s="13">
        <v>28680.54</v>
      </c>
      <c r="D306" s="54">
        <v>55</v>
      </c>
      <c r="F306" s="17">
        <v>45048</v>
      </c>
      <c r="G306" s="13">
        <v>28680.54</v>
      </c>
      <c r="H306" s="4">
        <v>28680.54</v>
      </c>
      <c r="I306" s="4">
        <v>28680.54</v>
      </c>
      <c r="J306" s="3">
        <v>55</v>
      </c>
      <c r="K306" s="3">
        <v>55</v>
      </c>
      <c r="L306" s="54">
        <v>55</v>
      </c>
    </row>
    <row r="307" spans="2:12" x14ac:dyDescent="0.25">
      <c r="B307" s="17">
        <v>45049</v>
      </c>
      <c r="C307" s="13">
        <v>29006.31</v>
      </c>
      <c r="D307" s="54">
        <v>64</v>
      </c>
      <c r="F307" s="17">
        <v>45049</v>
      </c>
      <c r="G307" s="13">
        <v>29006.31</v>
      </c>
      <c r="H307" s="4">
        <v>29006.31</v>
      </c>
      <c r="I307" s="4">
        <v>29006.31</v>
      </c>
      <c r="J307" s="3">
        <v>64</v>
      </c>
      <c r="K307" s="3">
        <v>64</v>
      </c>
      <c r="L307" s="54">
        <v>64</v>
      </c>
    </row>
    <row r="308" spans="2:12" x14ac:dyDescent="0.25">
      <c r="B308" s="17">
        <v>45050</v>
      </c>
      <c r="C308" s="13">
        <v>28847.71</v>
      </c>
      <c r="D308" s="54">
        <v>64</v>
      </c>
      <c r="F308" s="17">
        <v>45050</v>
      </c>
      <c r="G308" s="13">
        <v>28847.71</v>
      </c>
      <c r="H308" s="4">
        <v>28847.71</v>
      </c>
      <c r="I308" s="4">
        <v>28847.71</v>
      </c>
      <c r="J308" s="3">
        <v>64</v>
      </c>
      <c r="K308" s="3">
        <v>64</v>
      </c>
      <c r="L308" s="54">
        <v>64</v>
      </c>
    </row>
    <row r="309" spans="2:12" x14ac:dyDescent="0.25">
      <c r="B309" s="17">
        <v>45051</v>
      </c>
      <c r="C309" s="13">
        <v>29534.38</v>
      </c>
      <c r="D309" s="54">
        <v>61</v>
      </c>
      <c r="F309" s="17">
        <v>45051</v>
      </c>
      <c r="G309" s="13">
        <v>29534.38</v>
      </c>
      <c r="H309" s="4">
        <v>29534.38</v>
      </c>
      <c r="I309" s="4">
        <v>29534.38</v>
      </c>
      <c r="J309" s="3">
        <v>61</v>
      </c>
      <c r="K309" s="3">
        <v>61</v>
      </c>
      <c r="L309" s="54">
        <v>61</v>
      </c>
    </row>
    <row r="310" spans="2:12" x14ac:dyDescent="0.25">
      <c r="B310" s="17">
        <v>45052</v>
      </c>
      <c r="C310" s="13">
        <v>28904.62</v>
      </c>
      <c r="D310" s="54">
        <v>60</v>
      </c>
      <c r="F310" s="17">
        <v>45052</v>
      </c>
      <c r="G310" s="13">
        <v>28904.62</v>
      </c>
      <c r="H310" s="4">
        <v>28904.62</v>
      </c>
      <c r="I310" s="4">
        <v>28904.62</v>
      </c>
      <c r="J310" s="3">
        <v>60</v>
      </c>
      <c r="K310" s="3">
        <v>60</v>
      </c>
      <c r="L310" s="54">
        <v>60</v>
      </c>
    </row>
    <row r="311" spans="2:12" x14ac:dyDescent="0.25">
      <c r="B311" s="17">
        <v>45053</v>
      </c>
      <c r="C311" s="13">
        <v>28454.98</v>
      </c>
      <c r="D311" s="54">
        <v>64</v>
      </c>
      <c r="F311" s="17">
        <v>45053</v>
      </c>
      <c r="G311" s="13">
        <v>28454.98</v>
      </c>
      <c r="H311" s="4">
        <v>28454.98</v>
      </c>
      <c r="I311" s="4">
        <v>28454.98</v>
      </c>
      <c r="J311" s="3">
        <v>64</v>
      </c>
      <c r="K311" s="3">
        <v>64</v>
      </c>
      <c r="L311" s="54">
        <v>64</v>
      </c>
    </row>
    <row r="312" spans="2:12" x14ac:dyDescent="0.25">
      <c r="B312" s="17">
        <v>45054</v>
      </c>
      <c r="C312" s="13">
        <v>27694.27</v>
      </c>
      <c r="D312" s="54">
        <v>60</v>
      </c>
      <c r="F312" s="17">
        <v>45054</v>
      </c>
      <c r="G312" s="13">
        <v>27694.27</v>
      </c>
      <c r="H312" s="4">
        <v>27694.27</v>
      </c>
      <c r="I312" s="4">
        <v>27694.27</v>
      </c>
      <c r="J312" s="3">
        <v>60</v>
      </c>
      <c r="K312" s="3">
        <v>60</v>
      </c>
      <c r="L312" s="54">
        <v>60</v>
      </c>
    </row>
    <row r="313" spans="2:12" x14ac:dyDescent="0.25">
      <c r="B313" s="17">
        <v>45055</v>
      </c>
      <c r="C313" s="13">
        <v>27658.78</v>
      </c>
      <c r="D313" s="54">
        <v>51</v>
      </c>
      <c r="F313" s="17">
        <v>45055</v>
      </c>
      <c r="G313" s="13">
        <v>27658.78</v>
      </c>
      <c r="H313" s="4">
        <v>27658.78</v>
      </c>
      <c r="I313" s="4">
        <v>27658.78</v>
      </c>
      <c r="J313" s="3">
        <v>51</v>
      </c>
      <c r="K313" s="3">
        <v>51</v>
      </c>
      <c r="L313" s="54">
        <v>51</v>
      </c>
    </row>
    <row r="314" spans="2:12" x14ac:dyDescent="0.25">
      <c r="B314" s="17">
        <v>45056</v>
      </c>
      <c r="C314" s="13">
        <v>27621.759999999998</v>
      </c>
      <c r="D314" s="54">
        <v>52</v>
      </c>
      <c r="F314" s="17">
        <v>45056</v>
      </c>
      <c r="G314" s="13">
        <v>27621.759999999998</v>
      </c>
      <c r="H314" s="4">
        <v>27621.759999999998</v>
      </c>
      <c r="I314" s="4">
        <v>27621.759999999998</v>
      </c>
      <c r="J314" s="3">
        <v>52</v>
      </c>
      <c r="K314" s="3">
        <v>52</v>
      </c>
      <c r="L314" s="54">
        <v>52</v>
      </c>
    </row>
    <row r="315" spans="2:12" x14ac:dyDescent="0.25">
      <c r="B315" s="17">
        <v>45057</v>
      </c>
      <c r="C315" s="13">
        <v>27000.79</v>
      </c>
      <c r="D315" s="54">
        <v>52</v>
      </c>
      <c r="F315" s="17">
        <v>45057</v>
      </c>
      <c r="G315" s="13">
        <v>27000.79</v>
      </c>
      <c r="H315" s="4">
        <v>27000.79</v>
      </c>
      <c r="I315" s="4">
        <v>27000.79</v>
      </c>
      <c r="J315" s="3">
        <v>52</v>
      </c>
      <c r="K315" s="3">
        <v>52</v>
      </c>
      <c r="L315" s="54">
        <v>52</v>
      </c>
    </row>
    <row r="316" spans="2:12" x14ac:dyDescent="0.25">
      <c r="B316" s="17">
        <v>45058</v>
      </c>
      <c r="C316" s="13">
        <v>26804.99</v>
      </c>
      <c r="D316" s="54">
        <v>49</v>
      </c>
      <c r="F316" s="17">
        <v>45058</v>
      </c>
      <c r="G316" s="13">
        <v>26804.99</v>
      </c>
      <c r="H316" s="4">
        <v>26804.99</v>
      </c>
      <c r="I316" s="4">
        <v>26804.99</v>
      </c>
      <c r="J316" s="3">
        <v>49</v>
      </c>
      <c r="K316" s="3">
        <v>49</v>
      </c>
      <c r="L316" s="54">
        <v>49</v>
      </c>
    </row>
    <row r="317" spans="2:12" x14ac:dyDescent="0.25">
      <c r="B317" s="17">
        <v>45059</v>
      </c>
      <c r="C317" s="13">
        <v>26784.080000000002</v>
      </c>
      <c r="D317" s="54">
        <v>48</v>
      </c>
      <c r="F317" s="17">
        <v>45059</v>
      </c>
      <c r="G317" s="13">
        <v>26784.080000000002</v>
      </c>
      <c r="H317" s="4">
        <v>26784.080000000002</v>
      </c>
      <c r="I317" s="4">
        <v>26784.080000000002</v>
      </c>
      <c r="J317" s="3">
        <v>48</v>
      </c>
      <c r="K317" s="3">
        <v>48</v>
      </c>
      <c r="L317" s="54">
        <v>48</v>
      </c>
    </row>
    <row r="318" spans="2:12" x14ac:dyDescent="0.25">
      <c r="B318" s="17">
        <v>45060</v>
      </c>
      <c r="C318" s="13">
        <v>26930.639999999999</v>
      </c>
      <c r="D318" s="54">
        <v>48</v>
      </c>
      <c r="F318" s="17">
        <v>45060</v>
      </c>
      <c r="G318" s="13">
        <v>26930.639999999999</v>
      </c>
      <c r="H318" s="4">
        <v>26930.639999999999</v>
      </c>
      <c r="I318" s="4">
        <v>26930.639999999999</v>
      </c>
      <c r="J318" s="3">
        <v>48</v>
      </c>
      <c r="K318" s="3">
        <v>48</v>
      </c>
      <c r="L318" s="54">
        <v>48</v>
      </c>
    </row>
    <row r="319" spans="2:12" x14ac:dyDescent="0.25">
      <c r="B319" s="17">
        <v>45061</v>
      </c>
      <c r="C319" s="13">
        <v>27192.69</v>
      </c>
      <c r="D319" s="54">
        <v>50</v>
      </c>
      <c r="F319" s="17">
        <v>45061</v>
      </c>
      <c r="G319" s="13">
        <v>27192.69</v>
      </c>
      <c r="H319" s="4">
        <v>27192.69</v>
      </c>
      <c r="I319" s="4">
        <v>27192.69</v>
      </c>
      <c r="J319" s="3">
        <v>50</v>
      </c>
      <c r="K319" s="3">
        <v>50</v>
      </c>
      <c r="L319" s="54">
        <v>50</v>
      </c>
    </row>
    <row r="320" spans="2:12" x14ac:dyDescent="0.25">
      <c r="B320" s="17">
        <v>45062</v>
      </c>
      <c r="C320" s="13">
        <v>27036.65</v>
      </c>
      <c r="D320" s="54">
        <v>54</v>
      </c>
      <c r="F320" s="17">
        <v>45062</v>
      </c>
      <c r="G320" s="13">
        <v>27036.65</v>
      </c>
      <c r="H320" s="4">
        <v>27036.65</v>
      </c>
      <c r="I320" s="4">
        <v>27036.65</v>
      </c>
      <c r="J320" s="3">
        <v>54</v>
      </c>
      <c r="K320" s="3">
        <v>54</v>
      </c>
      <c r="L320" s="54">
        <v>54</v>
      </c>
    </row>
    <row r="321" spans="2:12" x14ac:dyDescent="0.25">
      <c r="B321" s="17">
        <v>45063</v>
      </c>
      <c r="C321" s="13">
        <v>27398.799999999999</v>
      </c>
      <c r="D321" s="54">
        <v>50</v>
      </c>
      <c r="F321" s="17">
        <v>45063</v>
      </c>
      <c r="G321" s="13">
        <v>27398.799999999999</v>
      </c>
      <c r="H321" s="4">
        <v>27398.799999999999</v>
      </c>
      <c r="I321" s="4">
        <v>27398.799999999999</v>
      </c>
      <c r="J321" s="3">
        <v>50</v>
      </c>
      <c r="K321" s="3">
        <v>50</v>
      </c>
      <c r="L321" s="54">
        <v>50</v>
      </c>
    </row>
    <row r="322" spans="2:12" x14ac:dyDescent="0.25">
      <c r="B322" s="17">
        <v>45064</v>
      </c>
      <c r="C322" s="13">
        <v>26832.21</v>
      </c>
      <c r="D322" s="54">
        <v>51</v>
      </c>
      <c r="F322" s="17">
        <v>45064</v>
      </c>
      <c r="G322" s="13">
        <v>26832.21</v>
      </c>
      <c r="H322" s="4">
        <v>26832.21</v>
      </c>
      <c r="I322" s="4">
        <v>26832.21</v>
      </c>
      <c r="J322" s="3">
        <v>51</v>
      </c>
      <c r="K322" s="3">
        <v>51</v>
      </c>
      <c r="L322" s="54">
        <v>51</v>
      </c>
    </row>
    <row r="323" spans="2:12" x14ac:dyDescent="0.25">
      <c r="B323" s="17">
        <v>45065</v>
      </c>
      <c r="C323" s="13">
        <v>26890.13</v>
      </c>
      <c r="D323" s="54">
        <v>48</v>
      </c>
      <c r="F323" s="17">
        <v>45065</v>
      </c>
      <c r="G323" s="13">
        <v>26890.13</v>
      </c>
      <c r="H323" s="4">
        <v>26890.13</v>
      </c>
      <c r="I323" s="4">
        <v>26890.13</v>
      </c>
      <c r="J323" s="3">
        <v>48</v>
      </c>
      <c r="K323" s="3">
        <v>48</v>
      </c>
      <c r="L323" s="54">
        <v>48</v>
      </c>
    </row>
    <row r="324" spans="2:12" x14ac:dyDescent="0.25">
      <c r="B324" s="17">
        <v>45066</v>
      </c>
      <c r="C324" s="13">
        <v>27129.59</v>
      </c>
      <c r="D324" s="54">
        <v>48</v>
      </c>
      <c r="F324" s="17">
        <v>45066</v>
      </c>
      <c r="G324" s="13">
        <v>27129.59</v>
      </c>
      <c r="H324" s="4">
        <v>27129.59</v>
      </c>
      <c r="I324" s="4">
        <v>27129.59</v>
      </c>
      <c r="J324" s="3">
        <v>48</v>
      </c>
      <c r="K324" s="3">
        <v>48</v>
      </c>
      <c r="L324" s="54">
        <v>48</v>
      </c>
    </row>
    <row r="325" spans="2:12" x14ac:dyDescent="0.25">
      <c r="B325" s="17">
        <v>45067</v>
      </c>
      <c r="C325" s="13">
        <v>26753.83</v>
      </c>
      <c r="D325" s="54">
        <v>52</v>
      </c>
      <c r="F325" s="17">
        <v>45067</v>
      </c>
      <c r="G325" s="13">
        <v>26753.83</v>
      </c>
      <c r="H325" s="4">
        <v>26753.83</v>
      </c>
      <c r="I325" s="4">
        <v>26753.83</v>
      </c>
      <c r="J325" s="3">
        <v>52</v>
      </c>
      <c r="K325" s="3">
        <v>52</v>
      </c>
      <c r="L325" s="54">
        <v>52</v>
      </c>
    </row>
    <row r="326" spans="2:12" x14ac:dyDescent="0.25">
      <c r="B326" s="17">
        <v>45068</v>
      </c>
      <c r="C326" s="13">
        <v>26851.279999999999</v>
      </c>
      <c r="D326" s="54">
        <v>49</v>
      </c>
      <c r="F326" s="17">
        <v>45068</v>
      </c>
      <c r="G326" s="13">
        <v>26851.279999999999</v>
      </c>
      <c r="H326" s="4">
        <v>26851.279999999999</v>
      </c>
      <c r="I326" s="4">
        <v>26851.279999999999</v>
      </c>
      <c r="J326" s="3">
        <v>49</v>
      </c>
      <c r="K326" s="3">
        <v>49</v>
      </c>
      <c r="L326" s="54">
        <v>49</v>
      </c>
    </row>
    <row r="327" spans="2:12" x14ac:dyDescent="0.25">
      <c r="B327" s="17">
        <v>45069</v>
      </c>
      <c r="C327" s="13">
        <v>27225.73</v>
      </c>
      <c r="D327" s="54">
        <v>50</v>
      </c>
      <c r="F327" s="17">
        <v>45069</v>
      </c>
      <c r="G327" s="13">
        <v>27225.73</v>
      </c>
      <c r="H327" s="4">
        <v>27225.73</v>
      </c>
      <c r="I327" s="4">
        <v>27225.73</v>
      </c>
      <c r="J327" s="3">
        <v>50</v>
      </c>
      <c r="K327" s="3">
        <v>50</v>
      </c>
      <c r="L327" s="54">
        <v>50</v>
      </c>
    </row>
    <row r="328" spans="2:12" x14ac:dyDescent="0.25">
      <c r="B328" s="17">
        <v>45070</v>
      </c>
      <c r="C328" s="13">
        <v>26334.82</v>
      </c>
      <c r="D328" s="54">
        <v>50</v>
      </c>
      <c r="F328" s="17">
        <v>45070</v>
      </c>
      <c r="G328" s="13">
        <v>26334.82</v>
      </c>
      <c r="H328" s="4">
        <v>26334.82</v>
      </c>
      <c r="I328" s="4">
        <v>26334.82</v>
      </c>
      <c r="J328" s="3">
        <v>50</v>
      </c>
      <c r="K328" s="3">
        <v>50</v>
      </c>
      <c r="L328" s="54">
        <v>50</v>
      </c>
    </row>
    <row r="329" spans="2:12" x14ac:dyDescent="0.25">
      <c r="B329" s="17">
        <v>45071</v>
      </c>
      <c r="C329" s="13">
        <v>26476.21</v>
      </c>
      <c r="D329" s="54">
        <v>51</v>
      </c>
      <c r="F329" s="17">
        <v>45071</v>
      </c>
      <c r="G329" s="13">
        <v>26476.21</v>
      </c>
      <c r="H329" s="4">
        <v>26476.21</v>
      </c>
      <c r="I329" s="4">
        <v>26476.21</v>
      </c>
      <c r="J329" s="3">
        <v>51</v>
      </c>
      <c r="K329" s="3">
        <v>51</v>
      </c>
      <c r="L329" s="54">
        <v>51</v>
      </c>
    </row>
    <row r="330" spans="2:12" x14ac:dyDescent="0.25">
      <c r="B330" s="17">
        <v>45072</v>
      </c>
      <c r="C330" s="13">
        <v>26719.29</v>
      </c>
      <c r="D330" s="54">
        <v>49</v>
      </c>
      <c r="F330" s="17">
        <v>45072</v>
      </c>
      <c r="G330" s="13">
        <v>26719.29</v>
      </c>
      <c r="H330" s="4">
        <v>26719.29</v>
      </c>
      <c r="I330" s="4">
        <v>26719.29</v>
      </c>
      <c r="J330" s="3">
        <v>49</v>
      </c>
      <c r="K330" s="3">
        <v>49</v>
      </c>
      <c r="L330" s="54">
        <v>49</v>
      </c>
    </row>
    <row r="331" spans="2:12" x14ac:dyDescent="0.25">
      <c r="B331" s="17">
        <v>45073</v>
      </c>
      <c r="C331" s="13">
        <v>26868.35</v>
      </c>
      <c r="D331" s="54">
        <v>48</v>
      </c>
      <c r="F331" s="17">
        <v>45073</v>
      </c>
      <c r="G331" s="13">
        <v>26868.35</v>
      </c>
      <c r="H331" s="4">
        <v>26868.35</v>
      </c>
      <c r="I331" s="4">
        <v>26868.35</v>
      </c>
      <c r="J331" s="3">
        <v>48</v>
      </c>
      <c r="K331" s="3">
        <v>48</v>
      </c>
      <c r="L331" s="54">
        <v>48</v>
      </c>
    </row>
    <row r="332" spans="2:12" x14ac:dyDescent="0.25">
      <c r="B332" s="17">
        <v>45074</v>
      </c>
      <c r="C332" s="13">
        <v>28085.65</v>
      </c>
      <c r="D332" s="54">
        <v>50</v>
      </c>
      <c r="F332" s="17">
        <v>45074</v>
      </c>
      <c r="G332" s="13">
        <v>28085.65</v>
      </c>
      <c r="H332" s="4">
        <v>28085.65</v>
      </c>
      <c r="I332" s="4">
        <v>28085.65</v>
      </c>
      <c r="J332" s="3">
        <v>50</v>
      </c>
      <c r="K332" s="3">
        <v>50</v>
      </c>
      <c r="L332" s="54">
        <v>50</v>
      </c>
    </row>
    <row r="333" spans="2:12" x14ac:dyDescent="0.25">
      <c r="B333" s="17">
        <v>45075</v>
      </c>
      <c r="C333" s="13">
        <v>27745.88</v>
      </c>
      <c r="D333" s="54">
        <v>52</v>
      </c>
      <c r="F333" s="17">
        <v>45075</v>
      </c>
      <c r="G333" s="13">
        <v>27745.88</v>
      </c>
      <c r="H333" s="4">
        <v>27745.88</v>
      </c>
      <c r="I333" s="4">
        <v>27745.88</v>
      </c>
      <c r="J333" s="3">
        <v>52</v>
      </c>
      <c r="K333" s="3">
        <v>52</v>
      </c>
      <c r="L333" s="54">
        <v>52</v>
      </c>
    </row>
    <row r="334" spans="2:12" x14ac:dyDescent="0.25">
      <c r="B334" s="17">
        <v>45076</v>
      </c>
      <c r="C334" s="13">
        <v>27702.35</v>
      </c>
      <c r="D334" s="54">
        <v>51</v>
      </c>
      <c r="F334" s="17">
        <v>45076</v>
      </c>
      <c r="G334" s="13">
        <v>27702.35</v>
      </c>
      <c r="H334" s="4">
        <v>27702.35</v>
      </c>
      <c r="I334" s="4">
        <v>27702.35</v>
      </c>
      <c r="J334" s="3">
        <v>51</v>
      </c>
      <c r="K334" s="3">
        <v>51</v>
      </c>
      <c r="L334" s="54">
        <v>51</v>
      </c>
    </row>
    <row r="335" spans="2:12" x14ac:dyDescent="0.25">
      <c r="B335" s="17">
        <v>45077</v>
      </c>
      <c r="C335" s="13">
        <v>27219.66</v>
      </c>
      <c r="D335" s="54">
        <v>51</v>
      </c>
      <c r="F335" s="17">
        <v>45077</v>
      </c>
      <c r="G335" s="13">
        <v>27219.66</v>
      </c>
      <c r="H335" s="4">
        <v>27219.66</v>
      </c>
      <c r="I335" s="4">
        <v>27219.66</v>
      </c>
      <c r="J335" s="3">
        <v>51</v>
      </c>
      <c r="K335" s="3">
        <v>51</v>
      </c>
      <c r="L335" s="54">
        <v>51</v>
      </c>
    </row>
    <row r="336" spans="2:12" x14ac:dyDescent="0.25">
      <c r="B336" s="17">
        <v>45078</v>
      </c>
      <c r="C336" s="13">
        <v>26819.97</v>
      </c>
      <c r="D336" s="54">
        <v>52</v>
      </c>
      <c r="F336" s="17">
        <v>45078</v>
      </c>
      <c r="G336" s="13">
        <v>26819.97</v>
      </c>
      <c r="H336" s="4">
        <v>26819.97</v>
      </c>
      <c r="I336" s="4">
        <v>26819.97</v>
      </c>
      <c r="J336" s="3">
        <v>52</v>
      </c>
      <c r="K336" s="3">
        <v>52</v>
      </c>
      <c r="L336" s="54">
        <v>52</v>
      </c>
    </row>
    <row r="337" spans="2:12" x14ac:dyDescent="0.25">
      <c r="B337" s="17">
        <v>45079</v>
      </c>
      <c r="C337" s="13">
        <v>27249.59</v>
      </c>
      <c r="D337" s="54">
        <v>50</v>
      </c>
      <c r="F337" s="17">
        <v>45079</v>
      </c>
      <c r="G337" s="13">
        <v>27249.59</v>
      </c>
      <c r="H337" s="4">
        <v>27249.59</v>
      </c>
      <c r="I337" s="4">
        <v>27249.59</v>
      </c>
      <c r="J337" s="3">
        <v>50</v>
      </c>
      <c r="K337" s="3">
        <v>50</v>
      </c>
      <c r="L337" s="54">
        <v>50</v>
      </c>
    </row>
    <row r="338" spans="2:12" x14ac:dyDescent="0.25">
      <c r="B338" s="17">
        <v>45080</v>
      </c>
      <c r="C338" s="13">
        <v>27075.13</v>
      </c>
      <c r="D338" s="54">
        <v>53</v>
      </c>
      <c r="F338" s="17">
        <v>45080</v>
      </c>
      <c r="G338" s="13">
        <v>27075.13</v>
      </c>
      <c r="H338" s="4">
        <v>27075.13</v>
      </c>
      <c r="I338" s="4">
        <v>27075.13</v>
      </c>
      <c r="J338" s="3">
        <v>53</v>
      </c>
      <c r="K338" s="3">
        <v>53</v>
      </c>
      <c r="L338" s="54">
        <v>53</v>
      </c>
    </row>
    <row r="339" spans="2:12" x14ac:dyDescent="0.25">
      <c r="B339" s="17">
        <v>45081</v>
      </c>
      <c r="C339" s="13">
        <v>27119.07</v>
      </c>
      <c r="D339" s="54">
        <v>52</v>
      </c>
      <c r="F339" s="17">
        <v>45081</v>
      </c>
      <c r="G339" s="13">
        <v>27119.07</v>
      </c>
      <c r="H339" s="4">
        <v>27119.07</v>
      </c>
      <c r="I339" s="4">
        <v>27119.07</v>
      </c>
      <c r="J339" s="3">
        <v>52</v>
      </c>
      <c r="K339" s="3">
        <v>52</v>
      </c>
      <c r="L339" s="54">
        <v>52</v>
      </c>
    </row>
    <row r="340" spans="2:12" x14ac:dyDescent="0.25">
      <c r="B340" s="17">
        <v>45082</v>
      </c>
      <c r="C340" s="13">
        <v>25760.1</v>
      </c>
      <c r="D340" s="54">
        <v>53</v>
      </c>
      <c r="F340" s="17">
        <v>45082</v>
      </c>
      <c r="G340" s="13">
        <v>25760.1</v>
      </c>
      <c r="H340" s="4">
        <v>25760.1</v>
      </c>
      <c r="I340" s="4">
        <v>25760.1</v>
      </c>
      <c r="J340" s="3">
        <v>53</v>
      </c>
      <c r="K340" s="3">
        <v>53</v>
      </c>
      <c r="L340" s="54">
        <v>53</v>
      </c>
    </row>
    <row r="341" spans="2:12" x14ac:dyDescent="0.25">
      <c r="B341" s="17">
        <v>45083</v>
      </c>
      <c r="C341" s="13">
        <v>27238.78</v>
      </c>
      <c r="D341" s="54">
        <v>44</v>
      </c>
      <c r="F341" s="17">
        <v>45083</v>
      </c>
      <c r="G341" s="13">
        <v>27238.78</v>
      </c>
      <c r="H341" s="4">
        <v>27238.78</v>
      </c>
      <c r="I341" s="4">
        <v>27238.78</v>
      </c>
      <c r="J341" s="3">
        <v>44</v>
      </c>
      <c r="K341" s="3">
        <v>44</v>
      </c>
      <c r="L341" s="54">
        <v>44</v>
      </c>
    </row>
    <row r="342" spans="2:12" x14ac:dyDescent="0.25">
      <c r="B342" s="17">
        <v>45084</v>
      </c>
      <c r="C342" s="13">
        <v>26346</v>
      </c>
      <c r="D342" s="54">
        <v>53</v>
      </c>
      <c r="F342" s="17">
        <v>45084</v>
      </c>
      <c r="G342" s="13">
        <v>26346</v>
      </c>
      <c r="H342" s="4">
        <v>26346</v>
      </c>
      <c r="I342" s="4">
        <v>26346</v>
      </c>
      <c r="J342" s="3">
        <v>53</v>
      </c>
      <c r="K342" s="3">
        <v>53</v>
      </c>
      <c r="L342" s="54">
        <v>53</v>
      </c>
    </row>
    <row r="343" spans="2:12" x14ac:dyDescent="0.25">
      <c r="B343" s="17">
        <v>45085</v>
      </c>
      <c r="C343" s="13">
        <v>26508.22</v>
      </c>
      <c r="D343" s="54">
        <v>50</v>
      </c>
      <c r="F343" s="17">
        <v>45085</v>
      </c>
      <c r="G343" s="13">
        <v>26508.22</v>
      </c>
      <c r="H343" s="4">
        <v>26508.22</v>
      </c>
      <c r="I343" s="4">
        <v>26508.22</v>
      </c>
      <c r="J343" s="3">
        <v>50</v>
      </c>
      <c r="K343" s="3">
        <v>50</v>
      </c>
      <c r="L343" s="54">
        <v>50</v>
      </c>
    </row>
    <row r="344" spans="2:12" x14ac:dyDescent="0.25">
      <c r="B344" s="17">
        <v>45086</v>
      </c>
      <c r="C344" s="13">
        <v>26480.38</v>
      </c>
      <c r="D344" s="54">
        <v>50</v>
      </c>
      <c r="F344" s="17">
        <v>45086</v>
      </c>
      <c r="G344" s="13">
        <v>26480.38</v>
      </c>
      <c r="H344" s="4">
        <v>26480.38</v>
      </c>
      <c r="I344" s="4">
        <v>26480.38</v>
      </c>
      <c r="J344" s="3">
        <v>50</v>
      </c>
      <c r="K344" s="3">
        <v>50</v>
      </c>
      <c r="L344" s="54">
        <v>50</v>
      </c>
    </row>
    <row r="345" spans="2:12" x14ac:dyDescent="0.25">
      <c r="B345" s="17">
        <v>45087</v>
      </c>
      <c r="C345" s="13">
        <v>25851.24</v>
      </c>
      <c r="D345" s="54">
        <v>49</v>
      </c>
      <c r="F345" s="17">
        <v>45087</v>
      </c>
      <c r="G345" s="13">
        <v>25851.24</v>
      </c>
      <c r="H345" s="4">
        <v>25851.24</v>
      </c>
      <c r="I345" s="4">
        <v>25851.24</v>
      </c>
      <c r="J345" s="3">
        <v>49</v>
      </c>
      <c r="K345" s="3">
        <v>49</v>
      </c>
      <c r="L345" s="54">
        <v>49</v>
      </c>
    </row>
    <row r="346" spans="2:12" x14ac:dyDescent="0.25">
      <c r="B346" s="17">
        <v>45088</v>
      </c>
      <c r="C346" s="13">
        <v>25940.17</v>
      </c>
      <c r="D346" s="54">
        <v>47</v>
      </c>
      <c r="F346" s="17">
        <v>45088</v>
      </c>
      <c r="G346" s="13">
        <v>25940.17</v>
      </c>
      <c r="H346" s="4">
        <v>25940.17</v>
      </c>
      <c r="I346" s="4">
        <v>25940.17</v>
      </c>
      <c r="J346" s="3">
        <v>47</v>
      </c>
      <c r="K346" s="3">
        <v>47</v>
      </c>
      <c r="L346" s="54">
        <v>47</v>
      </c>
    </row>
    <row r="347" spans="2:12" x14ac:dyDescent="0.25">
      <c r="B347" s="17">
        <v>45089</v>
      </c>
      <c r="C347" s="13">
        <v>25902.5</v>
      </c>
      <c r="D347" s="54">
        <v>47</v>
      </c>
      <c r="F347" s="17">
        <v>45089</v>
      </c>
      <c r="G347" s="13">
        <v>25902.5</v>
      </c>
      <c r="H347" s="4">
        <v>25902.5</v>
      </c>
      <c r="I347" s="4">
        <v>25902.5</v>
      </c>
      <c r="J347" s="3">
        <v>47</v>
      </c>
      <c r="K347" s="3">
        <v>47</v>
      </c>
      <c r="L347" s="54">
        <v>47</v>
      </c>
    </row>
    <row r="348" spans="2:12" x14ac:dyDescent="0.25">
      <c r="B348" s="17">
        <v>45090</v>
      </c>
      <c r="C348" s="13">
        <v>25918.73</v>
      </c>
      <c r="D348" s="54">
        <v>45</v>
      </c>
      <c r="F348" s="17">
        <v>45090</v>
      </c>
      <c r="G348" s="13">
        <v>25918.73</v>
      </c>
      <c r="H348" s="4">
        <v>25918.73</v>
      </c>
      <c r="I348" s="4">
        <v>25918.73</v>
      </c>
      <c r="J348" s="3">
        <v>45</v>
      </c>
      <c r="K348" s="3">
        <v>45</v>
      </c>
      <c r="L348" s="54">
        <v>45</v>
      </c>
    </row>
    <row r="349" spans="2:12" x14ac:dyDescent="0.25">
      <c r="B349" s="17">
        <v>45091</v>
      </c>
      <c r="C349" s="13">
        <v>25124.68</v>
      </c>
      <c r="D349" s="54">
        <v>46</v>
      </c>
      <c r="F349" s="17">
        <v>45091</v>
      </c>
      <c r="G349" s="13">
        <v>25124.68</v>
      </c>
      <c r="H349" s="4">
        <v>25124.68</v>
      </c>
      <c r="I349" s="4">
        <v>25124.68</v>
      </c>
      <c r="J349" s="3">
        <v>46</v>
      </c>
      <c r="K349" s="3">
        <v>46</v>
      </c>
      <c r="L349" s="54">
        <v>46</v>
      </c>
    </row>
    <row r="350" spans="2:12" x14ac:dyDescent="0.25">
      <c r="B350" s="17">
        <v>45092</v>
      </c>
      <c r="C350" s="13">
        <v>25576.39</v>
      </c>
      <c r="D350" s="54">
        <v>41</v>
      </c>
      <c r="F350" s="17">
        <v>45092</v>
      </c>
      <c r="G350" s="13">
        <v>25576.39</v>
      </c>
      <c r="H350" s="4">
        <v>25576.39</v>
      </c>
      <c r="I350" s="4">
        <v>25576.39</v>
      </c>
      <c r="J350" s="3">
        <v>41</v>
      </c>
      <c r="K350" s="3">
        <v>41</v>
      </c>
      <c r="L350" s="54">
        <v>41</v>
      </c>
    </row>
    <row r="351" spans="2:12" x14ac:dyDescent="0.25">
      <c r="B351" s="17">
        <v>45093</v>
      </c>
      <c r="C351" s="13">
        <v>26327.46</v>
      </c>
      <c r="D351" s="54">
        <v>47</v>
      </c>
      <c r="F351" s="17">
        <v>45093</v>
      </c>
      <c r="G351" s="13">
        <v>26327.46</v>
      </c>
      <c r="H351" s="4">
        <v>26327.46</v>
      </c>
      <c r="I351" s="4">
        <v>26327.46</v>
      </c>
      <c r="J351" s="3">
        <v>47</v>
      </c>
      <c r="K351" s="3">
        <v>47</v>
      </c>
      <c r="L351" s="54">
        <v>47</v>
      </c>
    </row>
    <row r="352" spans="2:12" x14ac:dyDescent="0.25">
      <c r="B352" s="17">
        <v>45094</v>
      </c>
      <c r="C352" s="13">
        <v>26510.68</v>
      </c>
      <c r="D352" s="54">
        <v>47</v>
      </c>
      <c r="F352" s="17">
        <v>45094</v>
      </c>
      <c r="G352" s="13">
        <v>26510.68</v>
      </c>
      <c r="H352" s="4">
        <v>26510.68</v>
      </c>
      <c r="I352" s="4">
        <v>26510.68</v>
      </c>
      <c r="J352" s="3">
        <v>47</v>
      </c>
      <c r="K352" s="3">
        <v>47</v>
      </c>
      <c r="L352" s="54">
        <v>47</v>
      </c>
    </row>
    <row r="353" spans="2:12" ht="15.75" thickBot="1" x14ac:dyDescent="0.3">
      <c r="B353" s="18">
        <v>45095</v>
      </c>
      <c r="C353" s="13">
        <v>26336.21</v>
      </c>
      <c r="D353" s="54">
        <v>49</v>
      </c>
      <c r="F353" s="18">
        <v>45095</v>
      </c>
      <c r="G353" s="13">
        <v>26336.21</v>
      </c>
      <c r="H353" s="4">
        <v>26336.21</v>
      </c>
      <c r="I353" s="4">
        <v>26336.21</v>
      </c>
      <c r="J353" s="3">
        <v>49</v>
      </c>
      <c r="K353" s="3">
        <v>49</v>
      </c>
      <c r="L353" s="54">
        <v>49</v>
      </c>
    </row>
    <row r="354" spans="2:12" x14ac:dyDescent="0.25">
      <c r="B354" s="16">
        <v>45096</v>
      </c>
      <c r="C354" s="13">
        <v>26851.03</v>
      </c>
      <c r="D354" s="54">
        <v>47</v>
      </c>
      <c r="F354" s="16">
        <v>45096</v>
      </c>
      <c r="G354" s="13">
        <v>26851.03</v>
      </c>
      <c r="H354" s="4">
        <v>26851.03</v>
      </c>
      <c r="I354" s="4">
        <v>26851.03</v>
      </c>
      <c r="J354" s="3">
        <v>47</v>
      </c>
      <c r="K354" s="3">
        <v>47</v>
      </c>
      <c r="L354" s="54">
        <v>47</v>
      </c>
    </row>
    <row r="355" spans="2:12" x14ac:dyDescent="0.25">
      <c r="B355" s="17">
        <v>45097</v>
      </c>
      <c r="C355" s="13">
        <v>28327.49</v>
      </c>
      <c r="D355" s="54">
        <v>49</v>
      </c>
      <c r="F355" s="17">
        <v>45097</v>
      </c>
      <c r="G355" s="13">
        <v>28327.49</v>
      </c>
      <c r="H355" s="4">
        <v>28327.49</v>
      </c>
      <c r="I355" s="4">
        <v>28327.49</v>
      </c>
      <c r="J355" s="3">
        <v>49</v>
      </c>
      <c r="K355" s="3">
        <v>49</v>
      </c>
      <c r="L355" s="54">
        <v>49</v>
      </c>
    </row>
    <row r="356" spans="2:12" x14ac:dyDescent="0.25">
      <c r="B356" s="17">
        <v>45098</v>
      </c>
      <c r="C356" s="13">
        <v>30027.3</v>
      </c>
      <c r="D356" s="54">
        <v>59</v>
      </c>
      <c r="F356" s="17">
        <v>45098</v>
      </c>
      <c r="G356" s="13">
        <v>30027.3</v>
      </c>
      <c r="H356" s="4">
        <v>30027.3</v>
      </c>
      <c r="I356" s="4">
        <v>30027.3</v>
      </c>
      <c r="J356" s="3">
        <v>59</v>
      </c>
      <c r="K356" s="3">
        <v>59</v>
      </c>
      <c r="L356" s="54">
        <v>59</v>
      </c>
    </row>
    <row r="357" spans="2:12" x14ac:dyDescent="0.25">
      <c r="B357" s="17">
        <v>45099</v>
      </c>
      <c r="C357" s="13">
        <v>29912.28</v>
      </c>
      <c r="D357" s="54">
        <v>65</v>
      </c>
      <c r="F357" s="17">
        <v>45099</v>
      </c>
      <c r="G357" s="13">
        <v>29912.28</v>
      </c>
      <c r="H357" s="4">
        <v>29912.28</v>
      </c>
      <c r="I357" s="4">
        <v>29912.28</v>
      </c>
      <c r="J357" s="3">
        <v>65</v>
      </c>
      <c r="K357" s="3">
        <v>65</v>
      </c>
      <c r="L357" s="54">
        <v>65</v>
      </c>
    </row>
    <row r="358" spans="2:12" x14ac:dyDescent="0.25">
      <c r="B358" s="17">
        <v>45100</v>
      </c>
      <c r="C358" s="13">
        <v>30695.47</v>
      </c>
      <c r="D358" s="54">
        <v>65</v>
      </c>
      <c r="F358" s="17">
        <v>45100</v>
      </c>
      <c r="G358" s="13">
        <v>30695.47</v>
      </c>
      <c r="H358" s="4">
        <v>30695.47</v>
      </c>
      <c r="I358" s="4">
        <v>30695.47</v>
      </c>
      <c r="J358" s="3">
        <v>65</v>
      </c>
      <c r="K358" s="3">
        <v>65</v>
      </c>
      <c r="L358" s="54">
        <v>65</v>
      </c>
    </row>
    <row r="359" spans="2:12" x14ac:dyDescent="0.25">
      <c r="B359" s="17">
        <v>45101</v>
      </c>
      <c r="C359" s="13">
        <v>30548.7</v>
      </c>
      <c r="D359" s="54">
        <v>62</v>
      </c>
      <c r="F359" s="17">
        <v>45101</v>
      </c>
      <c r="G359" s="13">
        <v>30548.7</v>
      </c>
      <c r="H359" s="4">
        <v>30548.7</v>
      </c>
      <c r="I359" s="4">
        <v>30548.7</v>
      </c>
      <c r="J359" s="3">
        <v>62</v>
      </c>
      <c r="K359" s="3">
        <v>62</v>
      </c>
      <c r="L359" s="54">
        <v>62</v>
      </c>
    </row>
    <row r="360" spans="2:12" x14ac:dyDescent="0.25">
      <c r="B360" s="17">
        <v>45102</v>
      </c>
      <c r="C360" s="13">
        <v>30480.26</v>
      </c>
      <c r="D360" s="54">
        <v>64</v>
      </c>
      <c r="F360" s="17">
        <v>45102</v>
      </c>
      <c r="G360" s="13">
        <v>30480.26</v>
      </c>
      <c r="H360" s="4">
        <v>30480.26</v>
      </c>
      <c r="I360" s="4">
        <v>30480.26</v>
      </c>
      <c r="J360" s="3">
        <v>64</v>
      </c>
      <c r="K360" s="3">
        <v>64</v>
      </c>
      <c r="L360" s="54">
        <v>64</v>
      </c>
    </row>
    <row r="361" spans="2:12" x14ac:dyDescent="0.25">
      <c r="B361" s="17">
        <v>45103</v>
      </c>
      <c r="C361" s="13">
        <v>30271.13</v>
      </c>
      <c r="D361" s="54">
        <v>55</v>
      </c>
      <c r="F361" s="17">
        <v>45103</v>
      </c>
      <c r="G361" s="13">
        <v>30271.13</v>
      </c>
      <c r="H361" s="4">
        <v>30271.13</v>
      </c>
      <c r="I361" s="4">
        <v>30271.13</v>
      </c>
      <c r="J361" s="3">
        <v>55</v>
      </c>
      <c r="K361" s="3">
        <v>55</v>
      </c>
      <c r="L361" s="54">
        <v>55</v>
      </c>
    </row>
    <row r="362" spans="2:12" x14ac:dyDescent="0.25">
      <c r="B362" s="17">
        <v>45104</v>
      </c>
      <c r="C362" s="13">
        <v>30688.16</v>
      </c>
      <c r="D362" s="54">
        <v>59</v>
      </c>
      <c r="F362" s="17">
        <v>45104</v>
      </c>
      <c r="G362" s="13">
        <v>30688.16</v>
      </c>
      <c r="H362" s="4">
        <v>30688.16</v>
      </c>
      <c r="I362" s="4">
        <v>30688.16</v>
      </c>
      <c r="J362" s="3">
        <v>59</v>
      </c>
      <c r="K362" s="3">
        <v>59</v>
      </c>
      <c r="L362" s="54">
        <v>59</v>
      </c>
    </row>
    <row r="363" spans="2:12" x14ac:dyDescent="0.25">
      <c r="B363" s="17">
        <v>45105</v>
      </c>
      <c r="C363" s="13">
        <v>30086.25</v>
      </c>
      <c r="D363" s="54">
        <v>62</v>
      </c>
      <c r="F363" s="17">
        <v>45105</v>
      </c>
      <c r="G363" s="13">
        <v>30086.25</v>
      </c>
      <c r="H363" s="4">
        <v>30086.25</v>
      </c>
      <c r="I363" s="4">
        <v>30086.25</v>
      </c>
      <c r="J363" s="3">
        <v>62</v>
      </c>
      <c r="K363" s="3">
        <v>62</v>
      </c>
      <c r="L363" s="54">
        <v>62</v>
      </c>
    </row>
    <row r="364" spans="2:12" x14ac:dyDescent="0.25">
      <c r="B364" s="17">
        <v>45106</v>
      </c>
      <c r="C364" s="13">
        <v>30445.35</v>
      </c>
      <c r="D364" s="54">
        <v>54</v>
      </c>
      <c r="F364" s="17">
        <v>45106</v>
      </c>
      <c r="G364" s="13">
        <v>30445.35</v>
      </c>
      <c r="H364" s="4">
        <v>30445.35</v>
      </c>
      <c r="I364" s="4">
        <v>30445.35</v>
      </c>
      <c r="J364" s="3">
        <v>54</v>
      </c>
      <c r="K364" s="3">
        <v>54</v>
      </c>
      <c r="L364" s="54">
        <v>54</v>
      </c>
    </row>
    <row r="365" spans="2:12" x14ac:dyDescent="0.25">
      <c r="B365" s="17">
        <v>45107</v>
      </c>
      <c r="C365" s="13">
        <v>30477.25</v>
      </c>
      <c r="D365" s="54">
        <v>56</v>
      </c>
      <c r="F365" s="17">
        <v>45107</v>
      </c>
      <c r="G365" s="13">
        <v>30477.25</v>
      </c>
      <c r="H365" s="4">
        <v>30477.25</v>
      </c>
      <c r="I365" s="4">
        <v>30477.25</v>
      </c>
      <c r="J365" s="3">
        <v>56</v>
      </c>
      <c r="K365" s="3">
        <v>56</v>
      </c>
      <c r="L365" s="54">
        <v>56</v>
      </c>
    </row>
    <row r="366" spans="2:12" x14ac:dyDescent="0.25">
      <c r="B366" s="17">
        <v>45108</v>
      </c>
      <c r="C366" s="13">
        <v>30590.080000000002</v>
      </c>
      <c r="D366" s="54">
        <v>59</v>
      </c>
      <c r="F366" s="17">
        <v>45108</v>
      </c>
      <c r="G366" s="13">
        <v>30590.080000000002</v>
      </c>
      <c r="H366" s="4">
        <v>30590.080000000002</v>
      </c>
      <c r="I366" s="4">
        <v>30590.080000000002</v>
      </c>
      <c r="J366" s="3">
        <v>59</v>
      </c>
      <c r="K366" s="3">
        <v>59</v>
      </c>
      <c r="L366" s="54">
        <v>59</v>
      </c>
    </row>
    <row r="367" spans="2:12" x14ac:dyDescent="0.25">
      <c r="B367" s="17">
        <v>45109</v>
      </c>
      <c r="C367" s="13">
        <v>30620.77</v>
      </c>
      <c r="D367" s="54">
        <v>63</v>
      </c>
      <c r="F367" s="17">
        <v>45109</v>
      </c>
      <c r="G367" s="13">
        <v>30620.77</v>
      </c>
      <c r="H367" s="4">
        <v>30620.77</v>
      </c>
      <c r="I367" s="4">
        <v>30620.77</v>
      </c>
      <c r="J367" s="3">
        <v>63</v>
      </c>
      <c r="K367" s="3">
        <v>63</v>
      </c>
      <c r="L367" s="54">
        <v>63</v>
      </c>
    </row>
    <row r="368" spans="2:12" x14ac:dyDescent="0.25">
      <c r="B368" s="17">
        <v>45110</v>
      </c>
      <c r="C368" s="13">
        <v>31156.44</v>
      </c>
      <c r="D368" s="54">
        <v>62</v>
      </c>
      <c r="F368" s="17">
        <v>45110</v>
      </c>
      <c r="G368" s="13">
        <v>31156.44</v>
      </c>
      <c r="H368" s="4">
        <v>31156.44</v>
      </c>
      <c r="I368" s="4">
        <v>31156.44</v>
      </c>
      <c r="J368" s="3">
        <v>62</v>
      </c>
      <c r="K368" s="3">
        <v>62</v>
      </c>
      <c r="L368" s="54">
        <v>62</v>
      </c>
    </row>
    <row r="369" spans="2:12" x14ac:dyDescent="0.25">
      <c r="B369" s="17">
        <v>45111</v>
      </c>
      <c r="C369" s="13">
        <v>30777.58</v>
      </c>
      <c r="D369" s="54">
        <v>64</v>
      </c>
      <c r="F369" s="17">
        <v>45111</v>
      </c>
      <c r="G369" s="13">
        <v>30777.58</v>
      </c>
      <c r="H369" s="4">
        <v>30777.58</v>
      </c>
      <c r="I369" s="4">
        <v>30777.58</v>
      </c>
      <c r="J369" s="3">
        <v>64</v>
      </c>
      <c r="K369" s="3">
        <v>64</v>
      </c>
      <c r="L369" s="54">
        <v>64</v>
      </c>
    </row>
    <row r="370" spans="2:12" x14ac:dyDescent="0.25">
      <c r="B370" s="17">
        <v>45112</v>
      </c>
      <c r="C370" s="13">
        <v>30514.17</v>
      </c>
      <c r="D370" s="54">
        <v>61</v>
      </c>
      <c r="F370" s="17">
        <v>45112</v>
      </c>
      <c r="G370" s="13">
        <v>30514.17</v>
      </c>
      <c r="H370" s="4">
        <v>30514.17</v>
      </c>
      <c r="I370" s="4">
        <v>30514.17</v>
      </c>
      <c r="J370" s="3">
        <v>61</v>
      </c>
      <c r="K370" s="3">
        <v>61</v>
      </c>
      <c r="L370" s="54">
        <v>61</v>
      </c>
    </row>
    <row r="371" spans="2:12" x14ac:dyDescent="0.25">
      <c r="B371" s="17">
        <v>45113</v>
      </c>
      <c r="C371" s="13">
        <v>29909.34</v>
      </c>
      <c r="D371" s="54">
        <v>56</v>
      </c>
      <c r="F371" s="17">
        <v>45113</v>
      </c>
      <c r="G371" s="13">
        <v>29909.34</v>
      </c>
      <c r="H371" s="4">
        <v>29909.34</v>
      </c>
      <c r="I371" s="4">
        <v>29909.34</v>
      </c>
      <c r="J371" s="3">
        <v>56</v>
      </c>
      <c r="K371" s="3">
        <v>56</v>
      </c>
      <c r="L371" s="54">
        <v>56</v>
      </c>
    </row>
    <row r="372" spans="2:12" x14ac:dyDescent="0.25">
      <c r="B372" s="17">
        <v>45114</v>
      </c>
      <c r="C372" s="13">
        <v>30342.27</v>
      </c>
      <c r="D372" s="54">
        <v>55</v>
      </c>
      <c r="F372" s="17">
        <v>45114</v>
      </c>
      <c r="G372" s="13">
        <v>30342.27</v>
      </c>
      <c r="H372" s="4">
        <v>30342.27</v>
      </c>
      <c r="I372" s="4">
        <v>30342.27</v>
      </c>
      <c r="J372" s="3">
        <v>55</v>
      </c>
      <c r="K372" s="3">
        <v>55</v>
      </c>
      <c r="L372" s="54">
        <v>55</v>
      </c>
    </row>
    <row r="373" spans="2:12" x14ac:dyDescent="0.25">
      <c r="B373" s="17">
        <v>45115</v>
      </c>
      <c r="C373" s="13">
        <v>30292.54</v>
      </c>
      <c r="D373" s="54">
        <v>58</v>
      </c>
      <c r="F373" s="17">
        <v>45115</v>
      </c>
      <c r="G373" s="13">
        <v>30292.54</v>
      </c>
      <c r="H373" s="4">
        <v>30292.54</v>
      </c>
      <c r="I373" s="4">
        <v>30292.54</v>
      </c>
      <c r="J373" s="3">
        <v>58</v>
      </c>
      <c r="K373" s="3">
        <v>58</v>
      </c>
      <c r="L373" s="54">
        <v>58</v>
      </c>
    </row>
    <row r="374" spans="2:12" x14ac:dyDescent="0.25">
      <c r="B374" s="17">
        <v>45116</v>
      </c>
      <c r="C374" s="13">
        <v>30171.23</v>
      </c>
      <c r="D374" s="54">
        <v>55</v>
      </c>
      <c r="F374" s="17">
        <v>45116</v>
      </c>
      <c r="G374" s="13">
        <v>30171.23</v>
      </c>
      <c r="H374" s="4">
        <v>30171.23</v>
      </c>
      <c r="I374" s="4">
        <v>30171.23</v>
      </c>
      <c r="J374" s="3">
        <v>55</v>
      </c>
      <c r="K374" s="3">
        <v>55</v>
      </c>
      <c r="L374" s="54">
        <v>55</v>
      </c>
    </row>
    <row r="375" spans="2:12" x14ac:dyDescent="0.25">
      <c r="B375" s="17">
        <v>45117</v>
      </c>
      <c r="C375" s="13">
        <v>30414.47</v>
      </c>
      <c r="D375" s="54">
        <v>56</v>
      </c>
      <c r="F375" s="17">
        <v>45117</v>
      </c>
      <c r="G375" s="13">
        <v>30414.47</v>
      </c>
      <c r="H375" s="4">
        <v>30414.47</v>
      </c>
      <c r="I375" s="4">
        <v>30414.47</v>
      </c>
      <c r="J375" s="3">
        <v>56</v>
      </c>
      <c r="K375" s="3">
        <v>56</v>
      </c>
      <c r="L375" s="54">
        <v>56</v>
      </c>
    </row>
    <row r="376" spans="2:12" x14ac:dyDescent="0.25">
      <c r="B376" s="17">
        <v>45118</v>
      </c>
      <c r="C376" s="13">
        <v>30620.95</v>
      </c>
      <c r="D376" s="54">
        <v>57</v>
      </c>
      <c r="F376" s="17">
        <v>45118</v>
      </c>
      <c r="G376" s="13">
        <v>30620.95</v>
      </c>
      <c r="H376" s="4">
        <v>30620.95</v>
      </c>
      <c r="I376" s="4">
        <v>30620.95</v>
      </c>
      <c r="J376" s="3">
        <v>57</v>
      </c>
      <c r="K376" s="3">
        <v>57</v>
      </c>
      <c r="L376" s="54">
        <v>57</v>
      </c>
    </row>
    <row r="377" spans="2:12" x14ac:dyDescent="0.25">
      <c r="B377" s="17">
        <v>45119</v>
      </c>
      <c r="C377" s="13">
        <v>30391.65</v>
      </c>
      <c r="D377" s="54">
        <v>64</v>
      </c>
      <c r="F377" s="17">
        <v>45119</v>
      </c>
      <c r="G377" s="13">
        <v>30391.65</v>
      </c>
      <c r="H377" s="4">
        <v>30391.65</v>
      </c>
      <c r="I377" s="4">
        <v>30391.65</v>
      </c>
      <c r="J377" s="3">
        <v>64</v>
      </c>
      <c r="K377" s="3">
        <v>64</v>
      </c>
      <c r="L377" s="54">
        <v>64</v>
      </c>
    </row>
    <row r="378" spans="2:12" x14ac:dyDescent="0.25">
      <c r="B378" s="17">
        <v>45120</v>
      </c>
      <c r="C378" s="13">
        <v>31476.05</v>
      </c>
      <c r="D378" s="54">
        <v>57</v>
      </c>
      <c r="F378" s="17">
        <v>45120</v>
      </c>
      <c r="G378" s="13">
        <v>31476.05</v>
      </c>
      <c r="H378" s="4">
        <v>31476.05</v>
      </c>
      <c r="I378" s="4">
        <v>31476.05</v>
      </c>
      <c r="J378" s="3">
        <v>57</v>
      </c>
      <c r="K378" s="3">
        <v>57</v>
      </c>
      <c r="L378" s="54">
        <v>57</v>
      </c>
    </row>
    <row r="379" spans="2:12" x14ac:dyDescent="0.25">
      <c r="B379" s="17">
        <v>45121</v>
      </c>
      <c r="C379" s="13">
        <v>30334.07</v>
      </c>
      <c r="D379" s="54">
        <v>60</v>
      </c>
      <c r="F379" s="17">
        <v>45121</v>
      </c>
      <c r="G379" s="13">
        <v>30334.07</v>
      </c>
      <c r="H379" s="4">
        <v>30334.07</v>
      </c>
      <c r="I379" s="4">
        <v>30334.07</v>
      </c>
      <c r="J379" s="3">
        <v>60</v>
      </c>
      <c r="K379" s="3">
        <v>60</v>
      </c>
      <c r="L379" s="54">
        <v>60</v>
      </c>
    </row>
    <row r="380" spans="2:12" x14ac:dyDescent="0.25">
      <c r="B380" s="17">
        <v>45122</v>
      </c>
      <c r="C380" s="13">
        <v>30295.81</v>
      </c>
      <c r="D380" s="54">
        <v>56</v>
      </c>
      <c r="F380" s="17">
        <v>45122</v>
      </c>
      <c r="G380" s="13">
        <v>30295.81</v>
      </c>
      <c r="H380" s="4">
        <v>30295.81</v>
      </c>
      <c r="I380" s="4">
        <v>30295.81</v>
      </c>
      <c r="J380" s="3">
        <v>56</v>
      </c>
      <c r="K380" s="3">
        <v>56</v>
      </c>
      <c r="L380" s="54">
        <v>56</v>
      </c>
    </row>
    <row r="381" spans="2:12" x14ac:dyDescent="0.25">
      <c r="B381" s="17">
        <v>45123</v>
      </c>
      <c r="C381" s="13">
        <v>30249.13</v>
      </c>
      <c r="D381" s="54">
        <v>57</v>
      </c>
      <c r="F381" s="17">
        <v>45123</v>
      </c>
      <c r="G381" s="13">
        <v>30249.13</v>
      </c>
      <c r="H381" s="4">
        <v>30249.13</v>
      </c>
      <c r="I381" s="4">
        <v>30249.13</v>
      </c>
      <c r="J381" s="3">
        <v>57</v>
      </c>
      <c r="K381" s="3">
        <v>57</v>
      </c>
      <c r="L381" s="54">
        <v>57</v>
      </c>
    </row>
    <row r="382" spans="2:12" x14ac:dyDescent="0.25">
      <c r="B382" s="17">
        <v>45124</v>
      </c>
      <c r="C382" s="13">
        <v>30145.89</v>
      </c>
      <c r="D382" s="54">
        <v>54</v>
      </c>
      <c r="F382" s="17">
        <v>45124</v>
      </c>
      <c r="G382" s="13">
        <v>30145.89</v>
      </c>
      <c r="H382" s="4">
        <v>30145.89</v>
      </c>
      <c r="I382" s="4">
        <v>30145.89</v>
      </c>
      <c r="J382" s="3">
        <v>54</v>
      </c>
      <c r="K382" s="3">
        <v>54</v>
      </c>
      <c r="L382" s="54">
        <v>54</v>
      </c>
    </row>
    <row r="383" spans="2:12" x14ac:dyDescent="0.25">
      <c r="B383" s="17">
        <v>45125</v>
      </c>
      <c r="C383" s="13">
        <v>29856.560000000001</v>
      </c>
      <c r="D383" s="54">
        <v>56</v>
      </c>
      <c r="F383" s="17">
        <v>45125</v>
      </c>
      <c r="G383" s="13">
        <v>29856.560000000001</v>
      </c>
      <c r="H383" s="4">
        <v>29856.560000000001</v>
      </c>
      <c r="I383" s="4">
        <v>29856.560000000001</v>
      </c>
      <c r="J383" s="3">
        <v>56</v>
      </c>
      <c r="K383" s="3">
        <v>56</v>
      </c>
      <c r="L383" s="54">
        <v>56</v>
      </c>
    </row>
    <row r="384" spans="2:12" x14ac:dyDescent="0.25">
      <c r="B384" s="17">
        <v>45126</v>
      </c>
      <c r="C384" s="13">
        <v>29913.919999999998</v>
      </c>
      <c r="D384" s="54">
        <v>50</v>
      </c>
      <c r="F384" s="17">
        <v>45126</v>
      </c>
      <c r="G384" s="13">
        <v>29913.919999999998</v>
      </c>
      <c r="H384" s="4">
        <v>29913.919999999998</v>
      </c>
      <c r="I384" s="4">
        <v>29913.919999999998</v>
      </c>
      <c r="J384" s="3">
        <v>50</v>
      </c>
      <c r="K384" s="3">
        <v>50</v>
      </c>
      <c r="L384" s="54">
        <v>50</v>
      </c>
    </row>
    <row r="385" spans="2:12" x14ac:dyDescent="0.25">
      <c r="B385" s="17">
        <v>45127</v>
      </c>
      <c r="C385" s="13">
        <v>29792.02</v>
      </c>
      <c r="D385" s="54">
        <v>56</v>
      </c>
      <c r="F385" s="17">
        <v>45127</v>
      </c>
      <c r="G385" s="13">
        <v>29792.02</v>
      </c>
      <c r="H385" s="4">
        <v>29792.02</v>
      </c>
      <c r="I385" s="4">
        <v>29792.02</v>
      </c>
      <c r="J385" s="3">
        <v>56</v>
      </c>
      <c r="K385" s="3">
        <v>56</v>
      </c>
      <c r="L385" s="54">
        <v>56</v>
      </c>
    </row>
    <row r="386" spans="2:12" x14ac:dyDescent="0.25">
      <c r="B386" s="17">
        <v>45128</v>
      </c>
      <c r="C386" s="13">
        <v>29908.74</v>
      </c>
      <c r="D386" s="54">
        <v>50</v>
      </c>
      <c r="F386" s="17">
        <v>45128</v>
      </c>
      <c r="G386" s="13">
        <v>29908.74</v>
      </c>
      <c r="H386" s="4">
        <v>29908.74</v>
      </c>
      <c r="I386" s="4">
        <v>29908.74</v>
      </c>
      <c r="J386" s="3">
        <v>50</v>
      </c>
      <c r="K386" s="3">
        <v>50</v>
      </c>
      <c r="L386" s="54">
        <v>50</v>
      </c>
    </row>
    <row r="387" spans="2:12" x14ac:dyDescent="0.25">
      <c r="B387" s="17">
        <v>45129</v>
      </c>
      <c r="C387" s="13">
        <v>29771.8</v>
      </c>
      <c r="D387" s="54">
        <v>52</v>
      </c>
      <c r="F387" s="17">
        <v>45129</v>
      </c>
      <c r="G387" s="13">
        <v>29771.8</v>
      </c>
      <c r="H387" s="4">
        <v>29771.8</v>
      </c>
      <c r="I387" s="4">
        <v>29771.8</v>
      </c>
      <c r="J387" s="3">
        <v>52</v>
      </c>
      <c r="K387" s="3">
        <v>52</v>
      </c>
      <c r="L387" s="54">
        <v>52</v>
      </c>
    </row>
    <row r="388" spans="2:12" x14ac:dyDescent="0.25">
      <c r="B388" s="17">
        <v>45130</v>
      </c>
      <c r="C388" s="13">
        <v>30084.54</v>
      </c>
      <c r="D388" s="54">
        <v>54</v>
      </c>
      <c r="F388" s="17">
        <v>45130</v>
      </c>
      <c r="G388" s="13">
        <v>30084.54</v>
      </c>
      <c r="H388" s="4">
        <v>30084.54</v>
      </c>
      <c r="I388" s="4">
        <v>30084.54</v>
      </c>
      <c r="J388" s="3">
        <v>54</v>
      </c>
      <c r="K388" s="3">
        <v>54</v>
      </c>
      <c r="L388" s="54">
        <v>54</v>
      </c>
    </row>
    <row r="389" spans="2:12" x14ac:dyDescent="0.25">
      <c r="B389" s="17">
        <v>45131</v>
      </c>
      <c r="C389" s="13">
        <v>29176.92</v>
      </c>
      <c r="D389" s="54">
        <v>55</v>
      </c>
      <c r="F389" s="17">
        <v>45131</v>
      </c>
      <c r="G389" s="13">
        <v>29176.92</v>
      </c>
      <c r="H389" s="4">
        <v>29176.92</v>
      </c>
      <c r="I389" s="4">
        <v>29176.92</v>
      </c>
      <c r="J389" s="3">
        <v>55</v>
      </c>
      <c r="K389" s="3">
        <v>55</v>
      </c>
      <c r="L389" s="54">
        <v>55</v>
      </c>
    </row>
    <row r="390" spans="2:12" x14ac:dyDescent="0.25">
      <c r="B390" s="17">
        <v>45132</v>
      </c>
      <c r="C390" s="13">
        <v>29227.39</v>
      </c>
      <c r="D390" s="54">
        <v>50</v>
      </c>
      <c r="F390" s="17">
        <v>45132</v>
      </c>
      <c r="G390" s="13">
        <v>29227.39</v>
      </c>
      <c r="H390" s="4">
        <v>29227.39</v>
      </c>
      <c r="I390" s="4">
        <v>29227.39</v>
      </c>
      <c r="J390" s="3">
        <v>50</v>
      </c>
      <c r="K390" s="3">
        <v>50</v>
      </c>
      <c r="L390" s="54">
        <v>50</v>
      </c>
    </row>
    <row r="391" spans="2:12" x14ac:dyDescent="0.25">
      <c r="B391" s="17">
        <v>45133</v>
      </c>
      <c r="C391" s="13">
        <v>29354.97</v>
      </c>
      <c r="D391" s="54">
        <v>51</v>
      </c>
      <c r="F391" s="17">
        <v>45133</v>
      </c>
      <c r="G391" s="13">
        <v>29354.97</v>
      </c>
      <c r="H391" s="4">
        <v>29354.97</v>
      </c>
      <c r="I391" s="4">
        <v>29354.97</v>
      </c>
      <c r="J391" s="3">
        <v>51</v>
      </c>
      <c r="K391" s="3">
        <v>51</v>
      </c>
      <c r="L391" s="54">
        <v>51</v>
      </c>
    </row>
    <row r="392" spans="2:12" x14ac:dyDescent="0.25">
      <c r="B392" s="17">
        <v>45134</v>
      </c>
      <c r="C392" s="13">
        <v>29210.69</v>
      </c>
      <c r="D392" s="54">
        <v>51</v>
      </c>
      <c r="F392" s="17">
        <v>45134</v>
      </c>
      <c r="G392" s="13">
        <v>29210.69</v>
      </c>
      <c r="H392" s="4">
        <v>29210.69</v>
      </c>
      <c r="I392" s="4">
        <v>29210.69</v>
      </c>
      <c r="J392" s="3">
        <v>51</v>
      </c>
      <c r="K392" s="3">
        <v>51</v>
      </c>
      <c r="L392" s="54">
        <v>51</v>
      </c>
    </row>
    <row r="393" spans="2:12" x14ac:dyDescent="0.25">
      <c r="B393" s="17">
        <v>45135</v>
      </c>
      <c r="C393" s="13">
        <v>29319.25</v>
      </c>
      <c r="D393" s="54">
        <v>52</v>
      </c>
      <c r="F393" s="17">
        <v>45135</v>
      </c>
      <c r="G393" s="13">
        <v>29319.25</v>
      </c>
      <c r="H393" s="4">
        <v>29319.25</v>
      </c>
      <c r="I393" s="4">
        <v>29319.25</v>
      </c>
      <c r="J393" s="3">
        <v>52</v>
      </c>
      <c r="K393" s="3">
        <v>52</v>
      </c>
      <c r="L393" s="54">
        <v>52</v>
      </c>
    </row>
    <row r="394" spans="2:12" x14ac:dyDescent="0.25">
      <c r="B394" s="17">
        <v>45136</v>
      </c>
      <c r="C394" s="13">
        <v>29356.92</v>
      </c>
      <c r="D394" s="54">
        <v>52</v>
      </c>
      <c r="F394" s="17">
        <v>45136</v>
      </c>
      <c r="G394" s="13">
        <v>29356.92</v>
      </c>
      <c r="H394" s="4">
        <v>29356.92</v>
      </c>
      <c r="I394" s="4">
        <v>29356.92</v>
      </c>
      <c r="J394" s="3">
        <v>52</v>
      </c>
      <c r="K394" s="3">
        <v>52</v>
      </c>
      <c r="L394" s="54">
        <v>52</v>
      </c>
    </row>
    <row r="395" spans="2:12" x14ac:dyDescent="0.25">
      <c r="B395" s="17">
        <v>45137</v>
      </c>
      <c r="C395" s="13">
        <v>29275.31</v>
      </c>
      <c r="D395" s="54">
        <v>52</v>
      </c>
      <c r="F395" s="17">
        <v>45137</v>
      </c>
      <c r="G395" s="13">
        <v>29275.31</v>
      </c>
      <c r="H395" s="4">
        <v>29275.31</v>
      </c>
      <c r="I395" s="4">
        <v>29275.31</v>
      </c>
      <c r="J395" s="3">
        <v>52</v>
      </c>
      <c r="K395" s="3">
        <v>52</v>
      </c>
      <c r="L395" s="54">
        <v>52</v>
      </c>
    </row>
    <row r="396" spans="2:12" x14ac:dyDescent="0.25">
      <c r="B396" s="17">
        <v>45138</v>
      </c>
      <c r="C396" s="13">
        <v>29230.11</v>
      </c>
      <c r="D396" s="54">
        <v>50</v>
      </c>
      <c r="F396" s="17">
        <v>45138</v>
      </c>
      <c r="G396" s="13">
        <v>29230.11</v>
      </c>
      <c r="H396" s="4">
        <v>29230.11</v>
      </c>
      <c r="I396" s="4">
        <v>29230.11</v>
      </c>
      <c r="J396" s="3">
        <v>50</v>
      </c>
      <c r="K396" s="3">
        <v>50</v>
      </c>
      <c r="L396" s="54">
        <v>50</v>
      </c>
    </row>
    <row r="397" spans="2:12" x14ac:dyDescent="0.25">
      <c r="B397" s="17">
        <v>45139</v>
      </c>
      <c r="C397" s="13">
        <v>29675.73</v>
      </c>
      <c r="D397" s="54">
        <v>53</v>
      </c>
      <c r="F397" s="17">
        <v>45139</v>
      </c>
      <c r="G397" s="13">
        <v>29675.73</v>
      </c>
      <c r="H397" s="4">
        <v>29675.73</v>
      </c>
      <c r="I397" s="4">
        <v>29675.73</v>
      </c>
      <c r="J397" s="3">
        <v>53</v>
      </c>
      <c r="K397" s="3">
        <v>53</v>
      </c>
      <c r="L397" s="54">
        <v>53</v>
      </c>
    </row>
    <row r="398" spans="2:12" x14ac:dyDescent="0.25">
      <c r="B398" s="17">
        <v>45140</v>
      </c>
      <c r="C398" s="13">
        <v>29151.96</v>
      </c>
      <c r="D398" s="54">
        <v>53</v>
      </c>
      <c r="F398" s="17">
        <v>45140</v>
      </c>
      <c r="G398" s="13">
        <v>29151.96</v>
      </c>
      <c r="H398" s="4">
        <v>29151.96</v>
      </c>
      <c r="I398" s="4">
        <v>29151.96</v>
      </c>
      <c r="J398" s="3">
        <v>53</v>
      </c>
      <c r="K398" s="3">
        <v>53</v>
      </c>
      <c r="L398" s="54">
        <v>53</v>
      </c>
    </row>
    <row r="399" spans="2:12" x14ac:dyDescent="0.25">
      <c r="B399" s="17">
        <v>45141</v>
      </c>
      <c r="C399" s="13">
        <v>29178.68</v>
      </c>
      <c r="D399" s="54">
        <v>52</v>
      </c>
      <c r="F399" s="17">
        <v>45141</v>
      </c>
      <c r="G399" s="13">
        <v>29178.68</v>
      </c>
      <c r="H399" s="4">
        <v>29178.68</v>
      </c>
      <c r="I399" s="4">
        <v>29178.68</v>
      </c>
      <c r="J399" s="3">
        <v>52</v>
      </c>
      <c r="K399" s="3">
        <v>52</v>
      </c>
      <c r="L399" s="54">
        <v>52</v>
      </c>
    </row>
    <row r="400" spans="2:12" x14ac:dyDescent="0.25">
      <c r="B400" s="17">
        <v>45142</v>
      </c>
      <c r="C400" s="13">
        <v>29074.09</v>
      </c>
      <c r="D400" s="54">
        <v>54</v>
      </c>
      <c r="F400" s="17">
        <v>45142</v>
      </c>
      <c r="G400" s="13">
        <v>29074.09</v>
      </c>
      <c r="H400" s="4">
        <v>29074.09</v>
      </c>
      <c r="I400" s="4">
        <v>29074.09</v>
      </c>
      <c r="J400" s="3">
        <v>54</v>
      </c>
      <c r="K400" s="3">
        <v>54</v>
      </c>
      <c r="L400" s="54">
        <v>54</v>
      </c>
    </row>
    <row r="401" spans="2:12" x14ac:dyDescent="0.25">
      <c r="B401" s="17">
        <v>45143</v>
      </c>
      <c r="C401" s="13">
        <v>29042.13</v>
      </c>
      <c r="D401" s="54">
        <v>50</v>
      </c>
      <c r="F401" s="17">
        <v>45143</v>
      </c>
      <c r="G401" s="13">
        <v>29042.13</v>
      </c>
      <c r="H401" s="4">
        <v>29042.13</v>
      </c>
      <c r="I401" s="4">
        <v>29042.13</v>
      </c>
      <c r="J401" s="3">
        <v>50</v>
      </c>
      <c r="K401" s="3">
        <v>50</v>
      </c>
      <c r="L401" s="54">
        <v>50</v>
      </c>
    </row>
    <row r="402" spans="2:12" x14ac:dyDescent="0.25">
      <c r="B402" s="17">
        <v>45144</v>
      </c>
      <c r="C402" s="13">
        <v>29041.86</v>
      </c>
      <c r="D402" s="54">
        <v>49</v>
      </c>
      <c r="F402" s="17">
        <v>45144</v>
      </c>
      <c r="G402" s="13">
        <v>29041.86</v>
      </c>
      <c r="H402" s="4">
        <v>29041.86</v>
      </c>
      <c r="I402" s="4">
        <v>29041.86</v>
      </c>
      <c r="J402" s="3">
        <v>49</v>
      </c>
      <c r="K402" s="3">
        <v>49</v>
      </c>
      <c r="L402" s="54">
        <v>49</v>
      </c>
    </row>
    <row r="403" spans="2:12" ht="15.75" thickBot="1" x14ac:dyDescent="0.3">
      <c r="B403" s="18">
        <v>45145</v>
      </c>
      <c r="C403" s="13">
        <v>29180.58</v>
      </c>
      <c r="D403" s="54">
        <v>49</v>
      </c>
      <c r="F403" s="18">
        <v>45145</v>
      </c>
      <c r="G403" s="13">
        <v>29180.58</v>
      </c>
      <c r="H403" s="4">
        <v>29180.58</v>
      </c>
      <c r="I403" s="4">
        <v>29180.58</v>
      </c>
      <c r="J403" s="3">
        <v>49</v>
      </c>
      <c r="K403" s="3">
        <v>49</v>
      </c>
      <c r="L403" s="54">
        <v>49</v>
      </c>
    </row>
    <row r="404" spans="2:12" x14ac:dyDescent="0.25">
      <c r="B404" s="16">
        <v>45146</v>
      </c>
      <c r="C404" s="13">
        <v>29765.49</v>
      </c>
      <c r="D404" s="54">
        <v>54</v>
      </c>
      <c r="F404" s="16">
        <v>45146</v>
      </c>
      <c r="G404" s="13">
        <v>29765.49</v>
      </c>
      <c r="H404" s="4">
        <v>29765.49</v>
      </c>
      <c r="I404" s="4">
        <v>29765.49</v>
      </c>
      <c r="J404" s="3">
        <v>54</v>
      </c>
      <c r="K404" s="3">
        <v>54</v>
      </c>
      <c r="L404" s="54">
        <v>54</v>
      </c>
    </row>
    <row r="405" spans="2:12" x14ac:dyDescent="0.25">
      <c r="B405" s="17">
        <v>45147</v>
      </c>
      <c r="C405" s="13">
        <v>29561.49</v>
      </c>
      <c r="D405" s="54">
        <v>50</v>
      </c>
      <c r="F405" s="17">
        <v>45147</v>
      </c>
      <c r="G405" s="13">
        <v>29561.49</v>
      </c>
      <c r="H405" s="4">
        <v>29561.49</v>
      </c>
      <c r="I405" s="4">
        <v>29561.49</v>
      </c>
      <c r="J405" s="3">
        <v>50</v>
      </c>
      <c r="K405" s="3">
        <v>50</v>
      </c>
      <c r="L405" s="54">
        <v>50</v>
      </c>
    </row>
    <row r="406" spans="2:12" x14ac:dyDescent="0.25">
      <c r="B406" s="17">
        <v>45148</v>
      </c>
      <c r="C406" s="13">
        <v>29429.59</v>
      </c>
      <c r="D406" s="54">
        <v>53</v>
      </c>
      <c r="F406" s="17">
        <v>45148</v>
      </c>
      <c r="G406" s="13">
        <v>29429.59</v>
      </c>
      <c r="H406" s="4">
        <v>29429.59</v>
      </c>
      <c r="I406" s="4">
        <v>29429.59</v>
      </c>
      <c r="J406" s="3">
        <v>53</v>
      </c>
      <c r="K406" s="3">
        <v>53</v>
      </c>
      <c r="L406" s="54">
        <v>53</v>
      </c>
    </row>
    <row r="407" spans="2:12" x14ac:dyDescent="0.25">
      <c r="B407" s="17">
        <v>45149</v>
      </c>
      <c r="C407" s="13">
        <v>29397.71</v>
      </c>
      <c r="D407" s="54">
        <v>51</v>
      </c>
      <c r="F407" s="17">
        <v>45149</v>
      </c>
      <c r="G407" s="13">
        <v>29397.71</v>
      </c>
      <c r="H407" s="4">
        <v>29397.71</v>
      </c>
      <c r="I407" s="4">
        <v>29397.71</v>
      </c>
      <c r="J407" s="3">
        <v>51</v>
      </c>
      <c r="K407" s="3">
        <v>51</v>
      </c>
      <c r="L407" s="54">
        <v>51</v>
      </c>
    </row>
    <row r="408" spans="2:12" x14ac:dyDescent="0.25">
      <c r="B408" s="17">
        <v>45150</v>
      </c>
      <c r="C408" s="13">
        <v>29415.96</v>
      </c>
      <c r="D408" s="54">
        <v>54</v>
      </c>
      <c r="F408" s="17">
        <v>45150</v>
      </c>
      <c r="G408" s="13">
        <v>29415.96</v>
      </c>
      <c r="H408" s="4">
        <v>29415.96</v>
      </c>
      <c r="I408" s="4">
        <v>29415.96</v>
      </c>
      <c r="J408" s="3">
        <v>54</v>
      </c>
      <c r="K408" s="3">
        <v>54</v>
      </c>
      <c r="L408" s="54">
        <v>54</v>
      </c>
    </row>
    <row r="409" spans="2:12" x14ac:dyDescent="0.25">
      <c r="B409" s="17">
        <v>45151</v>
      </c>
      <c r="C409" s="13">
        <v>29282.91</v>
      </c>
      <c r="D409" s="54">
        <v>54</v>
      </c>
      <c r="F409" s="17">
        <v>45151</v>
      </c>
      <c r="G409" s="13">
        <v>29282.91</v>
      </c>
      <c r="H409" s="4">
        <v>29282.91</v>
      </c>
      <c r="I409" s="4">
        <v>29282.91</v>
      </c>
      <c r="J409" s="3">
        <v>54</v>
      </c>
      <c r="K409" s="3">
        <v>54</v>
      </c>
      <c r="L409" s="54">
        <v>54</v>
      </c>
    </row>
    <row r="410" spans="2:12" x14ac:dyDescent="0.25">
      <c r="B410" s="17">
        <v>45152</v>
      </c>
      <c r="C410" s="13">
        <v>29408.44</v>
      </c>
      <c r="D410" s="54">
        <v>50</v>
      </c>
      <c r="F410" s="17">
        <v>45152</v>
      </c>
      <c r="G410" s="13">
        <v>29408.44</v>
      </c>
      <c r="H410" s="4">
        <v>29408.44</v>
      </c>
      <c r="I410" s="4">
        <v>29408.44</v>
      </c>
      <c r="J410" s="3">
        <v>50</v>
      </c>
      <c r="K410" s="3">
        <v>50</v>
      </c>
      <c r="L410" s="54">
        <v>50</v>
      </c>
    </row>
    <row r="411" spans="2:12" x14ac:dyDescent="0.25">
      <c r="B411" s="17">
        <v>45153</v>
      </c>
      <c r="C411" s="13">
        <v>29170.35</v>
      </c>
      <c r="D411" s="54">
        <v>53</v>
      </c>
      <c r="F411" s="17">
        <v>45153</v>
      </c>
      <c r="G411" s="13">
        <v>29170.35</v>
      </c>
      <c r="H411" s="4">
        <v>29170.35</v>
      </c>
      <c r="I411" s="4">
        <v>29170.35</v>
      </c>
      <c r="J411" s="3">
        <v>53</v>
      </c>
      <c r="K411" s="3">
        <v>53</v>
      </c>
      <c r="L411" s="54">
        <v>53</v>
      </c>
    </row>
    <row r="412" spans="2:12" x14ac:dyDescent="0.25">
      <c r="B412" s="17">
        <v>45154</v>
      </c>
      <c r="C412" s="13">
        <v>28701.78</v>
      </c>
      <c r="D412" s="54">
        <v>52</v>
      </c>
      <c r="F412" s="17">
        <v>45154</v>
      </c>
      <c r="G412" s="13">
        <v>28701.78</v>
      </c>
      <c r="H412" s="4">
        <v>28701.78</v>
      </c>
      <c r="I412" s="4">
        <v>28701.78</v>
      </c>
      <c r="J412" s="3">
        <v>52</v>
      </c>
      <c r="K412" s="3">
        <v>52</v>
      </c>
      <c r="L412" s="54">
        <v>52</v>
      </c>
    </row>
    <row r="413" spans="2:12" x14ac:dyDescent="0.25">
      <c r="B413" s="17">
        <v>45155</v>
      </c>
      <c r="C413" s="13">
        <v>26664.55</v>
      </c>
      <c r="D413" s="54">
        <v>50</v>
      </c>
      <c r="F413" s="17">
        <v>45155</v>
      </c>
      <c r="G413" s="13">
        <v>26664.55</v>
      </c>
      <c r="H413" s="4">
        <v>26664.55</v>
      </c>
      <c r="I413" s="4">
        <v>26664.55</v>
      </c>
      <c r="J413" s="3">
        <v>50</v>
      </c>
      <c r="K413" s="3">
        <v>50</v>
      </c>
      <c r="L413" s="54">
        <v>50</v>
      </c>
    </row>
    <row r="414" spans="2:12" x14ac:dyDescent="0.25">
      <c r="B414" s="17">
        <v>45156</v>
      </c>
      <c r="C414" s="13">
        <v>26049.56</v>
      </c>
      <c r="D414" s="54">
        <v>37</v>
      </c>
      <c r="F414" s="17">
        <v>45156</v>
      </c>
      <c r="G414" s="13">
        <v>26049.56</v>
      </c>
      <c r="H414" s="4">
        <v>26049.56</v>
      </c>
      <c r="I414" s="4">
        <v>26049.56</v>
      </c>
      <c r="J414" s="3">
        <v>37</v>
      </c>
      <c r="K414" s="3">
        <v>37</v>
      </c>
      <c r="L414" s="54">
        <v>37</v>
      </c>
    </row>
    <row r="415" spans="2:12" x14ac:dyDescent="0.25">
      <c r="B415" s="17">
        <v>45157</v>
      </c>
      <c r="C415" s="13">
        <v>26096.21</v>
      </c>
      <c r="D415" s="54">
        <v>39</v>
      </c>
      <c r="F415" s="17">
        <v>45157</v>
      </c>
      <c r="G415" s="13">
        <v>26096.21</v>
      </c>
      <c r="H415" s="4">
        <v>26096.21</v>
      </c>
      <c r="I415" s="4">
        <v>26096.21</v>
      </c>
      <c r="J415" s="3">
        <v>39</v>
      </c>
      <c r="K415" s="3">
        <v>39</v>
      </c>
      <c r="L415" s="54">
        <v>39</v>
      </c>
    </row>
    <row r="416" spans="2:12" x14ac:dyDescent="0.25">
      <c r="B416" s="17">
        <v>45158</v>
      </c>
      <c r="C416" s="13">
        <v>26189.58</v>
      </c>
      <c r="D416" s="54">
        <v>37</v>
      </c>
      <c r="F416" s="17">
        <v>45158</v>
      </c>
      <c r="G416" s="13">
        <v>26189.58</v>
      </c>
      <c r="H416" s="4">
        <v>26189.58</v>
      </c>
      <c r="I416" s="4">
        <v>26189.58</v>
      </c>
      <c r="J416" s="3">
        <v>37</v>
      </c>
      <c r="K416" s="3">
        <v>37</v>
      </c>
      <c r="L416" s="54">
        <v>37</v>
      </c>
    </row>
    <row r="417" spans="2:12" x14ac:dyDescent="0.25">
      <c r="B417" s="17">
        <v>45159</v>
      </c>
      <c r="C417" s="13">
        <v>26124.14</v>
      </c>
      <c r="D417" s="54">
        <v>38</v>
      </c>
      <c r="F417" s="17">
        <v>45159</v>
      </c>
      <c r="G417" s="13">
        <v>26124.14</v>
      </c>
      <c r="H417" s="4">
        <v>26124.14</v>
      </c>
      <c r="I417" s="4">
        <v>26124.14</v>
      </c>
      <c r="J417" s="3">
        <v>38</v>
      </c>
      <c r="K417" s="3">
        <v>38</v>
      </c>
      <c r="L417" s="54">
        <v>38</v>
      </c>
    </row>
    <row r="418" spans="2:12" x14ac:dyDescent="0.25">
      <c r="B418" s="17">
        <v>45160</v>
      </c>
      <c r="C418" s="13">
        <v>26031.66</v>
      </c>
      <c r="D418" s="54">
        <v>37</v>
      </c>
      <c r="F418" s="17">
        <v>45160</v>
      </c>
      <c r="G418" s="13">
        <v>26031.66</v>
      </c>
      <c r="H418" s="4">
        <v>26031.66</v>
      </c>
      <c r="I418" s="4">
        <v>26031.66</v>
      </c>
      <c r="J418" s="3">
        <v>37</v>
      </c>
      <c r="K418" s="3">
        <v>37</v>
      </c>
      <c r="L418" s="54">
        <v>37</v>
      </c>
    </row>
    <row r="419" spans="2:12" x14ac:dyDescent="0.25">
      <c r="B419" s="17">
        <v>45161</v>
      </c>
      <c r="C419" s="13">
        <v>26431.64</v>
      </c>
      <c r="D419" s="54">
        <v>37</v>
      </c>
      <c r="F419" s="17">
        <v>45161</v>
      </c>
      <c r="G419" s="13">
        <v>26431.64</v>
      </c>
      <c r="H419" s="4">
        <v>26431.64</v>
      </c>
      <c r="I419" s="4">
        <v>26431.64</v>
      </c>
      <c r="J419" s="3">
        <v>37</v>
      </c>
      <c r="K419" s="3">
        <v>37</v>
      </c>
      <c r="L419" s="54">
        <v>37</v>
      </c>
    </row>
    <row r="420" spans="2:12" x14ac:dyDescent="0.25">
      <c r="B420" s="17">
        <v>45162</v>
      </c>
      <c r="C420" s="13">
        <v>26162.37</v>
      </c>
      <c r="D420" s="54">
        <v>41</v>
      </c>
      <c r="F420" s="17">
        <v>45162</v>
      </c>
      <c r="G420" s="13">
        <v>26162.37</v>
      </c>
      <c r="H420" s="4">
        <v>26162.37</v>
      </c>
      <c r="I420" s="4">
        <v>26162.37</v>
      </c>
      <c r="J420" s="3">
        <v>41</v>
      </c>
      <c r="K420" s="3">
        <v>41</v>
      </c>
      <c r="L420" s="54">
        <v>41</v>
      </c>
    </row>
    <row r="421" spans="2:12" x14ac:dyDescent="0.25">
      <c r="B421" s="17">
        <v>45163</v>
      </c>
      <c r="C421" s="13">
        <v>26047.67</v>
      </c>
      <c r="D421" s="54">
        <v>39</v>
      </c>
      <c r="F421" s="17">
        <v>45163</v>
      </c>
      <c r="G421" s="13">
        <v>26047.67</v>
      </c>
      <c r="H421" s="4">
        <v>26047.67</v>
      </c>
      <c r="I421" s="4">
        <v>26047.67</v>
      </c>
      <c r="J421" s="3">
        <v>39</v>
      </c>
      <c r="K421" s="3">
        <v>39</v>
      </c>
      <c r="L421" s="54">
        <v>39</v>
      </c>
    </row>
    <row r="422" spans="2:12" x14ac:dyDescent="0.25">
      <c r="B422" s="17">
        <v>45164</v>
      </c>
      <c r="C422" s="13">
        <v>26008.46</v>
      </c>
      <c r="D422" s="54">
        <v>38</v>
      </c>
      <c r="F422" s="17">
        <v>45164</v>
      </c>
      <c r="G422" s="13">
        <v>26008.46</v>
      </c>
      <c r="H422" s="4">
        <v>26008.46</v>
      </c>
      <c r="I422" s="4">
        <v>26008.46</v>
      </c>
      <c r="J422" s="3">
        <v>38</v>
      </c>
      <c r="K422" s="3">
        <v>38</v>
      </c>
      <c r="L422" s="54">
        <v>38</v>
      </c>
    </row>
    <row r="423" spans="2:12" x14ac:dyDescent="0.25">
      <c r="B423" s="17">
        <v>45165</v>
      </c>
      <c r="C423" s="13">
        <v>26089.69</v>
      </c>
      <c r="D423" s="54">
        <v>38</v>
      </c>
      <c r="F423" s="17">
        <v>45165</v>
      </c>
      <c r="G423" s="13">
        <v>26089.69</v>
      </c>
      <c r="H423" s="4">
        <v>26089.69</v>
      </c>
      <c r="I423" s="4">
        <v>26089.69</v>
      </c>
      <c r="J423" s="3">
        <v>38</v>
      </c>
      <c r="K423" s="3">
        <v>38</v>
      </c>
      <c r="L423" s="54">
        <v>38</v>
      </c>
    </row>
    <row r="424" spans="2:12" x14ac:dyDescent="0.25">
      <c r="B424" s="17">
        <v>45166</v>
      </c>
      <c r="C424" s="13">
        <v>26106.15</v>
      </c>
      <c r="D424" s="54">
        <v>39</v>
      </c>
      <c r="F424" s="17">
        <v>45166</v>
      </c>
      <c r="G424" s="13">
        <v>26106.15</v>
      </c>
      <c r="H424" s="4">
        <v>26106.15</v>
      </c>
      <c r="I424" s="4">
        <v>26106.15</v>
      </c>
      <c r="J424" s="3">
        <v>39</v>
      </c>
      <c r="K424" s="3">
        <v>39</v>
      </c>
      <c r="L424" s="54">
        <v>39</v>
      </c>
    </row>
    <row r="425" spans="2:12" x14ac:dyDescent="0.25">
      <c r="B425" s="17">
        <v>45167</v>
      </c>
      <c r="C425" s="13">
        <v>27727.39</v>
      </c>
      <c r="D425" s="54">
        <v>39</v>
      </c>
      <c r="F425" s="17">
        <v>45167</v>
      </c>
      <c r="G425" s="13">
        <v>27727.39</v>
      </c>
      <c r="H425" s="4">
        <v>27727.39</v>
      </c>
      <c r="I425" s="4">
        <v>27727.39</v>
      </c>
      <c r="J425" s="3">
        <v>39</v>
      </c>
      <c r="K425" s="3">
        <v>39</v>
      </c>
      <c r="L425" s="54">
        <v>39</v>
      </c>
    </row>
    <row r="426" spans="2:12" x14ac:dyDescent="0.25">
      <c r="B426" s="17">
        <v>45168</v>
      </c>
      <c r="C426" s="13">
        <v>27297.27</v>
      </c>
      <c r="D426" s="54">
        <v>49</v>
      </c>
      <c r="F426" s="17">
        <v>45168</v>
      </c>
      <c r="G426" s="13">
        <v>27297.27</v>
      </c>
      <c r="H426" s="4">
        <v>27297.27</v>
      </c>
      <c r="I426" s="4">
        <v>27297.27</v>
      </c>
      <c r="J426" s="3">
        <v>49</v>
      </c>
      <c r="K426" s="3">
        <v>49</v>
      </c>
      <c r="L426" s="54">
        <v>49</v>
      </c>
    </row>
    <row r="427" spans="2:12" x14ac:dyDescent="0.25">
      <c r="B427" s="17">
        <v>45169</v>
      </c>
      <c r="C427" s="13">
        <v>25931.47</v>
      </c>
      <c r="D427" s="54">
        <v>52</v>
      </c>
      <c r="F427" s="17">
        <v>45169</v>
      </c>
      <c r="G427" s="13">
        <v>25931.47</v>
      </c>
      <c r="H427" s="4">
        <v>25931.47</v>
      </c>
      <c r="I427" s="4">
        <v>25931.47</v>
      </c>
      <c r="J427" s="3">
        <v>52</v>
      </c>
      <c r="K427" s="3">
        <v>52</v>
      </c>
      <c r="L427" s="54">
        <v>52</v>
      </c>
    </row>
    <row r="428" spans="2:12" x14ac:dyDescent="0.25">
      <c r="B428" s="17">
        <v>45170</v>
      </c>
      <c r="C428" s="13">
        <v>25800.720000000001</v>
      </c>
      <c r="D428" s="54">
        <v>40</v>
      </c>
      <c r="F428" s="17">
        <v>45170</v>
      </c>
      <c r="G428" s="13">
        <v>25800.720000000001</v>
      </c>
      <c r="H428" s="4">
        <v>25800.720000000001</v>
      </c>
      <c r="I428" s="4">
        <v>25800.720000000001</v>
      </c>
      <c r="J428" s="3">
        <v>40</v>
      </c>
      <c r="K428" s="3">
        <v>40</v>
      </c>
      <c r="L428" s="54">
        <v>40</v>
      </c>
    </row>
    <row r="429" spans="2:12" x14ac:dyDescent="0.25">
      <c r="B429" s="17">
        <v>45171</v>
      </c>
      <c r="C429" s="13">
        <v>25868.799999999999</v>
      </c>
      <c r="D429" s="54">
        <v>39</v>
      </c>
      <c r="F429" s="17">
        <v>45171</v>
      </c>
      <c r="G429" s="13">
        <v>25868.799999999999</v>
      </c>
      <c r="H429" s="4">
        <v>25868.799999999999</v>
      </c>
      <c r="I429" s="4">
        <v>25868.799999999999</v>
      </c>
      <c r="J429" s="3">
        <v>39</v>
      </c>
      <c r="K429" s="3">
        <v>39</v>
      </c>
      <c r="L429" s="54">
        <v>39</v>
      </c>
    </row>
    <row r="430" spans="2:12" x14ac:dyDescent="0.25">
      <c r="B430" s="17">
        <v>45172</v>
      </c>
      <c r="C430" s="13">
        <v>25969.57</v>
      </c>
      <c r="D430" s="54">
        <v>40</v>
      </c>
      <c r="F430" s="17">
        <v>45172</v>
      </c>
      <c r="G430" s="13">
        <v>25969.57</v>
      </c>
      <c r="H430" s="4">
        <v>25969.57</v>
      </c>
      <c r="I430" s="4">
        <v>25969.57</v>
      </c>
      <c r="J430" s="3">
        <v>40</v>
      </c>
      <c r="K430" s="3">
        <v>40</v>
      </c>
      <c r="L430" s="54">
        <v>40</v>
      </c>
    </row>
    <row r="431" spans="2:12" x14ac:dyDescent="0.25">
      <c r="B431" s="17">
        <v>45173</v>
      </c>
      <c r="C431" s="13">
        <v>25812.42</v>
      </c>
      <c r="D431" s="54">
        <v>40</v>
      </c>
      <c r="F431" s="17">
        <v>45173</v>
      </c>
      <c r="G431" s="13">
        <v>25812.42</v>
      </c>
      <c r="H431" s="4">
        <v>25812.42</v>
      </c>
      <c r="I431" s="4">
        <v>25812.42</v>
      </c>
      <c r="J431" s="3">
        <v>40</v>
      </c>
      <c r="K431" s="3">
        <v>40</v>
      </c>
      <c r="L431" s="54">
        <v>40</v>
      </c>
    </row>
    <row r="432" spans="2:12" x14ac:dyDescent="0.25">
      <c r="B432" s="17">
        <v>45174</v>
      </c>
      <c r="C432" s="13">
        <v>25779.98</v>
      </c>
      <c r="D432" s="54">
        <v>40</v>
      </c>
      <c r="F432" s="17">
        <v>45174</v>
      </c>
      <c r="G432" s="13">
        <v>25779.98</v>
      </c>
      <c r="H432" s="4">
        <v>25779.98</v>
      </c>
      <c r="I432" s="4">
        <v>25779.98</v>
      </c>
      <c r="J432" s="3">
        <v>40</v>
      </c>
      <c r="K432" s="3">
        <v>40</v>
      </c>
      <c r="L432" s="54">
        <v>40</v>
      </c>
    </row>
    <row r="433" spans="2:12" x14ac:dyDescent="0.25">
      <c r="B433" s="17">
        <v>45175</v>
      </c>
      <c r="C433" s="13">
        <v>25753.24</v>
      </c>
      <c r="D433" s="54">
        <v>42</v>
      </c>
      <c r="F433" s="17">
        <v>45175</v>
      </c>
      <c r="G433" s="13">
        <v>25753.24</v>
      </c>
      <c r="H433" s="4">
        <v>25753.24</v>
      </c>
      <c r="I433" s="4">
        <v>25753.24</v>
      </c>
      <c r="J433" s="3">
        <v>42</v>
      </c>
      <c r="K433" s="3">
        <v>42</v>
      </c>
      <c r="L433" s="54">
        <v>42</v>
      </c>
    </row>
    <row r="434" spans="2:12" x14ac:dyDescent="0.25">
      <c r="B434" s="17">
        <v>45176</v>
      </c>
      <c r="C434" s="13">
        <v>26240.2</v>
      </c>
      <c r="D434" s="54">
        <v>41</v>
      </c>
      <c r="F434" s="17">
        <v>45176</v>
      </c>
      <c r="G434" s="13">
        <v>26240.2</v>
      </c>
      <c r="H434" s="4">
        <v>26240.2</v>
      </c>
      <c r="I434" s="4">
        <v>26240.2</v>
      </c>
      <c r="J434" s="3">
        <v>41</v>
      </c>
      <c r="K434" s="3">
        <v>41</v>
      </c>
      <c r="L434" s="54">
        <v>41</v>
      </c>
    </row>
    <row r="435" spans="2:12" x14ac:dyDescent="0.25">
      <c r="B435" s="17">
        <v>45177</v>
      </c>
      <c r="C435" s="13">
        <v>25905.65</v>
      </c>
      <c r="D435" s="54">
        <v>46</v>
      </c>
      <c r="F435" s="17">
        <v>45177</v>
      </c>
      <c r="G435" s="13">
        <v>25905.65</v>
      </c>
      <c r="H435" s="4">
        <v>25905.65</v>
      </c>
      <c r="I435" s="4">
        <v>25905.65</v>
      </c>
      <c r="J435" s="3">
        <v>46</v>
      </c>
      <c r="K435" s="3">
        <v>46</v>
      </c>
      <c r="L435" s="54">
        <v>46</v>
      </c>
    </row>
    <row r="436" spans="2:12" x14ac:dyDescent="0.25">
      <c r="B436" s="17">
        <v>45178</v>
      </c>
      <c r="C436" s="13">
        <v>25895.68</v>
      </c>
      <c r="D436" s="54">
        <v>41</v>
      </c>
      <c r="F436" s="17">
        <v>45178</v>
      </c>
      <c r="G436" s="13">
        <v>25895.68</v>
      </c>
      <c r="H436" s="4">
        <v>25895.68</v>
      </c>
      <c r="I436" s="4">
        <v>25895.68</v>
      </c>
      <c r="J436" s="3">
        <v>41</v>
      </c>
      <c r="K436" s="3">
        <v>41</v>
      </c>
      <c r="L436" s="54">
        <v>41</v>
      </c>
    </row>
    <row r="437" spans="2:12" x14ac:dyDescent="0.25">
      <c r="B437" s="17">
        <v>45179</v>
      </c>
      <c r="C437" s="13">
        <v>25832.23</v>
      </c>
      <c r="D437" s="54">
        <v>40</v>
      </c>
      <c r="F437" s="17">
        <v>45179</v>
      </c>
      <c r="G437" s="13">
        <v>25832.23</v>
      </c>
      <c r="H437" s="4">
        <v>25832.23</v>
      </c>
      <c r="I437" s="4">
        <v>25832.23</v>
      </c>
      <c r="J437" s="3">
        <v>40</v>
      </c>
      <c r="K437" s="3">
        <v>40</v>
      </c>
      <c r="L437" s="54">
        <v>40</v>
      </c>
    </row>
    <row r="438" spans="2:12" x14ac:dyDescent="0.25">
      <c r="B438" s="17">
        <v>45180</v>
      </c>
      <c r="C438" s="13">
        <v>25162.65</v>
      </c>
      <c r="D438" s="54">
        <v>40</v>
      </c>
      <c r="F438" s="17">
        <v>45180</v>
      </c>
      <c r="G438" s="13">
        <v>25162.65</v>
      </c>
      <c r="H438" s="4">
        <v>25162.65</v>
      </c>
      <c r="I438" s="4">
        <v>25162.65</v>
      </c>
      <c r="J438" s="3">
        <v>40</v>
      </c>
      <c r="K438" s="3">
        <v>40</v>
      </c>
      <c r="L438" s="54">
        <v>40</v>
      </c>
    </row>
    <row r="439" spans="2:12" x14ac:dyDescent="0.25">
      <c r="B439" s="17">
        <v>45181</v>
      </c>
      <c r="C439" s="13">
        <v>25833.34</v>
      </c>
      <c r="D439" s="54">
        <v>30</v>
      </c>
      <c r="F439" s="17">
        <v>45181</v>
      </c>
      <c r="G439" s="13">
        <v>25833.34</v>
      </c>
      <c r="H439" s="4">
        <v>25833.34</v>
      </c>
      <c r="I439" s="4">
        <v>25833.34</v>
      </c>
      <c r="J439" s="3">
        <v>30</v>
      </c>
      <c r="K439" s="3">
        <v>30</v>
      </c>
      <c r="L439" s="54">
        <v>30</v>
      </c>
    </row>
    <row r="440" spans="2:12" x14ac:dyDescent="0.25">
      <c r="B440" s="17">
        <v>45182</v>
      </c>
      <c r="C440" s="13">
        <v>26228.32</v>
      </c>
      <c r="D440" s="54">
        <v>41</v>
      </c>
      <c r="F440" s="17">
        <v>45182</v>
      </c>
      <c r="G440" s="13">
        <v>26228.32</v>
      </c>
      <c r="H440" s="4">
        <v>26228.32</v>
      </c>
      <c r="I440" s="4">
        <v>26228.32</v>
      </c>
      <c r="J440" s="3">
        <v>41</v>
      </c>
      <c r="K440" s="3">
        <v>41</v>
      </c>
      <c r="L440" s="54">
        <v>41</v>
      </c>
    </row>
    <row r="441" spans="2:12" x14ac:dyDescent="0.25">
      <c r="B441" s="17">
        <v>45183</v>
      </c>
      <c r="C441" s="13">
        <v>26539.67</v>
      </c>
      <c r="D441" s="54">
        <v>45</v>
      </c>
      <c r="F441" s="17">
        <v>45183</v>
      </c>
      <c r="G441" s="13">
        <v>26539.67</v>
      </c>
      <c r="H441" s="4">
        <v>26539.67</v>
      </c>
      <c r="I441" s="4">
        <v>26539.67</v>
      </c>
      <c r="J441" s="3">
        <v>45</v>
      </c>
      <c r="K441" s="3">
        <v>45</v>
      </c>
      <c r="L441" s="54">
        <v>45</v>
      </c>
    </row>
    <row r="442" spans="2:12" x14ac:dyDescent="0.25">
      <c r="B442" s="17">
        <v>45184</v>
      </c>
      <c r="C442" s="13">
        <v>26608.69</v>
      </c>
      <c r="D442" s="54">
        <v>45</v>
      </c>
      <c r="F442" s="17">
        <v>45184</v>
      </c>
      <c r="G442" s="13">
        <v>26608.69</v>
      </c>
      <c r="H442" s="4">
        <v>26608.69</v>
      </c>
      <c r="I442" s="4">
        <v>26608.69</v>
      </c>
      <c r="J442" s="3">
        <v>45</v>
      </c>
      <c r="K442" s="3">
        <v>45</v>
      </c>
      <c r="L442" s="54">
        <v>45</v>
      </c>
    </row>
    <row r="443" spans="2:12" x14ac:dyDescent="0.25">
      <c r="B443" s="17">
        <v>45185</v>
      </c>
      <c r="C443" s="13">
        <v>26568.28</v>
      </c>
      <c r="D443" s="54">
        <v>43</v>
      </c>
      <c r="F443" s="17">
        <v>45185</v>
      </c>
      <c r="G443" s="13">
        <v>26568.28</v>
      </c>
      <c r="H443" s="4">
        <v>26568.28</v>
      </c>
      <c r="I443" s="4">
        <v>26568.28</v>
      </c>
      <c r="J443" s="3">
        <v>43</v>
      </c>
      <c r="K443" s="3">
        <v>43</v>
      </c>
      <c r="L443" s="54">
        <v>43</v>
      </c>
    </row>
    <row r="444" spans="2:12" x14ac:dyDescent="0.25">
      <c r="B444" s="17">
        <v>45186</v>
      </c>
      <c r="C444" s="13">
        <v>26534.19</v>
      </c>
      <c r="D444" s="54">
        <v>46</v>
      </c>
      <c r="F444" s="17">
        <v>45186</v>
      </c>
      <c r="G444" s="13">
        <v>26534.19</v>
      </c>
      <c r="H444" s="4">
        <v>26534.19</v>
      </c>
      <c r="I444" s="4">
        <v>26534.19</v>
      </c>
      <c r="J444" s="3">
        <v>46</v>
      </c>
      <c r="K444" s="3">
        <v>46</v>
      </c>
      <c r="L444" s="54">
        <v>46</v>
      </c>
    </row>
    <row r="445" spans="2:12" x14ac:dyDescent="0.25">
      <c r="B445" s="17">
        <v>45187</v>
      </c>
      <c r="C445" s="13">
        <v>26754.28</v>
      </c>
      <c r="D445" s="54">
        <v>46</v>
      </c>
      <c r="F445" s="17">
        <v>45187</v>
      </c>
      <c r="G445" s="13">
        <v>26754.28</v>
      </c>
      <c r="H445" s="4">
        <v>26754.28</v>
      </c>
      <c r="I445" s="4">
        <v>26754.28</v>
      </c>
      <c r="J445" s="3">
        <v>46</v>
      </c>
      <c r="K445" s="3">
        <v>46</v>
      </c>
      <c r="L445" s="54">
        <v>46</v>
      </c>
    </row>
    <row r="446" spans="2:12" x14ac:dyDescent="0.25">
      <c r="B446" s="17">
        <v>45188</v>
      </c>
      <c r="C446" s="13">
        <v>27211.119999999999</v>
      </c>
      <c r="D446" s="54">
        <v>46</v>
      </c>
      <c r="F446" s="17">
        <v>45188</v>
      </c>
      <c r="G446" s="13">
        <v>27211.119999999999</v>
      </c>
      <c r="H446" s="4">
        <v>27211.119999999999</v>
      </c>
      <c r="I446" s="4">
        <v>27211.119999999999</v>
      </c>
      <c r="J446" s="3">
        <v>46</v>
      </c>
      <c r="K446" s="3">
        <v>46</v>
      </c>
      <c r="L446" s="54">
        <v>46</v>
      </c>
    </row>
    <row r="447" spans="2:12" x14ac:dyDescent="0.25">
      <c r="B447" s="17">
        <v>45189</v>
      </c>
      <c r="C447" s="13">
        <v>27132.01</v>
      </c>
      <c r="D447" s="54">
        <v>47</v>
      </c>
      <c r="F447" s="17">
        <v>45189</v>
      </c>
      <c r="G447" s="13">
        <v>27132.01</v>
      </c>
      <c r="H447" s="4">
        <v>27132.01</v>
      </c>
      <c r="I447" s="4">
        <v>27132.01</v>
      </c>
      <c r="J447" s="3">
        <v>47</v>
      </c>
      <c r="K447" s="3">
        <v>47</v>
      </c>
      <c r="L447" s="54">
        <v>47</v>
      </c>
    </row>
    <row r="448" spans="2:12" x14ac:dyDescent="0.25">
      <c r="B448" s="17">
        <v>45190</v>
      </c>
      <c r="C448" s="13">
        <v>26567.63</v>
      </c>
      <c r="D448" s="54">
        <v>47</v>
      </c>
      <c r="F448" s="17">
        <v>45190</v>
      </c>
      <c r="G448" s="13">
        <v>26567.63</v>
      </c>
      <c r="H448" s="4">
        <v>26567.63</v>
      </c>
      <c r="I448" s="4">
        <v>26567.63</v>
      </c>
      <c r="J448" s="3">
        <v>47</v>
      </c>
      <c r="K448" s="3">
        <v>47</v>
      </c>
      <c r="L448" s="54">
        <v>47</v>
      </c>
    </row>
    <row r="449" spans="2:12" x14ac:dyDescent="0.25">
      <c r="B449" s="17">
        <v>45191</v>
      </c>
      <c r="C449" s="13">
        <v>26579.57</v>
      </c>
      <c r="D449" s="54">
        <v>43</v>
      </c>
      <c r="F449" s="17">
        <v>45191</v>
      </c>
      <c r="G449" s="13">
        <v>26579.57</v>
      </c>
      <c r="H449" s="4">
        <v>26579.57</v>
      </c>
      <c r="I449" s="4">
        <v>26579.57</v>
      </c>
      <c r="J449" s="3">
        <v>43</v>
      </c>
      <c r="K449" s="3">
        <v>43</v>
      </c>
      <c r="L449" s="54">
        <v>43</v>
      </c>
    </row>
    <row r="450" spans="2:12" x14ac:dyDescent="0.25">
      <c r="B450" s="17">
        <v>45192</v>
      </c>
      <c r="C450" s="13">
        <v>26579.39</v>
      </c>
      <c r="D450" s="54">
        <v>47</v>
      </c>
      <c r="F450" s="17">
        <v>45192</v>
      </c>
      <c r="G450" s="13">
        <v>26579.39</v>
      </c>
      <c r="H450" s="4">
        <v>26579.39</v>
      </c>
      <c r="I450" s="4">
        <v>26579.39</v>
      </c>
      <c r="J450" s="3">
        <v>47</v>
      </c>
      <c r="K450" s="3">
        <v>47</v>
      </c>
      <c r="L450" s="54">
        <v>47</v>
      </c>
    </row>
    <row r="451" spans="2:12" x14ac:dyDescent="0.25">
      <c r="B451" s="17">
        <v>45193</v>
      </c>
      <c r="C451" s="13">
        <v>26256.83</v>
      </c>
      <c r="D451" s="54">
        <v>44</v>
      </c>
      <c r="F451" s="17">
        <v>45193</v>
      </c>
      <c r="G451" s="13">
        <v>26256.83</v>
      </c>
      <c r="H451" s="4">
        <v>26256.83</v>
      </c>
      <c r="I451" s="4">
        <v>26256.83</v>
      </c>
      <c r="J451" s="3">
        <v>44</v>
      </c>
      <c r="K451" s="3">
        <v>44</v>
      </c>
      <c r="L451" s="54">
        <v>44</v>
      </c>
    </row>
    <row r="452" spans="2:12" x14ac:dyDescent="0.25">
      <c r="B452" s="17">
        <v>45194</v>
      </c>
      <c r="C452" s="13">
        <v>26298.48</v>
      </c>
      <c r="D452" s="54">
        <v>47</v>
      </c>
      <c r="F452" s="17">
        <v>45194</v>
      </c>
      <c r="G452" s="13">
        <v>26298.48</v>
      </c>
      <c r="H452" s="4">
        <v>26298.48</v>
      </c>
      <c r="I452" s="4">
        <v>26298.48</v>
      </c>
      <c r="J452" s="3">
        <v>47</v>
      </c>
      <c r="K452" s="3">
        <v>47</v>
      </c>
      <c r="L452" s="54">
        <v>47</v>
      </c>
    </row>
    <row r="453" spans="2:12" ht="15.75" thickBot="1" x14ac:dyDescent="0.3">
      <c r="B453" s="18">
        <v>45195</v>
      </c>
      <c r="C453" s="13">
        <v>26217.25</v>
      </c>
      <c r="D453" s="54">
        <v>46</v>
      </c>
      <c r="F453" s="18">
        <v>45195</v>
      </c>
      <c r="G453" s="13">
        <v>26217.25</v>
      </c>
      <c r="H453" s="4">
        <v>26217.25</v>
      </c>
      <c r="I453" s="4">
        <v>26217.25</v>
      </c>
      <c r="J453" s="3">
        <v>46</v>
      </c>
      <c r="K453" s="3">
        <v>46</v>
      </c>
      <c r="L453" s="54">
        <v>46</v>
      </c>
    </row>
    <row r="454" spans="2:12" x14ac:dyDescent="0.25">
      <c r="B454" s="16">
        <v>45196</v>
      </c>
      <c r="C454" s="13">
        <v>26352.720000000001</v>
      </c>
      <c r="D454" s="54">
        <v>44</v>
      </c>
      <c r="F454" s="16">
        <v>45196</v>
      </c>
      <c r="G454" s="13">
        <v>26352.720000000001</v>
      </c>
      <c r="H454" s="4">
        <v>26352.720000000001</v>
      </c>
      <c r="I454" s="4">
        <v>26352.720000000001</v>
      </c>
      <c r="J454" s="3">
        <v>44</v>
      </c>
      <c r="K454" s="3">
        <v>44</v>
      </c>
      <c r="L454" s="54">
        <v>44</v>
      </c>
    </row>
    <row r="455" spans="2:12" x14ac:dyDescent="0.25">
      <c r="B455" s="17">
        <v>45197</v>
      </c>
      <c r="C455" s="13">
        <v>27021.55</v>
      </c>
      <c r="D455" s="54">
        <v>46</v>
      </c>
      <c r="F455" s="17">
        <v>45197</v>
      </c>
      <c r="G455" s="13">
        <v>27021.55</v>
      </c>
      <c r="H455" s="4">
        <v>27021.55</v>
      </c>
      <c r="I455" s="4">
        <v>27021.55</v>
      </c>
      <c r="J455" s="3">
        <v>46</v>
      </c>
      <c r="K455" s="3">
        <v>46</v>
      </c>
      <c r="L455" s="54">
        <v>46</v>
      </c>
    </row>
    <row r="456" spans="2:12" x14ac:dyDescent="0.25">
      <c r="B456" s="17">
        <v>45198</v>
      </c>
      <c r="C456" s="13">
        <v>26911.72</v>
      </c>
      <c r="D456" s="54">
        <v>48</v>
      </c>
      <c r="F456" s="17">
        <v>45198</v>
      </c>
      <c r="G456" s="13">
        <v>26911.72</v>
      </c>
      <c r="H456" s="4">
        <v>26911.72</v>
      </c>
      <c r="I456" s="4">
        <v>26911.72</v>
      </c>
      <c r="J456" s="3">
        <v>48</v>
      </c>
      <c r="K456" s="3">
        <v>48</v>
      </c>
      <c r="L456" s="54">
        <v>48</v>
      </c>
    </row>
    <row r="457" spans="2:12" x14ac:dyDescent="0.25">
      <c r="B457" s="17">
        <v>45199</v>
      </c>
      <c r="C457" s="13">
        <v>26967.919999999998</v>
      </c>
      <c r="D457" s="54">
        <v>47</v>
      </c>
      <c r="F457" s="17">
        <v>45199</v>
      </c>
      <c r="G457" s="13">
        <v>26967.919999999998</v>
      </c>
      <c r="H457" s="4">
        <v>26967.919999999998</v>
      </c>
      <c r="I457" s="4">
        <v>26967.919999999998</v>
      </c>
      <c r="J457" s="3">
        <v>47</v>
      </c>
      <c r="K457" s="3">
        <v>47</v>
      </c>
      <c r="L457" s="54">
        <v>47</v>
      </c>
    </row>
    <row r="458" spans="2:12" x14ac:dyDescent="0.25">
      <c r="B458" s="17">
        <v>45200</v>
      </c>
      <c r="C458" s="13">
        <v>27983.75</v>
      </c>
      <c r="D458" s="54">
        <v>48</v>
      </c>
      <c r="F458" s="17">
        <v>45200</v>
      </c>
      <c r="G458" s="13">
        <v>27983.75</v>
      </c>
      <c r="H458" s="4">
        <v>27983.75</v>
      </c>
      <c r="I458" s="4">
        <v>27983.75</v>
      </c>
      <c r="J458" s="3">
        <v>48</v>
      </c>
      <c r="K458" s="3">
        <v>48</v>
      </c>
      <c r="L458" s="54">
        <v>48</v>
      </c>
    </row>
    <row r="459" spans="2:12" x14ac:dyDescent="0.25">
      <c r="B459" s="17">
        <v>45201</v>
      </c>
      <c r="C459" s="13">
        <v>27530.79</v>
      </c>
      <c r="D459" s="54">
        <v>50</v>
      </c>
      <c r="F459" s="17">
        <v>45201</v>
      </c>
      <c r="G459" s="13">
        <v>27530.79</v>
      </c>
      <c r="H459" s="4">
        <v>27530.79</v>
      </c>
      <c r="I459" s="4">
        <v>27530.79</v>
      </c>
      <c r="J459" s="3">
        <v>50</v>
      </c>
      <c r="K459" s="3">
        <v>50</v>
      </c>
      <c r="L459" s="54">
        <v>50</v>
      </c>
    </row>
    <row r="460" spans="2:12" x14ac:dyDescent="0.25">
      <c r="B460" s="17">
        <v>45202</v>
      </c>
      <c r="C460" s="13">
        <v>27429.98</v>
      </c>
      <c r="D460" s="54">
        <v>50</v>
      </c>
      <c r="F460" s="17">
        <v>45202</v>
      </c>
      <c r="G460" s="13">
        <v>27429.98</v>
      </c>
      <c r="H460" s="4">
        <v>27429.98</v>
      </c>
      <c r="I460" s="4">
        <v>27429.98</v>
      </c>
      <c r="J460" s="3">
        <v>50</v>
      </c>
      <c r="K460" s="3">
        <v>50</v>
      </c>
      <c r="L460" s="54">
        <v>50</v>
      </c>
    </row>
    <row r="461" spans="2:12" x14ac:dyDescent="0.25">
      <c r="B461" s="17">
        <v>45203</v>
      </c>
      <c r="C461" s="13">
        <v>27799.39</v>
      </c>
      <c r="D461" s="54">
        <v>49</v>
      </c>
      <c r="F461" s="17">
        <v>45203</v>
      </c>
      <c r="G461" s="13">
        <v>27799.39</v>
      </c>
      <c r="H461" s="4">
        <v>27799.39</v>
      </c>
      <c r="I461" s="4">
        <v>27799.39</v>
      </c>
      <c r="J461" s="3">
        <v>49</v>
      </c>
      <c r="K461" s="3">
        <v>49</v>
      </c>
      <c r="L461" s="54">
        <v>49</v>
      </c>
    </row>
    <row r="462" spans="2:12" x14ac:dyDescent="0.25">
      <c r="B462" s="17">
        <v>45204</v>
      </c>
      <c r="C462" s="13">
        <v>27415.91</v>
      </c>
      <c r="D462" s="54">
        <v>48</v>
      </c>
      <c r="F462" s="17">
        <v>45204</v>
      </c>
      <c r="G462" s="13">
        <v>27415.91</v>
      </c>
      <c r="H462" s="4">
        <v>27415.91</v>
      </c>
      <c r="I462" s="4">
        <v>27415.91</v>
      </c>
      <c r="J462" s="3">
        <v>48</v>
      </c>
      <c r="K462" s="3">
        <v>48</v>
      </c>
      <c r="L462" s="54">
        <v>48</v>
      </c>
    </row>
    <row r="463" spans="2:12" x14ac:dyDescent="0.25">
      <c r="B463" s="17">
        <v>45205</v>
      </c>
      <c r="C463" s="13">
        <v>27946.6</v>
      </c>
      <c r="D463" s="54">
        <v>50</v>
      </c>
      <c r="F463" s="17">
        <v>45205</v>
      </c>
      <c r="G463" s="13">
        <v>27946.6</v>
      </c>
      <c r="H463" s="4">
        <v>27946.6</v>
      </c>
      <c r="I463" s="4">
        <v>27946.6</v>
      </c>
      <c r="J463" s="3">
        <v>50</v>
      </c>
      <c r="K463" s="3">
        <v>50</v>
      </c>
      <c r="L463" s="54">
        <v>50</v>
      </c>
    </row>
    <row r="464" spans="2:12" x14ac:dyDescent="0.25">
      <c r="B464" s="17">
        <v>45206</v>
      </c>
      <c r="C464" s="13">
        <v>27968.84</v>
      </c>
      <c r="D464" s="54">
        <v>49</v>
      </c>
      <c r="F464" s="17">
        <v>45206</v>
      </c>
      <c r="G464" s="13">
        <v>27968.84</v>
      </c>
      <c r="H464" s="4">
        <v>27968.84</v>
      </c>
      <c r="I464" s="4">
        <v>27968.84</v>
      </c>
      <c r="J464" s="3">
        <v>49</v>
      </c>
      <c r="K464" s="3">
        <v>49</v>
      </c>
      <c r="L464" s="54">
        <v>49</v>
      </c>
    </row>
    <row r="465" spans="2:12" x14ac:dyDescent="0.25">
      <c r="B465" s="17">
        <v>45207</v>
      </c>
      <c r="C465" s="13">
        <v>27935.09</v>
      </c>
      <c r="D465" s="54">
        <v>50</v>
      </c>
      <c r="F465" s="17">
        <v>45207</v>
      </c>
      <c r="G465" s="13">
        <v>27935.09</v>
      </c>
      <c r="H465" s="4">
        <v>27935.09</v>
      </c>
      <c r="I465" s="4">
        <v>27935.09</v>
      </c>
      <c r="J465" s="3">
        <v>50</v>
      </c>
      <c r="K465" s="3">
        <v>50</v>
      </c>
      <c r="L465" s="54">
        <v>50</v>
      </c>
    </row>
    <row r="466" spans="2:12" x14ac:dyDescent="0.25">
      <c r="B466" s="17">
        <v>45208</v>
      </c>
      <c r="C466" s="13">
        <v>27583.68</v>
      </c>
      <c r="D466" s="54">
        <v>50</v>
      </c>
      <c r="F466" s="17">
        <v>45208</v>
      </c>
      <c r="G466" s="13">
        <v>27583.68</v>
      </c>
      <c r="H466" s="4">
        <v>27583.68</v>
      </c>
      <c r="I466" s="4">
        <v>27583.68</v>
      </c>
      <c r="J466" s="3">
        <v>50</v>
      </c>
      <c r="K466" s="3">
        <v>50</v>
      </c>
      <c r="L466" s="54">
        <v>50</v>
      </c>
    </row>
    <row r="467" spans="2:12" x14ac:dyDescent="0.25">
      <c r="B467" s="17">
        <v>45209</v>
      </c>
      <c r="C467" s="13">
        <v>27391.02</v>
      </c>
      <c r="D467" s="54">
        <v>50</v>
      </c>
      <c r="F467" s="17">
        <v>45209</v>
      </c>
      <c r="G467" s="13">
        <v>27391.02</v>
      </c>
      <c r="H467" s="4">
        <v>27391.02</v>
      </c>
      <c r="I467" s="4">
        <v>27391.02</v>
      </c>
      <c r="J467" s="3">
        <v>50</v>
      </c>
      <c r="K467" s="3">
        <v>50</v>
      </c>
      <c r="L467" s="54">
        <v>50</v>
      </c>
    </row>
    <row r="468" spans="2:12" x14ac:dyDescent="0.25">
      <c r="B468" s="17">
        <v>45210</v>
      </c>
      <c r="C468" s="13">
        <v>26873.32</v>
      </c>
      <c r="D468" s="54">
        <v>47</v>
      </c>
      <c r="F468" s="17">
        <v>45210</v>
      </c>
      <c r="G468" s="13">
        <v>26873.32</v>
      </c>
      <c r="H468" s="4">
        <v>26873.32</v>
      </c>
      <c r="I468" s="4">
        <v>26873.32</v>
      </c>
      <c r="J468" s="3">
        <v>47</v>
      </c>
      <c r="K468" s="3">
        <v>47</v>
      </c>
      <c r="L468" s="54">
        <v>47</v>
      </c>
    </row>
    <row r="469" spans="2:12" x14ac:dyDescent="0.25">
      <c r="B469" s="17">
        <v>45211</v>
      </c>
      <c r="C469" s="13">
        <v>26756.799999999999</v>
      </c>
      <c r="D469" s="54">
        <v>45</v>
      </c>
      <c r="F469" s="17">
        <v>45211</v>
      </c>
      <c r="G469" s="13">
        <v>26756.799999999999</v>
      </c>
      <c r="H469" s="4">
        <v>26756.799999999999</v>
      </c>
      <c r="I469" s="4">
        <v>26756.799999999999</v>
      </c>
      <c r="J469" s="3">
        <v>45</v>
      </c>
      <c r="K469" s="3">
        <v>45</v>
      </c>
      <c r="L469" s="54">
        <v>45</v>
      </c>
    </row>
    <row r="470" spans="2:12" x14ac:dyDescent="0.25">
      <c r="B470" s="17">
        <v>45212</v>
      </c>
      <c r="C470" s="13">
        <v>26862.38</v>
      </c>
      <c r="D470" s="54">
        <v>44</v>
      </c>
      <c r="F470" s="17">
        <v>45212</v>
      </c>
      <c r="G470" s="13">
        <v>26862.38</v>
      </c>
      <c r="H470" s="4">
        <v>26862.38</v>
      </c>
      <c r="I470" s="4">
        <v>26862.38</v>
      </c>
      <c r="J470" s="3">
        <v>44</v>
      </c>
      <c r="K470" s="3">
        <v>44</v>
      </c>
      <c r="L470" s="54">
        <v>44</v>
      </c>
    </row>
    <row r="471" spans="2:12" x14ac:dyDescent="0.25">
      <c r="B471" s="17">
        <v>45213</v>
      </c>
      <c r="C471" s="13">
        <v>26861.71</v>
      </c>
      <c r="D471" s="54">
        <v>47</v>
      </c>
      <c r="F471" s="17">
        <v>45213</v>
      </c>
      <c r="G471" s="13">
        <v>26861.71</v>
      </c>
      <c r="H471" s="4">
        <v>26861.71</v>
      </c>
      <c r="I471" s="4">
        <v>26861.71</v>
      </c>
      <c r="J471" s="3">
        <v>47</v>
      </c>
      <c r="K471" s="3">
        <v>47</v>
      </c>
      <c r="L471" s="54">
        <v>47</v>
      </c>
    </row>
    <row r="472" spans="2:12" x14ac:dyDescent="0.25">
      <c r="B472" s="17">
        <v>45214</v>
      </c>
      <c r="C472" s="13">
        <v>27159.65</v>
      </c>
      <c r="D472" s="54">
        <v>45</v>
      </c>
      <c r="F472" s="17">
        <v>45214</v>
      </c>
      <c r="G472" s="13">
        <v>27159.65</v>
      </c>
      <c r="H472" s="4">
        <v>27159.65</v>
      </c>
      <c r="I472" s="4">
        <v>27159.65</v>
      </c>
      <c r="J472" s="3">
        <v>45</v>
      </c>
      <c r="K472" s="3">
        <v>45</v>
      </c>
      <c r="L472" s="54">
        <v>45</v>
      </c>
    </row>
    <row r="473" spans="2:12" x14ac:dyDescent="0.25">
      <c r="B473" s="17">
        <v>45215</v>
      </c>
      <c r="C473" s="13">
        <v>28519.47</v>
      </c>
      <c r="D473" s="54">
        <v>47</v>
      </c>
      <c r="F473" s="17">
        <v>45215</v>
      </c>
      <c r="G473" s="13">
        <v>28519.47</v>
      </c>
      <c r="H473" s="4">
        <v>28519.47</v>
      </c>
      <c r="I473" s="4">
        <v>28519.47</v>
      </c>
      <c r="J473" s="3">
        <v>47</v>
      </c>
      <c r="K473" s="3">
        <v>47</v>
      </c>
      <c r="L473" s="54">
        <v>47</v>
      </c>
    </row>
    <row r="474" spans="2:12" x14ac:dyDescent="0.25">
      <c r="B474" s="17">
        <v>45216</v>
      </c>
      <c r="C474" s="13">
        <v>28415.75</v>
      </c>
      <c r="D474" s="54">
        <v>52</v>
      </c>
      <c r="F474" s="17">
        <v>45216</v>
      </c>
      <c r="G474" s="13">
        <v>28415.75</v>
      </c>
      <c r="H474" s="4">
        <v>28415.75</v>
      </c>
      <c r="I474" s="4">
        <v>28415.75</v>
      </c>
      <c r="J474" s="3">
        <v>52</v>
      </c>
      <c r="K474" s="3">
        <v>52</v>
      </c>
      <c r="L474" s="54">
        <v>52</v>
      </c>
    </row>
    <row r="475" spans="2:12" x14ac:dyDescent="0.25">
      <c r="B475" s="17">
        <v>45217</v>
      </c>
      <c r="C475" s="13">
        <v>28328.34</v>
      </c>
      <c r="D475" s="54">
        <v>50</v>
      </c>
      <c r="F475" s="17">
        <v>45217</v>
      </c>
      <c r="G475" s="13">
        <v>28328.34</v>
      </c>
      <c r="H475" s="4">
        <v>28328.34</v>
      </c>
      <c r="I475" s="4">
        <v>28328.34</v>
      </c>
      <c r="J475" s="3">
        <v>50</v>
      </c>
      <c r="K475" s="3">
        <v>50</v>
      </c>
      <c r="L475" s="54">
        <v>50</v>
      </c>
    </row>
    <row r="476" spans="2:12" x14ac:dyDescent="0.25">
      <c r="B476" s="17">
        <v>45218</v>
      </c>
      <c r="C476" s="13">
        <v>28719.81</v>
      </c>
      <c r="D476" s="54">
        <v>52</v>
      </c>
      <c r="F476" s="17">
        <v>45218</v>
      </c>
      <c r="G476" s="13">
        <v>28719.81</v>
      </c>
      <c r="H476" s="4">
        <v>28719.81</v>
      </c>
      <c r="I476" s="4">
        <v>28719.81</v>
      </c>
      <c r="J476" s="3">
        <v>52</v>
      </c>
      <c r="K476" s="3">
        <v>52</v>
      </c>
      <c r="L476" s="54">
        <v>52</v>
      </c>
    </row>
    <row r="477" spans="2:12" x14ac:dyDescent="0.25">
      <c r="B477" s="17">
        <v>45219</v>
      </c>
      <c r="C477" s="13">
        <v>29682.95</v>
      </c>
      <c r="D477" s="54">
        <v>53</v>
      </c>
      <c r="F477" s="17">
        <v>45219</v>
      </c>
      <c r="G477" s="13">
        <v>29682.95</v>
      </c>
      <c r="H477" s="4">
        <v>29682.95</v>
      </c>
      <c r="I477" s="4">
        <v>29682.95</v>
      </c>
      <c r="J477" s="3">
        <v>53</v>
      </c>
      <c r="K477" s="3">
        <v>53</v>
      </c>
      <c r="L477" s="54">
        <v>53</v>
      </c>
    </row>
    <row r="478" spans="2:12" x14ac:dyDescent="0.25">
      <c r="B478" s="17">
        <v>45220</v>
      </c>
      <c r="C478" s="13">
        <v>29918.41</v>
      </c>
      <c r="D478" s="54">
        <v>63</v>
      </c>
      <c r="F478" s="17">
        <v>45220</v>
      </c>
      <c r="G478" s="13">
        <v>29918.41</v>
      </c>
      <c r="H478" s="4">
        <v>29918.41</v>
      </c>
      <c r="I478" s="4">
        <v>29918.41</v>
      </c>
      <c r="J478" s="3">
        <v>63</v>
      </c>
      <c r="K478" s="3">
        <v>63</v>
      </c>
      <c r="L478" s="54">
        <v>63</v>
      </c>
    </row>
    <row r="479" spans="2:12" x14ac:dyDescent="0.25">
      <c r="B479" s="17">
        <v>45221</v>
      </c>
      <c r="C479" s="13">
        <v>29993.9</v>
      </c>
      <c r="D479" s="54">
        <v>53</v>
      </c>
      <c r="F479" s="17">
        <v>45221</v>
      </c>
      <c r="G479" s="13">
        <v>29993.9</v>
      </c>
      <c r="H479" s="4">
        <v>29993.9</v>
      </c>
      <c r="I479" s="4">
        <v>29993.9</v>
      </c>
      <c r="J479" s="3">
        <v>53</v>
      </c>
      <c r="K479" s="3">
        <v>53</v>
      </c>
      <c r="L479" s="54">
        <v>53</v>
      </c>
    </row>
    <row r="480" spans="2:12" x14ac:dyDescent="0.25">
      <c r="B480" s="17">
        <v>45222</v>
      </c>
      <c r="C480" s="13">
        <v>33086.230000000003</v>
      </c>
      <c r="D480" s="54">
        <v>53</v>
      </c>
      <c r="F480" s="17">
        <v>45222</v>
      </c>
      <c r="G480" s="13">
        <v>33086.230000000003</v>
      </c>
      <c r="H480" s="4">
        <v>33086.230000000003</v>
      </c>
      <c r="I480" s="4">
        <v>33086.230000000003</v>
      </c>
      <c r="J480" s="3">
        <v>53</v>
      </c>
      <c r="K480" s="3">
        <v>53</v>
      </c>
      <c r="L480" s="54">
        <v>53</v>
      </c>
    </row>
    <row r="481" spans="2:12" x14ac:dyDescent="0.25">
      <c r="B481" s="17">
        <v>45223</v>
      </c>
      <c r="C481" s="13">
        <v>33901.53</v>
      </c>
      <c r="D481" s="54">
        <v>66</v>
      </c>
      <c r="F481" s="17">
        <v>45223</v>
      </c>
      <c r="G481" s="13">
        <v>33901.53</v>
      </c>
      <c r="H481" s="4">
        <v>33901.53</v>
      </c>
      <c r="I481" s="4">
        <v>33901.53</v>
      </c>
      <c r="J481" s="3">
        <v>66</v>
      </c>
      <c r="K481" s="3">
        <v>66</v>
      </c>
      <c r="L481" s="54">
        <v>66</v>
      </c>
    </row>
    <row r="482" spans="2:12" x14ac:dyDescent="0.25">
      <c r="B482" s="17">
        <v>45224</v>
      </c>
      <c r="C482" s="13">
        <v>34502.82</v>
      </c>
      <c r="D482" s="54">
        <v>72</v>
      </c>
      <c r="F482" s="17">
        <v>45224</v>
      </c>
      <c r="G482" s="13">
        <v>34502.82</v>
      </c>
      <c r="H482" s="4">
        <v>34502.82</v>
      </c>
      <c r="I482" s="4">
        <v>34502.82</v>
      </c>
      <c r="J482" s="3">
        <v>72</v>
      </c>
      <c r="K482" s="3">
        <v>72</v>
      </c>
      <c r="L482" s="54">
        <v>72</v>
      </c>
    </row>
    <row r="483" spans="2:12" x14ac:dyDescent="0.25">
      <c r="B483" s="17">
        <v>45225</v>
      </c>
      <c r="C483" s="13">
        <v>34156.65</v>
      </c>
      <c r="D483" s="54">
        <v>71</v>
      </c>
      <c r="F483" s="17">
        <v>45225</v>
      </c>
      <c r="G483" s="13">
        <v>34156.65</v>
      </c>
      <c r="H483" s="4">
        <v>34156.65</v>
      </c>
      <c r="I483" s="4">
        <v>34156.65</v>
      </c>
      <c r="J483" s="3">
        <v>71</v>
      </c>
      <c r="K483" s="3">
        <v>71</v>
      </c>
      <c r="L483" s="54">
        <v>71</v>
      </c>
    </row>
    <row r="484" spans="2:12" x14ac:dyDescent="0.25">
      <c r="B484" s="17">
        <v>45226</v>
      </c>
      <c r="C484" s="13">
        <v>33909.800000000003</v>
      </c>
      <c r="D484" s="54">
        <v>70</v>
      </c>
      <c r="F484" s="17">
        <v>45226</v>
      </c>
      <c r="G484" s="13">
        <v>33909.800000000003</v>
      </c>
      <c r="H484" s="4">
        <v>33909.800000000003</v>
      </c>
      <c r="I484" s="4">
        <v>33909.800000000003</v>
      </c>
      <c r="J484" s="3">
        <v>70</v>
      </c>
      <c r="K484" s="3">
        <v>70</v>
      </c>
      <c r="L484" s="54">
        <v>70</v>
      </c>
    </row>
    <row r="485" spans="2:12" x14ac:dyDescent="0.25">
      <c r="B485" s="17">
        <v>45227</v>
      </c>
      <c r="C485" s="13">
        <v>34089.57</v>
      </c>
      <c r="D485" s="54">
        <v>65</v>
      </c>
      <c r="F485" s="17">
        <v>45227</v>
      </c>
      <c r="G485" s="13">
        <v>34089.57</v>
      </c>
      <c r="H485" s="4">
        <v>34089.57</v>
      </c>
      <c r="I485" s="4">
        <v>34089.57</v>
      </c>
      <c r="J485" s="3">
        <v>65</v>
      </c>
      <c r="K485" s="3">
        <v>65</v>
      </c>
      <c r="L485" s="54">
        <v>65</v>
      </c>
    </row>
    <row r="486" spans="2:12" x14ac:dyDescent="0.25">
      <c r="B486" s="17">
        <v>45228</v>
      </c>
      <c r="C486" s="13">
        <v>34538.480000000003</v>
      </c>
      <c r="D486" s="54">
        <v>72</v>
      </c>
      <c r="F486" s="17">
        <v>45228</v>
      </c>
      <c r="G486" s="13">
        <v>34538.480000000003</v>
      </c>
      <c r="H486" s="4">
        <v>34538.480000000003</v>
      </c>
      <c r="I486" s="4">
        <v>34538.480000000003</v>
      </c>
      <c r="J486" s="3">
        <v>72</v>
      </c>
      <c r="K486" s="3">
        <v>72</v>
      </c>
      <c r="L486" s="54">
        <v>72</v>
      </c>
    </row>
    <row r="487" spans="2:12" x14ac:dyDescent="0.25">
      <c r="B487" s="17">
        <v>45229</v>
      </c>
      <c r="C487" s="13">
        <v>34502.36</v>
      </c>
      <c r="D487" s="54">
        <v>68</v>
      </c>
      <c r="F487" s="17">
        <v>45229</v>
      </c>
      <c r="G487" s="13">
        <v>34502.36</v>
      </c>
      <c r="H487" s="4">
        <v>34502.36</v>
      </c>
      <c r="I487" s="4">
        <v>34502.36</v>
      </c>
      <c r="J487" s="3">
        <v>68</v>
      </c>
      <c r="K487" s="3">
        <v>68</v>
      </c>
      <c r="L487" s="54">
        <v>68</v>
      </c>
    </row>
    <row r="488" spans="2:12" x14ac:dyDescent="0.25">
      <c r="B488" s="17">
        <v>45230</v>
      </c>
      <c r="C488" s="13">
        <v>34667.78</v>
      </c>
      <c r="D488" s="54">
        <v>66</v>
      </c>
      <c r="F488" s="17">
        <v>45230</v>
      </c>
      <c r="G488" s="13">
        <v>34667.78</v>
      </c>
      <c r="H488" s="4">
        <v>34667.78</v>
      </c>
      <c r="I488" s="4">
        <v>34667.78</v>
      </c>
      <c r="J488" s="3">
        <v>66</v>
      </c>
      <c r="K488" s="3">
        <v>66</v>
      </c>
      <c r="L488" s="54">
        <v>66</v>
      </c>
    </row>
    <row r="489" spans="2:12" x14ac:dyDescent="0.25">
      <c r="B489" s="17">
        <v>45231</v>
      </c>
      <c r="C489" s="13">
        <v>35437.25</v>
      </c>
      <c r="D489" s="54">
        <v>66</v>
      </c>
      <c r="F489" s="17">
        <v>45231</v>
      </c>
      <c r="G489" s="13">
        <v>35437.25</v>
      </c>
      <c r="H489" s="4">
        <v>35437.25</v>
      </c>
      <c r="I489" s="4">
        <v>35437.25</v>
      </c>
      <c r="J489" s="3">
        <v>66</v>
      </c>
      <c r="K489" s="3">
        <v>66</v>
      </c>
      <c r="L489" s="54">
        <v>66</v>
      </c>
    </row>
    <row r="490" spans="2:12" x14ac:dyDescent="0.25">
      <c r="B490" s="17">
        <v>45232</v>
      </c>
      <c r="C490" s="13">
        <v>34938.239999999998</v>
      </c>
      <c r="D490" s="54">
        <v>72</v>
      </c>
      <c r="F490" s="17">
        <v>45232</v>
      </c>
      <c r="G490" s="13">
        <v>34938.239999999998</v>
      </c>
      <c r="H490" s="4">
        <v>34938.239999999998</v>
      </c>
      <c r="I490" s="4">
        <v>34938.239999999998</v>
      </c>
      <c r="J490" s="3">
        <v>72</v>
      </c>
      <c r="K490" s="3">
        <v>72</v>
      </c>
      <c r="L490" s="54">
        <v>72</v>
      </c>
    </row>
    <row r="491" spans="2:12" x14ac:dyDescent="0.25">
      <c r="B491" s="17">
        <v>45233</v>
      </c>
      <c r="C491" s="13">
        <v>34732.32</v>
      </c>
      <c r="D491" s="54">
        <v>65</v>
      </c>
      <c r="F491" s="17">
        <v>45233</v>
      </c>
      <c r="G491" s="13">
        <v>34732.32</v>
      </c>
      <c r="H491" s="4">
        <v>34732.32</v>
      </c>
      <c r="I491" s="4">
        <v>34732.32</v>
      </c>
      <c r="J491" s="3">
        <v>65</v>
      </c>
      <c r="K491" s="3">
        <v>65</v>
      </c>
      <c r="L491" s="54">
        <v>65</v>
      </c>
    </row>
    <row r="492" spans="2:12" x14ac:dyDescent="0.25">
      <c r="B492" s="17">
        <v>45234</v>
      </c>
      <c r="C492" s="13">
        <v>35082.199999999997</v>
      </c>
      <c r="D492" s="54">
        <v>68</v>
      </c>
      <c r="F492" s="17">
        <v>45234</v>
      </c>
      <c r="G492" s="13">
        <v>35082.199999999997</v>
      </c>
      <c r="H492" s="4">
        <v>35082.199999999997</v>
      </c>
      <c r="I492" s="4">
        <v>35082.199999999997</v>
      </c>
      <c r="J492" s="3">
        <v>68</v>
      </c>
      <c r="K492" s="3">
        <v>68</v>
      </c>
      <c r="L492" s="54">
        <v>68</v>
      </c>
    </row>
    <row r="493" spans="2:12" x14ac:dyDescent="0.25">
      <c r="B493" s="17">
        <v>45235</v>
      </c>
      <c r="C493" s="13">
        <v>35049.360000000001</v>
      </c>
      <c r="D493" s="54">
        <v>70</v>
      </c>
      <c r="F493" s="17">
        <v>45235</v>
      </c>
      <c r="G493" s="13">
        <v>35049.360000000001</v>
      </c>
      <c r="H493" s="4">
        <v>35049.360000000001</v>
      </c>
      <c r="I493" s="4">
        <v>35049.360000000001</v>
      </c>
      <c r="J493" s="3">
        <v>70</v>
      </c>
      <c r="K493" s="3">
        <v>70</v>
      </c>
      <c r="L493" s="54">
        <v>70</v>
      </c>
    </row>
    <row r="494" spans="2:12" x14ac:dyDescent="0.25">
      <c r="B494" s="17">
        <v>45236</v>
      </c>
      <c r="C494" s="13">
        <v>35037.370000000003</v>
      </c>
      <c r="D494" s="54">
        <v>74</v>
      </c>
      <c r="F494" s="17">
        <v>45236</v>
      </c>
      <c r="G494" s="13">
        <v>35037.370000000003</v>
      </c>
      <c r="H494" s="4">
        <v>35037.370000000003</v>
      </c>
      <c r="I494" s="4">
        <v>35037.370000000003</v>
      </c>
      <c r="J494" s="3">
        <v>74</v>
      </c>
      <c r="K494" s="3">
        <v>74</v>
      </c>
      <c r="L494" s="54">
        <v>74</v>
      </c>
    </row>
    <row r="495" spans="2:12" x14ac:dyDescent="0.25">
      <c r="B495" s="17">
        <v>45237</v>
      </c>
      <c r="C495" s="13">
        <v>35443.56</v>
      </c>
      <c r="D495" s="54">
        <v>68</v>
      </c>
      <c r="F495" s="17">
        <v>45237</v>
      </c>
      <c r="G495" s="13">
        <v>35443.56</v>
      </c>
      <c r="H495" s="4">
        <v>35443.56</v>
      </c>
      <c r="I495" s="4">
        <v>35443.56</v>
      </c>
      <c r="J495" s="3">
        <v>68</v>
      </c>
      <c r="K495" s="3">
        <v>68</v>
      </c>
      <c r="L495" s="54">
        <v>68</v>
      </c>
    </row>
    <row r="496" spans="2:12" x14ac:dyDescent="0.25">
      <c r="B496" s="17">
        <v>45238</v>
      </c>
      <c r="C496" s="13">
        <v>35655.279999999999</v>
      </c>
      <c r="D496" s="54">
        <v>66</v>
      </c>
      <c r="F496" s="17">
        <v>45238</v>
      </c>
      <c r="G496" s="13">
        <v>35655.279999999999</v>
      </c>
      <c r="H496" s="4">
        <v>35655.279999999999</v>
      </c>
      <c r="I496" s="4">
        <v>35655.279999999999</v>
      </c>
      <c r="J496" s="3">
        <v>66</v>
      </c>
      <c r="K496" s="3">
        <v>66</v>
      </c>
      <c r="L496" s="54">
        <v>66</v>
      </c>
    </row>
    <row r="497" spans="2:12" x14ac:dyDescent="0.25">
      <c r="B497" s="17">
        <v>45239</v>
      </c>
      <c r="C497" s="13">
        <v>36693.129999999997</v>
      </c>
      <c r="D497" s="54">
        <v>69</v>
      </c>
      <c r="F497" s="17">
        <v>45239</v>
      </c>
      <c r="G497" s="13">
        <v>36693.129999999997</v>
      </c>
      <c r="H497" s="4">
        <v>36693.129999999997</v>
      </c>
      <c r="I497" s="4">
        <v>36693.129999999997</v>
      </c>
      <c r="J497" s="3">
        <v>69</v>
      </c>
      <c r="K497" s="3">
        <v>69</v>
      </c>
      <c r="L497" s="54">
        <v>69</v>
      </c>
    </row>
    <row r="498" spans="2:12" x14ac:dyDescent="0.25">
      <c r="B498" s="17">
        <v>45240</v>
      </c>
      <c r="C498" s="13">
        <v>37313.97</v>
      </c>
      <c r="D498" s="54">
        <v>70</v>
      </c>
      <c r="F498" s="17">
        <v>45240</v>
      </c>
      <c r="G498" s="13">
        <v>37313.97</v>
      </c>
      <c r="H498" s="4">
        <v>37313.97</v>
      </c>
      <c r="I498" s="4">
        <v>37313.97</v>
      </c>
      <c r="J498" s="3">
        <v>70</v>
      </c>
      <c r="K498" s="3">
        <v>70</v>
      </c>
      <c r="L498" s="54">
        <v>70</v>
      </c>
    </row>
    <row r="499" spans="2:12" x14ac:dyDescent="0.25">
      <c r="B499" s="17">
        <v>45241</v>
      </c>
      <c r="C499" s="13">
        <v>37138.050000000003</v>
      </c>
      <c r="D499" s="54">
        <v>70</v>
      </c>
      <c r="F499" s="17">
        <v>45241</v>
      </c>
      <c r="G499" s="13">
        <v>37138.050000000003</v>
      </c>
      <c r="H499" s="4">
        <v>37138.050000000003</v>
      </c>
      <c r="I499" s="4">
        <v>37138.050000000003</v>
      </c>
      <c r="J499" s="3">
        <v>70</v>
      </c>
      <c r="K499" s="3">
        <v>70</v>
      </c>
      <c r="L499" s="54">
        <v>70</v>
      </c>
    </row>
    <row r="500" spans="2:12" x14ac:dyDescent="0.25">
      <c r="B500" s="17">
        <v>45242</v>
      </c>
      <c r="C500" s="13">
        <v>37054.519999999997</v>
      </c>
      <c r="D500" s="54">
        <v>73</v>
      </c>
      <c r="F500" s="17">
        <v>45242</v>
      </c>
      <c r="G500" s="13">
        <v>37054.519999999997</v>
      </c>
      <c r="H500" s="4">
        <v>37054.519999999997</v>
      </c>
      <c r="I500" s="4">
        <v>37054.519999999997</v>
      </c>
      <c r="J500" s="3">
        <v>73</v>
      </c>
      <c r="K500" s="3">
        <v>73</v>
      </c>
      <c r="L500" s="54">
        <v>73</v>
      </c>
    </row>
    <row r="501" spans="2:12" x14ac:dyDescent="0.25">
      <c r="B501" s="17">
        <v>45243</v>
      </c>
      <c r="C501" s="13">
        <v>36502.36</v>
      </c>
      <c r="D501" s="54">
        <v>72</v>
      </c>
      <c r="F501" s="17">
        <v>45243</v>
      </c>
      <c r="G501" s="13">
        <v>36502.36</v>
      </c>
      <c r="H501" s="4">
        <v>36502.36</v>
      </c>
      <c r="I501" s="4">
        <v>36502.36</v>
      </c>
      <c r="J501" s="3">
        <v>72</v>
      </c>
      <c r="K501" s="3">
        <v>72</v>
      </c>
      <c r="L501" s="54">
        <v>72</v>
      </c>
    </row>
    <row r="502" spans="2:12" x14ac:dyDescent="0.25">
      <c r="B502" s="17">
        <v>45244</v>
      </c>
      <c r="C502" s="13">
        <v>35537.64</v>
      </c>
      <c r="D502" s="54">
        <v>69</v>
      </c>
      <c r="F502" s="17">
        <v>45244</v>
      </c>
      <c r="G502" s="13">
        <v>35537.64</v>
      </c>
      <c r="H502" s="4">
        <v>35537.64</v>
      </c>
      <c r="I502" s="4">
        <v>35537.64</v>
      </c>
      <c r="J502" s="3">
        <v>69</v>
      </c>
      <c r="K502" s="3">
        <v>69</v>
      </c>
      <c r="L502" s="54">
        <v>69</v>
      </c>
    </row>
    <row r="503" spans="2:12" ht="15.75" thickBot="1" x14ac:dyDescent="0.3">
      <c r="B503" s="18">
        <v>45245</v>
      </c>
      <c r="C503" s="13">
        <v>37880.58</v>
      </c>
      <c r="D503" s="54">
        <v>60</v>
      </c>
      <c r="F503" s="18">
        <v>45245</v>
      </c>
      <c r="G503" s="13">
        <v>37880.58</v>
      </c>
      <c r="H503" s="4">
        <v>37880.58</v>
      </c>
      <c r="I503" s="4">
        <v>37880.58</v>
      </c>
      <c r="J503" s="3">
        <v>60</v>
      </c>
      <c r="K503" s="3">
        <v>60</v>
      </c>
      <c r="L503" s="54">
        <v>60</v>
      </c>
    </row>
    <row r="504" spans="2:12" x14ac:dyDescent="0.25">
      <c r="B504" s="16">
        <v>45246</v>
      </c>
      <c r="C504" s="13">
        <v>36154.769999999997</v>
      </c>
      <c r="D504" s="54">
        <v>70</v>
      </c>
      <c r="F504" s="16">
        <v>45246</v>
      </c>
      <c r="G504" s="13">
        <v>36154.769999999997</v>
      </c>
      <c r="H504" s="4">
        <v>36154.769999999997</v>
      </c>
      <c r="I504" s="4">
        <v>36154.769999999997</v>
      </c>
      <c r="J504" s="3">
        <v>70</v>
      </c>
      <c r="K504" s="3">
        <v>70</v>
      </c>
      <c r="L504" s="54">
        <v>70</v>
      </c>
    </row>
    <row r="505" spans="2:12" x14ac:dyDescent="0.25">
      <c r="B505" s="17">
        <v>45247</v>
      </c>
      <c r="C505" s="13">
        <v>36596.68</v>
      </c>
      <c r="D505" s="54">
        <v>63</v>
      </c>
      <c r="F505" s="17">
        <v>45247</v>
      </c>
      <c r="G505" s="13">
        <v>36596.68</v>
      </c>
      <c r="H505" s="4">
        <v>36596.68</v>
      </c>
      <c r="I505" s="4">
        <v>36596.68</v>
      </c>
      <c r="J505" s="3">
        <v>63</v>
      </c>
      <c r="K505" s="3">
        <v>63</v>
      </c>
      <c r="L505" s="54">
        <v>63</v>
      </c>
    </row>
    <row r="506" spans="2:12" x14ac:dyDescent="0.25">
      <c r="B506" s="17">
        <v>45248</v>
      </c>
      <c r="C506" s="13">
        <v>36585.699999999997</v>
      </c>
      <c r="D506" s="54">
        <v>69</v>
      </c>
      <c r="F506" s="17">
        <v>45248</v>
      </c>
      <c r="G506" s="13">
        <v>36585.699999999997</v>
      </c>
      <c r="H506" s="4">
        <v>36585.699999999997</v>
      </c>
      <c r="I506" s="4">
        <v>36585.699999999997</v>
      </c>
      <c r="J506" s="3">
        <v>69</v>
      </c>
      <c r="K506" s="3">
        <v>69</v>
      </c>
      <c r="L506" s="54">
        <v>69</v>
      </c>
    </row>
    <row r="507" spans="2:12" x14ac:dyDescent="0.25">
      <c r="B507" s="17">
        <v>45249</v>
      </c>
      <c r="C507" s="13">
        <v>37386.550000000003</v>
      </c>
      <c r="D507" s="54">
        <v>66</v>
      </c>
      <c r="F507" s="17">
        <v>45249</v>
      </c>
      <c r="G507" s="13">
        <v>37386.550000000003</v>
      </c>
      <c r="H507" s="4">
        <v>37386.550000000003</v>
      </c>
      <c r="I507" s="4">
        <v>37386.550000000003</v>
      </c>
      <c r="J507" s="3">
        <v>66</v>
      </c>
      <c r="K507" s="3">
        <v>66</v>
      </c>
      <c r="L507" s="54">
        <v>66</v>
      </c>
    </row>
    <row r="508" spans="2:12" x14ac:dyDescent="0.25">
      <c r="B508" s="17">
        <v>45250</v>
      </c>
      <c r="C508" s="13">
        <v>37476.959999999999</v>
      </c>
      <c r="D508" s="54">
        <v>69</v>
      </c>
      <c r="F508" s="17">
        <v>45250</v>
      </c>
      <c r="G508" s="13">
        <v>37476.959999999999</v>
      </c>
      <c r="H508" s="4">
        <v>37476.959999999999</v>
      </c>
      <c r="I508" s="4">
        <v>37476.959999999999</v>
      </c>
      <c r="J508" s="3">
        <v>69</v>
      </c>
      <c r="K508" s="3">
        <v>69</v>
      </c>
      <c r="L508" s="54">
        <v>69</v>
      </c>
    </row>
    <row r="509" spans="2:12" x14ac:dyDescent="0.25">
      <c r="B509" s="17">
        <v>45251</v>
      </c>
      <c r="C509" s="13">
        <v>35813.81</v>
      </c>
      <c r="D509" s="54">
        <v>71</v>
      </c>
      <c r="F509" s="17">
        <v>45251</v>
      </c>
      <c r="G509" s="13">
        <v>35813.81</v>
      </c>
      <c r="H509" s="4">
        <v>35813.81</v>
      </c>
      <c r="I509" s="4">
        <v>35813.81</v>
      </c>
      <c r="J509" s="3">
        <v>71</v>
      </c>
      <c r="K509" s="3">
        <v>71</v>
      </c>
      <c r="L509" s="54">
        <v>71</v>
      </c>
    </row>
    <row r="510" spans="2:12" x14ac:dyDescent="0.25">
      <c r="B510" s="17">
        <v>45252</v>
      </c>
      <c r="C510" s="13">
        <v>37432.339999999997</v>
      </c>
      <c r="D510" s="54">
        <v>62</v>
      </c>
      <c r="F510" s="17">
        <v>45252</v>
      </c>
      <c r="G510" s="13">
        <v>37432.339999999997</v>
      </c>
      <c r="H510" s="4">
        <v>37432.339999999997</v>
      </c>
      <c r="I510" s="4">
        <v>37432.339999999997</v>
      </c>
      <c r="J510" s="3">
        <v>62</v>
      </c>
      <c r="K510" s="3">
        <v>62</v>
      </c>
      <c r="L510" s="54">
        <v>62</v>
      </c>
    </row>
    <row r="511" spans="2:12" x14ac:dyDescent="0.25">
      <c r="B511" s="17">
        <v>45253</v>
      </c>
      <c r="C511" s="13">
        <v>37289.620000000003</v>
      </c>
      <c r="D511" s="54">
        <v>66</v>
      </c>
      <c r="F511" s="17">
        <v>45253</v>
      </c>
      <c r="G511" s="13">
        <v>37289.620000000003</v>
      </c>
      <c r="H511" s="4">
        <v>37289.620000000003</v>
      </c>
      <c r="I511" s="4">
        <v>37289.620000000003</v>
      </c>
      <c r="J511" s="3">
        <v>66</v>
      </c>
      <c r="K511" s="3">
        <v>66</v>
      </c>
      <c r="L511" s="54">
        <v>66</v>
      </c>
    </row>
    <row r="512" spans="2:12" x14ac:dyDescent="0.25">
      <c r="B512" s="17">
        <v>45254</v>
      </c>
      <c r="C512" s="13">
        <v>37720.28</v>
      </c>
      <c r="D512" s="54">
        <v>66</v>
      </c>
      <c r="F512" s="17">
        <v>45254</v>
      </c>
      <c r="G512" s="13">
        <v>37720.28</v>
      </c>
      <c r="H512" s="4">
        <v>37720.28</v>
      </c>
      <c r="I512" s="4">
        <v>37720.28</v>
      </c>
      <c r="J512" s="3">
        <v>66</v>
      </c>
      <c r="K512" s="3">
        <v>66</v>
      </c>
      <c r="L512" s="54">
        <v>66</v>
      </c>
    </row>
    <row r="513" spans="2:12" x14ac:dyDescent="0.25">
      <c r="B513" s="17">
        <v>45255</v>
      </c>
      <c r="C513" s="13">
        <v>37796.79</v>
      </c>
      <c r="D513" s="54">
        <v>73</v>
      </c>
      <c r="F513" s="17">
        <v>45255</v>
      </c>
      <c r="G513" s="13">
        <v>37796.79</v>
      </c>
      <c r="H513" s="4">
        <v>37796.79</v>
      </c>
      <c r="I513" s="4">
        <v>37796.79</v>
      </c>
      <c r="J513" s="3">
        <v>73</v>
      </c>
      <c r="K513" s="3">
        <v>73</v>
      </c>
      <c r="L513" s="54">
        <v>73</v>
      </c>
    </row>
    <row r="514" spans="2:12" x14ac:dyDescent="0.25">
      <c r="B514" s="17">
        <v>45256</v>
      </c>
      <c r="C514" s="13">
        <v>37479.120000000003</v>
      </c>
      <c r="D514" s="54">
        <v>73</v>
      </c>
      <c r="F514" s="17">
        <v>45256</v>
      </c>
      <c r="G514" s="13">
        <v>37479.120000000003</v>
      </c>
      <c r="H514" s="4">
        <v>37479.120000000003</v>
      </c>
      <c r="I514" s="4">
        <v>37479.120000000003</v>
      </c>
      <c r="J514" s="3">
        <v>73</v>
      </c>
      <c r="K514" s="3">
        <v>73</v>
      </c>
      <c r="L514" s="54">
        <v>73</v>
      </c>
    </row>
    <row r="515" spans="2:12" x14ac:dyDescent="0.25">
      <c r="B515" s="17">
        <v>45257</v>
      </c>
      <c r="C515" s="13">
        <v>37254.17</v>
      </c>
      <c r="D515" s="54">
        <v>66</v>
      </c>
      <c r="F515" s="17">
        <v>45257</v>
      </c>
      <c r="G515" s="13">
        <v>37254.17</v>
      </c>
      <c r="H515" s="4">
        <v>37254.17</v>
      </c>
      <c r="I515" s="4">
        <v>37254.17</v>
      </c>
      <c r="J515" s="3">
        <v>66</v>
      </c>
      <c r="K515" s="3">
        <v>66</v>
      </c>
      <c r="L515" s="54">
        <v>66</v>
      </c>
    </row>
    <row r="516" spans="2:12" x14ac:dyDescent="0.25">
      <c r="B516" s="17">
        <v>45258</v>
      </c>
      <c r="C516" s="13">
        <v>37831.089999999997</v>
      </c>
      <c r="D516" s="54">
        <v>68</v>
      </c>
      <c r="F516" s="17">
        <v>45258</v>
      </c>
      <c r="G516" s="13">
        <v>37831.089999999997</v>
      </c>
      <c r="H516" s="4">
        <v>37831.089999999997</v>
      </c>
      <c r="I516" s="4">
        <v>37831.089999999997</v>
      </c>
      <c r="J516" s="3">
        <v>68</v>
      </c>
      <c r="K516" s="3">
        <v>68</v>
      </c>
      <c r="L516" s="54">
        <v>68</v>
      </c>
    </row>
    <row r="517" spans="2:12" x14ac:dyDescent="0.25">
      <c r="B517" s="17">
        <v>45259</v>
      </c>
      <c r="C517" s="13">
        <v>37858.49</v>
      </c>
      <c r="D517" s="54">
        <v>72</v>
      </c>
      <c r="F517" s="17">
        <v>45259</v>
      </c>
      <c r="G517" s="13">
        <v>37858.49</v>
      </c>
      <c r="H517" s="4">
        <v>37858.49</v>
      </c>
      <c r="I517" s="4">
        <v>37858.49</v>
      </c>
      <c r="J517" s="3">
        <v>72</v>
      </c>
      <c r="K517" s="3">
        <v>72</v>
      </c>
      <c r="L517" s="54">
        <v>72</v>
      </c>
    </row>
    <row r="518" spans="2:12" x14ac:dyDescent="0.25">
      <c r="B518" s="17">
        <v>45260</v>
      </c>
      <c r="C518" s="13">
        <v>37712.75</v>
      </c>
      <c r="D518" s="54">
        <v>74</v>
      </c>
      <c r="F518" s="17">
        <v>45260</v>
      </c>
      <c r="G518" s="13">
        <v>37712.75</v>
      </c>
      <c r="H518" s="4">
        <v>37712.75</v>
      </c>
      <c r="I518" s="4">
        <v>37712.75</v>
      </c>
      <c r="J518" s="3">
        <v>74</v>
      </c>
      <c r="K518" s="3">
        <v>74</v>
      </c>
      <c r="L518" s="54">
        <v>74</v>
      </c>
    </row>
    <row r="519" spans="2:12" x14ac:dyDescent="0.25">
      <c r="B519" s="17">
        <v>45261</v>
      </c>
      <c r="C519" s="13">
        <v>38688.75</v>
      </c>
      <c r="D519" s="54">
        <v>71</v>
      </c>
      <c r="F519" s="17">
        <v>45261</v>
      </c>
      <c r="G519" s="13">
        <v>38688.75</v>
      </c>
      <c r="H519" s="4">
        <v>38688.75</v>
      </c>
      <c r="I519" s="4">
        <v>38688.75</v>
      </c>
      <c r="J519" s="3">
        <v>71</v>
      </c>
      <c r="K519" s="3">
        <v>71</v>
      </c>
      <c r="L519" s="54">
        <v>71</v>
      </c>
    </row>
    <row r="520" spans="2:12" x14ac:dyDescent="0.25">
      <c r="B520" s="17">
        <v>45262</v>
      </c>
      <c r="C520" s="13">
        <v>39476.33</v>
      </c>
      <c r="D520" s="54">
        <v>74</v>
      </c>
      <c r="F520" s="17">
        <v>45262</v>
      </c>
      <c r="G520" s="13">
        <v>39476.33</v>
      </c>
      <c r="H520" s="4">
        <v>39476.33</v>
      </c>
      <c r="I520" s="4">
        <v>39476.33</v>
      </c>
      <c r="J520" s="3">
        <v>74</v>
      </c>
      <c r="K520" s="3">
        <v>74</v>
      </c>
      <c r="L520" s="54">
        <v>74</v>
      </c>
    </row>
    <row r="521" spans="2:12" x14ac:dyDescent="0.25">
      <c r="B521" s="17">
        <v>45263</v>
      </c>
      <c r="C521" s="13">
        <v>39978.39</v>
      </c>
      <c r="D521" s="54">
        <v>73</v>
      </c>
      <c r="F521" s="17">
        <v>45263</v>
      </c>
      <c r="G521" s="13">
        <v>39978.39</v>
      </c>
      <c r="H521" s="4">
        <v>39978.39</v>
      </c>
      <c r="I521" s="4">
        <v>39978.39</v>
      </c>
      <c r="J521" s="3">
        <v>73</v>
      </c>
      <c r="K521" s="3">
        <v>73</v>
      </c>
      <c r="L521" s="54">
        <v>73</v>
      </c>
    </row>
    <row r="522" spans="2:12" x14ac:dyDescent="0.25">
      <c r="B522" s="17">
        <v>45264</v>
      </c>
      <c r="C522" s="13">
        <v>41980.1</v>
      </c>
      <c r="D522" s="54">
        <v>74</v>
      </c>
      <c r="F522" s="17">
        <v>45264</v>
      </c>
      <c r="G522" s="13">
        <v>41980.1</v>
      </c>
      <c r="H522" s="4">
        <v>41980.1</v>
      </c>
      <c r="I522" s="4">
        <v>41980.1</v>
      </c>
      <c r="J522" s="3">
        <v>74</v>
      </c>
      <c r="K522" s="3">
        <v>74</v>
      </c>
      <c r="L522" s="54">
        <v>74</v>
      </c>
    </row>
    <row r="523" spans="2:12" x14ac:dyDescent="0.25">
      <c r="B523" s="17">
        <v>45265</v>
      </c>
      <c r="C523" s="13">
        <v>44080.65</v>
      </c>
      <c r="D523" s="54">
        <v>75</v>
      </c>
      <c r="F523" s="17">
        <v>45265</v>
      </c>
      <c r="G523" s="13">
        <v>44080.65</v>
      </c>
      <c r="H523" s="4">
        <v>44080.65</v>
      </c>
      <c r="I523" s="4">
        <v>44080.65</v>
      </c>
      <c r="J523" s="3">
        <v>75</v>
      </c>
      <c r="K523" s="3">
        <v>75</v>
      </c>
      <c r="L523" s="54">
        <v>75</v>
      </c>
    </row>
    <row r="524" spans="2:12" x14ac:dyDescent="0.25">
      <c r="B524" s="17">
        <v>45266</v>
      </c>
      <c r="C524" s="13">
        <v>43746.45</v>
      </c>
      <c r="D524" s="54">
        <v>72</v>
      </c>
      <c r="F524" s="17">
        <v>45266</v>
      </c>
      <c r="G524" s="13">
        <v>43746.45</v>
      </c>
      <c r="H524" s="4">
        <v>43746.45</v>
      </c>
      <c r="I524" s="4">
        <v>43746.45</v>
      </c>
      <c r="J524" s="3">
        <v>72</v>
      </c>
      <c r="K524" s="3">
        <v>72</v>
      </c>
      <c r="L524" s="54">
        <v>72</v>
      </c>
    </row>
    <row r="525" spans="2:12" x14ac:dyDescent="0.25">
      <c r="B525" s="17">
        <v>45267</v>
      </c>
      <c r="C525" s="13">
        <v>43292.66</v>
      </c>
      <c r="D525" s="54">
        <v>72</v>
      </c>
      <c r="F525" s="17">
        <v>45267</v>
      </c>
      <c r="G525" s="13">
        <v>43292.66</v>
      </c>
      <c r="H525" s="4">
        <v>43292.66</v>
      </c>
      <c r="I525" s="4">
        <v>43292.66</v>
      </c>
      <c r="J525" s="3">
        <v>72</v>
      </c>
      <c r="K525" s="3">
        <v>72</v>
      </c>
      <c r="L525" s="54">
        <v>72</v>
      </c>
    </row>
    <row r="526" spans="2:12" x14ac:dyDescent="0.25">
      <c r="B526" s="17">
        <v>45268</v>
      </c>
      <c r="C526" s="13">
        <v>44166.6</v>
      </c>
      <c r="D526" s="54">
        <v>72</v>
      </c>
      <c r="F526" s="17">
        <v>45268</v>
      </c>
      <c r="G526" s="13">
        <v>44166.6</v>
      </c>
      <c r="H526" s="4">
        <v>44166.6</v>
      </c>
      <c r="I526" s="4">
        <v>44166.6</v>
      </c>
      <c r="J526" s="3">
        <v>72</v>
      </c>
      <c r="K526" s="3">
        <v>72</v>
      </c>
      <c r="L526" s="54">
        <v>72</v>
      </c>
    </row>
    <row r="527" spans="2:12" x14ac:dyDescent="0.25">
      <c r="B527" s="17">
        <v>45269</v>
      </c>
      <c r="C527" s="13">
        <v>43725.98</v>
      </c>
      <c r="D527" s="54">
        <v>73</v>
      </c>
      <c r="F527" s="17">
        <v>45269</v>
      </c>
      <c r="G527" s="13">
        <v>43725.98</v>
      </c>
      <c r="H527" s="4">
        <v>43725.98</v>
      </c>
      <c r="I527" s="4">
        <v>43725.98</v>
      </c>
      <c r="J527" s="3">
        <v>73</v>
      </c>
      <c r="K527" s="3">
        <v>73</v>
      </c>
      <c r="L527" s="54">
        <v>73</v>
      </c>
    </row>
    <row r="528" spans="2:12" x14ac:dyDescent="0.25">
      <c r="B528" s="17">
        <v>45270</v>
      </c>
      <c r="C528" s="13">
        <v>43779.7</v>
      </c>
      <c r="D528" s="54">
        <v>74</v>
      </c>
      <c r="F528" s="17">
        <v>45270</v>
      </c>
      <c r="G528" s="13">
        <v>43779.7</v>
      </c>
      <c r="H528" s="4">
        <v>43779.7</v>
      </c>
      <c r="I528" s="4">
        <v>43779.7</v>
      </c>
      <c r="J528" s="3">
        <v>74</v>
      </c>
      <c r="K528" s="3">
        <v>74</v>
      </c>
      <c r="L528" s="54">
        <v>74</v>
      </c>
    </row>
    <row r="529" spans="2:12" x14ac:dyDescent="0.25">
      <c r="B529" s="17">
        <v>45271</v>
      </c>
      <c r="C529" s="13">
        <v>41243.83</v>
      </c>
      <c r="D529" s="54">
        <v>74</v>
      </c>
      <c r="F529" s="17">
        <v>45271</v>
      </c>
      <c r="G529" s="13">
        <v>41243.83</v>
      </c>
      <c r="H529" s="4">
        <v>41243.83</v>
      </c>
      <c r="I529" s="4">
        <v>41243.83</v>
      </c>
      <c r="J529" s="3">
        <v>74</v>
      </c>
      <c r="K529" s="3">
        <v>74</v>
      </c>
      <c r="L529" s="54">
        <v>74</v>
      </c>
    </row>
    <row r="530" spans="2:12" x14ac:dyDescent="0.25">
      <c r="B530" s="17">
        <v>45272</v>
      </c>
      <c r="C530" s="13">
        <v>41450.22</v>
      </c>
      <c r="D530" s="54">
        <v>67</v>
      </c>
      <c r="F530" s="17">
        <v>45272</v>
      </c>
      <c r="G530" s="13">
        <v>41450.22</v>
      </c>
      <c r="H530" s="4">
        <v>41450.22</v>
      </c>
      <c r="I530" s="4">
        <v>41450.22</v>
      </c>
      <c r="J530" s="3">
        <v>67</v>
      </c>
      <c r="K530" s="3">
        <v>67</v>
      </c>
      <c r="L530" s="54">
        <v>67</v>
      </c>
    </row>
    <row r="531" spans="2:12" x14ac:dyDescent="0.25">
      <c r="B531" s="17">
        <v>45273</v>
      </c>
      <c r="C531" s="13">
        <v>42890.74</v>
      </c>
      <c r="D531" s="54">
        <v>65</v>
      </c>
      <c r="F531" s="17">
        <v>45273</v>
      </c>
      <c r="G531" s="13">
        <v>42890.74</v>
      </c>
      <c r="H531" s="4">
        <v>42890.74</v>
      </c>
      <c r="I531" s="4">
        <v>42890.74</v>
      </c>
      <c r="J531" s="3">
        <v>65</v>
      </c>
      <c r="K531" s="3">
        <v>65</v>
      </c>
      <c r="L531" s="54">
        <v>65</v>
      </c>
    </row>
    <row r="532" spans="2:12" x14ac:dyDescent="0.25">
      <c r="B532" s="17">
        <v>45274</v>
      </c>
      <c r="C532" s="13">
        <v>43023.97</v>
      </c>
      <c r="D532" s="54">
        <v>72</v>
      </c>
      <c r="F532" s="17">
        <v>45274</v>
      </c>
      <c r="G532" s="13">
        <v>43023.97</v>
      </c>
      <c r="H532" s="4">
        <v>43023.97</v>
      </c>
      <c r="I532" s="4">
        <v>43023.97</v>
      </c>
      <c r="J532" s="3">
        <v>72</v>
      </c>
      <c r="K532" s="3">
        <v>72</v>
      </c>
      <c r="L532" s="54">
        <v>72</v>
      </c>
    </row>
    <row r="533" spans="2:12" x14ac:dyDescent="0.25">
      <c r="B533" s="17">
        <v>45275</v>
      </c>
      <c r="C533" s="13">
        <v>41929.760000000002</v>
      </c>
      <c r="D533" s="54">
        <v>70</v>
      </c>
      <c r="F533" s="17">
        <v>45275</v>
      </c>
      <c r="G533" s="13">
        <v>41929.760000000002</v>
      </c>
      <c r="H533" s="4">
        <v>41929.760000000002</v>
      </c>
      <c r="I533" s="4">
        <v>41929.760000000002</v>
      </c>
      <c r="J533" s="3">
        <v>70</v>
      </c>
      <c r="K533" s="3">
        <v>70</v>
      </c>
      <c r="L533" s="54">
        <v>70</v>
      </c>
    </row>
    <row r="534" spans="2:12" x14ac:dyDescent="0.25">
      <c r="B534" s="17">
        <v>45276</v>
      </c>
      <c r="C534" s="13">
        <v>42240.12</v>
      </c>
      <c r="D534" s="54">
        <v>67</v>
      </c>
      <c r="F534" s="17">
        <v>45276</v>
      </c>
      <c r="G534" s="13">
        <v>42240.12</v>
      </c>
      <c r="H534" s="4">
        <v>42240.12</v>
      </c>
      <c r="I534" s="4">
        <v>42240.12</v>
      </c>
      <c r="J534" s="3">
        <v>67</v>
      </c>
      <c r="K534" s="3">
        <v>67</v>
      </c>
      <c r="L534" s="54">
        <v>67</v>
      </c>
    </row>
    <row r="535" spans="2:12" x14ac:dyDescent="0.25">
      <c r="B535" s="17">
        <v>45277</v>
      </c>
      <c r="C535" s="13">
        <v>41364.660000000003</v>
      </c>
      <c r="D535" s="54">
        <v>73</v>
      </c>
      <c r="F535" s="17">
        <v>45277</v>
      </c>
      <c r="G535" s="13">
        <v>41364.660000000003</v>
      </c>
      <c r="H535" s="4">
        <v>41364.660000000003</v>
      </c>
      <c r="I535" s="4">
        <v>41364.660000000003</v>
      </c>
      <c r="J535" s="3">
        <v>73</v>
      </c>
      <c r="K535" s="3">
        <v>73</v>
      </c>
      <c r="L535" s="54">
        <v>73</v>
      </c>
    </row>
    <row r="536" spans="2:12" x14ac:dyDescent="0.25">
      <c r="B536" s="17">
        <v>45278</v>
      </c>
      <c r="C536" s="13">
        <v>42623.54</v>
      </c>
      <c r="D536" s="54">
        <v>65</v>
      </c>
      <c r="F536" s="17">
        <v>45278</v>
      </c>
      <c r="G536" s="13">
        <v>42623.54</v>
      </c>
      <c r="H536" s="4">
        <v>42623.54</v>
      </c>
      <c r="I536" s="4">
        <v>42623.54</v>
      </c>
      <c r="J536" s="3">
        <v>65</v>
      </c>
      <c r="K536" s="3">
        <v>65</v>
      </c>
      <c r="L536" s="54">
        <v>65</v>
      </c>
    </row>
    <row r="537" spans="2:12" x14ac:dyDescent="0.25">
      <c r="B537" s="17">
        <v>45279</v>
      </c>
      <c r="C537" s="13">
        <v>42270.53</v>
      </c>
      <c r="D537" s="54">
        <v>73</v>
      </c>
      <c r="F537" s="17">
        <v>45279</v>
      </c>
      <c r="G537" s="13">
        <v>42270.53</v>
      </c>
      <c r="H537" s="4">
        <v>42270.53</v>
      </c>
      <c r="I537" s="4">
        <v>42270.53</v>
      </c>
      <c r="J537" s="3">
        <v>73</v>
      </c>
      <c r="K537" s="3">
        <v>73</v>
      </c>
      <c r="L537" s="54">
        <v>73</v>
      </c>
    </row>
    <row r="538" spans="2:12" x14ac:dyDescent="0.25">
      <c r="B538" s="17">
        <v>45280</v>
      </c>
      <c r="C538" s="13">
        <v>43652.25</v>
      </c>
      <c r="D538" s="54">
        <v>74</v>
      </c>
      <c r="F538" s="17">
        <v>45280</v>
      </c>
      <c r="G538" s="13">
        <v>43652.25</v>
      </c>
      <c r="H538" s="4">
        <v>43652.25</v>
      </c>
      <c r="I538" s="4">
        <v>43652.25</v>
      </c>
      <c r="J538" s="3">
        <v>74</v>
      </c>
      <c r="K538" s="3">
        <v>74</v>
      </c>
      <c r="L538" s="54">
        <v>74</v>
      </c>
    </row>
    <row r="539" spans="2:12" x14ac:dyDescent="0.25">
      <c r="B539" s="17">
        <v>45281</v>
      </c>
      <c r="C539" s="13">
        <v>43869.15</v>
      </c>
      <c r="D539" s="54">
        <v>70</v>
      </c>
      <c r="F539" s="17">
        <v>45281</v>
      </c>
      <c r="G539" s="13">
        <v>43869.15</v>
      </c>
      <c r="H539" s="4">
        <v>43869.15</v>
      </c>
      <c r="I539" s="4">
        <v>43869.15</v>
      </c>
      <c r="J539" s="3">
        <v>70</v>
      </c>
      <c r="K539" s="3">
        <v>70</v>
      </c>
      <c r="L539" s="54">
        <v>70</v>
      </c>
    </row>
    <row r="540" spans="2:12" x14ac:dyDescent="0.25">
      <c r="B540" s="17">
        <v>45282</v>
      </c>
      <c r="C540" s="13">
        <v>43997.9</v>
      </c>
      <c r="D540" s="54">
        <v>74</v>
      </c>
      <c r="F540" s="17">
        <v>45282</v>
      </c>
      <c r="G540" s="13">
        <v>43997.9</v>
      </c>
      <c r="H540" s="4">
        <v>43997.9</v>
      </c>
      <c r="I540" s="4">
        <v>43997.9</v>
      </c>
      <c r="J540" s="3">
        <v>74</v>
      </c>
      <c r="K540" s="3">
        <v>74</v>
      </c>
      <c r="L540" s="54">
        <v>74</v>
      </c>
    </row>
    <row r="541" spans="2:12" x14ac:dyDescent="0.25">
      <c r="B541" s="17">
        <v>45283</v>
      </c>
      <c r="C541" s="13">
        <v>43739.54</v>
      </c>
      <c r="D541" s="54">
        <v>70</v>
      </c>
      <c r="F541" s="17">
        <v>45283</v>
      </c>
      <c r="G541" s="13">
        <v>43739.54</v>
      </c>
      <c r="H541" s="4">
        <v>43739.54</v>
      </c>
      <c r="I541" s="4">
        <v>43739.54</v>
      </c>
      <c r="J541" s="3">
        <v>70</v>
      </c>
      <c r="K541" s="3">
        <v>70</v>
      </c>
      <c r="L541" s="54">
        <v>70</v>
      </c>
    </row>
    <row r="542" spans="2:12" x14ac:dyDescent="0.25">
      <c r="B542" s="17">
        <v>45284</v>
      </c>
      <c r="C542" s="13">
        <v>43016.12</v>
      </c>
      <c r="D542" s="54">
        <v>71</v>
      </c>
      <c r="F542" s="17">
        <v>45284</v>
      </c>
      <c r="G542" s="13">
        <v>43016.12</v>
      </c>
      <c r="H542" s="4">
        <v>43016.12</v>
      </c>
      <c r="I542" s="4">
        <v>43016.12</v>
      </c>
      <c r="J542" s="3">
        <v>71</v>
      </c>
      <c r="K542" s="3">
        <v>71</v>
      </c>
      <c r="L542" s="54">
        <v>71</v>
      </c>
    </row>
    <row r="543" spans="2:12" x14ac:dyDescent="0.25">
      <c r="B543" s="17">
        <v>45285</v>
      </c>
      <c r="C543" s="13">
        <v>43613.14</v>
      </c>
      <c r="D543" s="54">
        <v>73</v>
      </c>
      <c r="F543" s="17">
        <v>45285</v>
      </c>
      <c r="G543" s="13">
        <v>43613.14</v>
      </c>
      <c r="H543" s="4">
        <v>43613.14</v>
      </c>
      <c r="I543" s="4">
        <v>43613.14</v>
      </c>
      <c r="J543" s="3">
        <v>73</v>
      </c>
      <c r="K543" s="3">
        <v>73</v>
      </c>
      <c r="L543" s="54">
        <v>73</v>
      </c>
    </row>
    <row r="544" spans="2:12" x14ac:dyDescent="0.25">
      <c r="B544" s="17">
        <v>45286</v>
      </c>
      <c r="C544" s="13">
        <v>42520.4</v>
      </c>
      <c r="D544" s="54">
        <v>71</v>
      </c>
      <c r="F544" s="17">
        <v>45286</v>
      </c>
      <c r="G544" s="13">
        <v>42520.4</v>
      </c>
      <c r="H544" s="4">
        <v>42520.4</v>
      </c>
      <c r="I544" s="4">
        <v>42520.4</v>
      </c>
      <c r="J544" s="3">
        <v>71</v>
      </c>
      <c r="K544" s="3">
        <v>71</v>
      </c>
      <c r="L544" s="54">
        <v>71</v>
      </c>
    </row>
    <row r="545" spans="2:12" x14ac:dyDescent="0.25">
      <c r="B545" s="17">
        <v>45287</v>
      </c>
      <c r="C545" s="13">
        <v>43442.86</v>
      </c>
      <c r="D545" s="54">
        <v>73</v>
      </c>
      <c r="F545" s="17">
        <v>45287</v>
      </c>
      <c r="G545" s="13">
        <v>43442.86</v>
      </c>
      <c r="H545" s="4">
        <v>43442.86</v>
      </c>
      <c r="I545" s="4">
        <v>43442.86</v>
      </c>
      <c r="J545" s="3">
        <v>73</v>
      </c>
      <c r="K545" s="3">
        <v>73</v>
      </c>
      <c r="L545" s="54">
        <v>73</v>
      </c>
    </row>
    <row r="546" spans="2:12" x14ac:dyDescent="0.25">
      <c r="B546" s="17">
        <v>45288</v>
      </c>
      <c r="C546" s="13">
        <v>42627.86</v>
      </c>
      <c r="D546" s="54">
        <v>73</v>
      </c>
      <c r="F546" s="17">
        <v>45288</v>
      </c>
      <c r="G546" s="13">
        <v>42627.86</v>
      </c>
      <c r="H546" s="4">
        <v>42627.86</v>
      </c>
      <c r="I546" s="4">
        <v>42627.86</v>
      </c>
      <c r="J546" s="3">
        <v>73</v>
      </c>
      <c r="K546" s="3">
        <v>73</v>
      </c>
      <c r="L546" s="54">
        <v>73</v>
      </c>
    </row>
    <row r="547" spans="2:12" x14ac:dyDescent="0.25">
      <c r="B547" s="17">
        <v>45289</v>
      </c>
      <c r="C547" s="13">
        <v>42099.4</v>
      </c>
      <c r="D547" s="54">
        <v>65</v>
      </c>
      <c r="F547" s="17">
        <v>45289</v>
      </c>
      <c r="G547" s="13">
        <v>42099.4</v>
      </c>
      <c r="H547" s="4">
        <v>42099.4</v>
      </c>
      <c r="I547" s="4">
        <v>42099.4</v>
      </c>
      <c r="J547" s="3">
        <v>65</v>
      </c>
      <c r="K547" s="3">
        <v>65</v>
      </c>
      <c r="L547" s="54">
        <v>65</v>
      </c>
    </row>
    <row r="548" spans="2:12" x14ac:dyDescent="0.25">
      <c r="B548" s="17">
        <v>45290</v>
      </c>
      <c r="C548" s="13">
        <v>42156.9</v>
      </c>
      <c r="D548" s="54">
        <v>68</v>
      </c>
      <c r="F548" s="17">
        <v>45290</v>
      </c>
      <c r="G548" s="13">
        <v>42156.9</v>
      </c>
      <c r="H548" s="4">
        <v>42156.9</v>
      </c>
      <c r="I548" s="4">
        <v>42156.9</v>
      </c>
      <c r="J548" s="3">
        <v>68</v>
      </c>
      <c r="K548" s="3">
        <v>68</v>
      </c>
      <c r="L548" s="54">
        <v>68</v>
      </c>
    </row>
    <row r="549" spans="2:12" x14ac:dyDescent="0.25">
      <c r="B549" s="17">
        <v>45291</v>
      </c>
      <c r="C549" s="13">
        <v>42265.19</v>
      </c>
      <c r="D549" s="54">
        <v>67</v>
      </c>
      <c r="F549" s="17">
        <v>45291</v>
      </c>
      <c r="G549" s="13">
        <v>42265.19</v>
      </c>
      <c r="H549" s="4">
        <v>42265.19</v>
      </c>
      <c r="I549" s="4">
        <v>42265.19</v>
      </c>
      <c r="J549" s="3">
        <v>67</v>
      </c>
      <c r="K549" s="3">
        <v>67</v>
      </c>
      <c r="L549" s="54">
        <v>67</v>
      </c>
    </row>
    <row r="550" spans="2:12" x14ac:dyDescent="0.25">
      <c r="B550" s="17">
        <v>45292</v>
      </c>
      <c r="C550" s="13">
        <v>44167.33</v>
      </c>
      <c r="D550" s="54">
        <v>65</v>
      </c>
      <c r="F550" s="17">
        <v>45292</v>
      </c>
      <c r="G550" s="13">
        <v>44167.33</v>
      </c>
      <c r="H550" s="4">
        <v>44167.33</v>
      </c>
      <c r="I550" s="4">
        <v>44167.33</v>
      </c>
      <c r="J550" s="3">
        <v>65</v>
      </c>
      <c r="K550" s="3">
        <v>65</v>
      </c>
      <c r="L550" s="54">
        <v>65</v>
      </c>
    </row>
    <row r="551" spans="2:12" x14ac:dyDescent="0.25">
      <c r="B551" s="17">
        <v>45293</v>
      </c>
      <c r="C551" s="13">
        <v>44957.97</v>
      </c>
      <c r="D551" s="54">
        <v>71</v>
      </c>
      <c r="F551" s="17">
        <v>45293</v>
      </c>
      <c r="G551" s="13">
        <v>44957.97</v>
      </c>
      <c r="H551" s="4">
        <v>44957.97</v>
      </c>
      <c r="I551" s="4">
        <v>44957.97</v>
      </c>
      <c r="J551" s="3">
        <v>71</v>
      </c>
      <c r="K551" s="3">
        <v>71</v>
      </c>
      <c r="L551" s="54">
        <v>71</v>
      </c>
    </row>
    <row r="552" spans="2:12" x14ac:dyDescent="0.25">
      <c r="B552" s="17">
        <v>45294</v>
      </c>
      <c r="C552" s="13">
        <v>42848.18</v>
      </c>
      <c r="D552" s="54">
        <v>70</v>
      </c>
      <c r="F552" s="17">
        <v>45294</v>
      </c>
      <c r="G552" s="13">
        <v>42848.18</v>
      </c>
      <c r="H552" s="4">
        <v>42848.18</v>
      </c>
      <c r="I552" s="4">
        <v>42848.18</v>
      </c>
      <c r="J552" s="3">
        <v>70</v>
      </c>
      <c r="K552" s="3">
        <v>70</v>
      </c>
      <c r="L552" s="54">
        <v>70</v>
      </c>
    </row>
    <row r="553" spans="2:12" ht="15.75" thickBot="1" x14ac:dyDescent="0.3">
      <c r="B553" s="18">
        <v>45295</v>
      </c>
      <c r="C553" s="13">
        <v>44179.92</v>
      </c>
      <c r="D553" s="54">
        <v>68</v>
      </c>
      <c r="F553" s="18">
        <v>45295</v>
      </c>
      <c r="G553" s="13">
        <v>44179.92</v>
      </c>
      <c r="H553" s="4">
        <v>44179.92</v>
      </c>
      <c r="I553" s="4">
        <v>44179.92</v>
      </c>
      <c r="J553" s="3">
        <v>68</v>
      </c>
      <c r="K553" s="3">
        <v>68</v>
      </c>
      <c r="L553" s="54">
        <v>68</v>
      </c>
    </row>
    <row r="554" spans="2:12" x14ac:dyDescent="0.25">
      <c r="B554" s="16">
        <v>45296</v>
      </c>
      <c r="C554" s="13">
        <v>44162.69</v>
      </c>
      <c r="D554" s="54">
        <v>72</v>
      </c>
      <c r="F554" s="16">
        <v>45296</v>
      </c>
      <c r="G554" s="13">
        <v>44162.69</v>
      </c>
      <c r="H554" s="4">
        <v>44162.69</v>
      </c>
      <c r="I554" s="4">
        <v>44162.69</v>
      </c>
      <c r="J554" s="3">
        <v>72</v>
      </c>
      <c r="K554" s="3">
        <v>72</v>
      </c>
      <c r="L554" s="54">
        <v>72</v>
      </c>
    </row>
    <row r="555" spans="2:12" x14ac:dyDescent="0.25">
      <c r="B555" s="17">
        <v>45297</v>
      </c>
      <c r="C555" s="13">
        <v>43989.2</v>
      </c>
      <c r="D555" s="54">
        <v>70</v>
      </c>
      <c r="F555" s="17">
        <v>45297</v>
      </c>
      <c r="G555" s="13">
        <v>43989.2</v>
      </c>
      <c r="H555" s="4">
        <v>43989.2</v>
      </c>
      <c r="I555" s="4">
        <v>43989.2</v>
      </c>
      <c r="J555" s="3">
        <v>70</v>
      </c>
      <c r="K555" s="3">
        <v>70</v>
      </c>
      <c r="L555" s="54">
        <v>70</v>
      </c>
    </row>
    <row r="556" spans="2:12" x14ac:dyDescent="0.25">
      <c r="B556" s="17">
        <v>45298</v>
      </c>
      <c r="C556" s="13">
        <v>43943.1</v>
      </c>
      <c r="D556" s="54">
        <v>71</v>
      </c>
      <c r="F556" s="17">
        <v>45298</v>
      </c>
      <c r="G556" s="13">
        <v>43943.1</v>
      </c>
      <c r="H556" s="4">
        <v>43943.1</v>
      </c>
      <c r="I556" s="4">
        <v>43943.1</v>
      </c>
      <c r="J556" s="3">
        <v>71</v>
      </c>
      <c r="K556" s="3">
        <v>71</v>
      </c>
      <c r="L556" s="54">
        <v>71</v>
      </c>
    </row>
    <row r="557" spans="2:12" x14ac:dyDescent="0.25">
      <c r="B557" s="17">
        <v>45299</v>
      </c>
      <c r="C557" s="13">
        <v>46970.5</v>
      </c>
      <c r="D557" s="54">
        <v>71</v>
      </c>
      <c r="F557" s="17">
        <v>45299</v>
      </c>
      <c r="G557" s="13">
        <v>46970.5</v>
      </c>
      <c r="H557" s="4">
        <v>46970.5</v>
      </c>
      <c r="I557" s="4">
        <v>46970.5</v>
      </c>
      <c r="J557" s="3">
        <v>71</v>
      </c>
      <c r="K557" s="3">
        <v>71</v>
      </c>
      <c r="L557" s="54">
        <v>71</v>
      </c>
    </row>
    <row r="558" spans="2:12" x14ac:dyDescent="0.25">
      <c r="B558" s="17">
        <v>45300</v>
      </c>
      <c r="C558" s="13">
        <v>46139.73</v>
      </c>
      <c r="D558" s="54">
        <v>76</v>
      </c>
      <c r="F558" s="17">
        <v>45300</v>
      </c>
      <c r="G558" s="13">
        <v>46139.73</v>
      </c>
      <c r="H558" s="4">
        <v>46139.73</v>
      </c>
      <c r="I558" s="4">
        <v>46139.73</v>
      </c>
      <c r="J558" s="3">
        <v>76</v>
      </c>
      <c r="K558" s="3">
        <v>76</v>
      </c>
      <c r="L558" s="54">
        <v>76</v>
      </c>
    </row>
    <row r="559" spans="2:12" x14ac:dyDescent="0.25">
      <c r="B559" s="17">
        <v>45301</v>
      </c>
      <c r="C559" s="13">
        <v>46627.78</v>
      </c>
      <c r="D559" s="54">
        <v>73</v>
      </c>
      <c r="F559" s="17">
        <v>45301</v>
      </c>
      <c r="G559" s="13">
        <v>46627.78</v>
      </c>
      <c r="H559" s="4">
        <v>46627.78</v>
      </c>
      <c r="I559" s="4">
        <v>46627.78</v>
      </c>
      <c r="J559" s="3">
        <v>73</v>
      </c>
      <c r="K559" s="3">
        <v>73</v>
      </c>
      <c r="L559" s="54">
        <v>73</v>
      </c>
    </row>
    <row r="560" spans="2:12" x14ac:dyDescent="0.25">
      <c r="B560" s="17">
        <v>45302</v>
      </c>
      <c r="C560" s="13">
        <v>46368.59</v>
      </c>
      <c r="D560" s="54">
        <v>76</v>
      </c>
      <c r="F560" s="17">
        <v>45302</v>
      </c>
      <c r="G560" s="13">
        <v>46368.59</v>
      </c>
      <c r="H560" s="4">
        <v>46368.59</v>
      </c>
      <c r="I560" s="4">
        <v>46368.59</v>
      </c>
      <c r="J560" s="3">
        <v>76</v>
      </c>
      <c r="K560" s="3">
        <v>76</v>
      </c>
      <c r="L560" s="54">
        <v>76</v>
      </c>
    </row>
    <row r="561" spans="2:12" x14ac:dyDescent="0.25">
      <c r="B561" s="17">
        <v>45303</v>
      </c>
      <c r="C561" s="13">
        <v>42853.17</v>
      </c>
      <c r="D561" s="54">
        <v>71</v>
      </c>
      <c r="F561" s="17">
        <v>45303</v>
      </c>
      <c r="G561" s="13">
        <v>42853.17</v>
      </c>
      <c r="H561" s="4">
        <v>42853.17</v>
      </c>
      <c r="I561" s="4">
        <v>42853.17</v>
      </c>
      <c r="J561" s="3">
        <v>71</v>
      </c>
      <c r="K561" s="3">
        <v>71</v>
      </c>
      <c r="L561" s="54">
        <v>71</v>
      </c>
    </row>
    <row r="562" spans="2:12" x14ac:dyDescent="0.25">
      <c r="B562" s="17">
        <v>45304</v>
      </c>
      <c r="C562" s="13">
        <v>42842.38</v>
      </c>
      <c r="D562" s="54">
        <v>64</v>
      </c>
      <c r="F562" s="17">
        <v>45304</v>
      </c>
      <c r="G562" s="13">
        <v>42842.38</v>
      </c>
      <c r="H562" s="4">
        <v>42842.38</v>
      </c>
      <c r="I562" s="4">
        <v>42842.38</v>
      </c>
      <c r="J562" s="3">
        <v>64</v>
      </c>
      <c r="K562" s="3">
        <v>64</v>
      </c>
      <c r="L562" s="54">
        <v>64</v>
      </c>
    </row>
    <row r="563" spans="2:12" x14ac:dyDescent="0.25">
      <c r="B563" s="17">
        <v>45305</v>
      </c>
      <c r="C563" s="13">
        <v>41796.269999999997</v>
      </c>
      <c r="D563" s="54">
        <v>60</v>
      </c>
      <c r="F563" s="17">
        <v>45305</v>
      </c>
      <c r="G563" s="13">
        <v>41796.269999999997</v>
      </c>
      <c r="H563" s="4">
        <v>41796.269999999997</v>
      </c>
      <c r="I563" s="4">
        <v>41796.269999999997</v>
      </c>
      <c r="J563" s="3">
        <v>60</v>
      </c>
      <c r="K563" s="3">
        <v>60</v>
      </c>
      <c r="L563" s="54">
        <v>60</v>
      </c>
    </row>
    <row r="564" spans="2:12" x14ac:dyDescent="0.25">
      <c r="B564" s="17">
        <v>45306</v>
      </c>
      <c r="C564" s="13">
        <v>42511.97</v>
      </c>
      <c r="D564" s="54">
        <v>52</v>
      </c>
      <c r="F564" s="17">
        <v>45306</v>
      </c>
      <c r="G564" s="13">
        <v>42511.97</v>
      </c>
      <c r="H564" s="4">
        <v>42511.97</v>
      </c>
      <c r="I564" s="4">
        <v>42511.97</v>
      </c>
      <c r="J564" s="3">
        <v>52</v>
      </c>
      <c r="K564" s="3">
        <v>52</v>
      </c>
      <c r="L564" s="54">
        <v>52</v>
      </c>
    </row>
    <row r="565" spans="2:12" x14ac:dyDescent="0.25">
      <c r="B565" s="17">
        <v>45307</v>
      </c>
      <c r="C565" s="13">
        <v>43154.95</v>
      </c>
      <c r="D565" s="54">
        <v>64</v>
      </c>
      <c r="F565" s="17">
        <v>45307</v>
      </c>
      <c r="G565" s="13">
        <v>43154.95</v>
      </c>
      <c r="H565" s="4">
        <v>43154.95</v>
      </c>
      <c r="I565" s="4">
        <v>43154.95</v>
      </c>
      <c r="J565" s="3">
        <v>64</v>
      </c>
      <c r="K565" s="3">
        <v>64</v>
      </c>
      <c r="L565" s="54">
        <v>64</v>
      </c>
    </row>
    <row r="566" spans="2:12" x14ac:dyDescent="0.25">
      <c r="B566" s="17">
        <v>45308</v>
      </c>
      <c r="C566" s="13">
        <v>42742.65</v>
      </c>
      <c r="D566" s="54">
        <v>60</v>
      </c>
      <c r="F566" s="17">
        <v>45308</v>
      </c>
      <c r="G566" s="13">
        <v>42742.65</v>
      </c>
      <c r="H566" s="4">
        <v>42742.65</v>
      </c>
      <c r="I566" s="4">
        <v>42742.65</v>
      </c>
      <c r="J566" s="3">
        <v>60</v>
      </c>
      <c r="K566" s="3">
        <v>60</v>
      </c>
      <c r="L566" s="54">
        <v>60</v>
      </c>
    </row>
    <row r="567" spans="2:12" x14ac:dyDescent="0.25">
      <c r="B567" s="17">
        <v>45309</v>
      </c>
      <c r="C567" s="13">
        <v>41262.06</v>
      </c>
      <c r="D567" s="54">
        <v>63</v>
      </c>
      <c r="F567" s="17">
        <v>45309</v>
      </c>
      <c r="G567" s="13">
        <v>41262.06</v>
      </c>
      <c r="H567" s="4">
        <v>41262.06</v>
      </c>
      <c r="I567" s="4">
        <v>41262.06</v>
      </c>
      <c r="J567" s="3">
        <v>63</v>
      </c>
      <c r="K567" s="3">
        <v>63</v>
      </c>
      <c r="L567" s="54">
        <v>63</v>
      </c>
    </row>
    <row r="568" spans="2:12" x14ac:dyDescent="0.25">
      <c r="B568" s="17">
        <v>45310</v>
      </c>
      <c r="C568" s="13">
        <v>41618.410000000003</v>
      </c>
      <c r="D568" s="54">
        <v>51</v>
      </c>
      <c r="F568" s="17">
        <v>45310</v>
      </c>
      <c r="G568" s="13">
        <v>41618.410000000003</v>
      </c>
      <c r="H568" s="4">
        <v>41618.410000000003</v>
      </c>
      <c r="I568" s="4">
        <v>41618.410000000003</v>
      </c>
      <c r="J568" s="3">
        <v>51</v>
      </c>
      <c r="K568" s="3">
        <v>51</v>
      </c>
      <c r="L568" s="54">
        <v>51</v>
      </c>
    </row>
    <row r="569" spans="2:12" x14ac:dyDescent="0.25">
      <c r="B569" s="17">
        <v>45311</v>
      </c>
      <c r="C569" s="13">
        <v>41665.589999999997</v>
      </c>
      <c r="D569" s="54">
        <v>52</v>
      </c>
      <c r="F569" s="17">
        <v>45311</v>
      </c>
      <c r="G569" s="13">
        <v>41665.589999999997</v>
      </c>
      <c r="H569" s="4">
        <v>41665.589999999997</v>
      </c>
      <c r="I569" s="4">
        <v>41665.589999999997</v>
      </c>
      <c r="J569" s="3">
        <v>52</v>
      </c>
      <c r="K569" s="3">
        <v>52</v>
      </c>
      <c r="L569" s="54">
        <v>52</v>
      </c>
    </row>
    <row r="570" spans="2:12" x14ac:dyDescent="0.25">
      <c r="B570" s="17">
        <v>45312</v>
      </c>
      <c r="C570" s="13">
        <v>41545.79</v>
      </c>
      <c r="D570" s="54">
        <v>56</v>
      </c>
      <c r="F570" s="17">
        <v>45312</v>
      </c>
      <c r="G570" s="13">
        <v>41545.79</v>
      </c>
      <c r="H570" s="4">
        <v>41545.79</v>
      </c>
      <c r="I570" s="4">
        <v>41545.79</v>
      </c>
      <c r="J570" s="3">
        <v>56</v>
      </c>
      <c r="K570" s="3">
        <v>56</v>
      </c>
      <c r="L570" s="54">
        <v>56</v>
      </c>
    </row>
    <row r="571" spans="2:12" x14ac:dyDescent="0.25">
      <c r="B571" s="17">
        <v>45313</v>
      </c>
      <c r="C571" s="13">
        <v>39507.370000000003</v>
      </c>
      <c r="D571" s="54">
        <v>55</v>
      </c>
      <c r="F571" s="17">
        <v>45313</v>
      </c>
      <c r="G571" s="13">
        <v>39507.370000000003</v>
      </c>
      <c r="H571" s="4">
        <v>39507.370000000003</v>
      </c>
      <c r="I571" s="4">
        <v>39507.370000000003</v>
      </c>
      <c r="J571" s="3">
        <v>55</v>
      </c>
      <c r="K571" s="3">
        <v>55</v>
      </c>
      <c r="L571" s="54">
        <v>55</v>
      </c>
    </row>
    <row r="572" spans="2:12" x14ac:dyDescent="0.25">
      <c r="B572" s="17">
        <v>45314</v>
      </c>
      <c r="C572" s="13">
        <v>39845.550000000003</v>
      </c>
      <c r="D572" s="54">
        <v>50</v>
      </c>
      <c r="F572" s="17">
        <v>45314</v>
      </c>
      <c r="G572" s="13">
        <v>39845.550000000003</v>
      </c>
      <c r="H572" s="4">
        <v>39845.550000000003</v>
      </c>
      <c r="I572" s="4">
        <v>39845.550000000003</v>
      </c>
      <c r="J572" s="3">
        <v>50</v>
      </c>
      <c r="K572" s="3">
        <v>50</v>
      </c>
      <c r="L572" s="54">
        <v>50</v>
      </c>
    </row>
    <row r="573" spans="2:12" x14ac:dyDescent="0.25">
      <c r="B573" s="17">
        <v>45315</v>
      </c>
      <c r="C573" s="13">
        <v>40077.07</v>
      </c>
      <c r="D573" s="54">
        <v>48</v>
      </c>
      <c r="F573" s="17">
        <v>45315</v>
      </c>
      <c r="G573" s="13">
        <v>40077.07</v>
      </c>
      <c r="H573" s="4">
        <v>40077.07</v>
      </c>
      <c r="I573" s="4">
        <v>40077.07</v>
      </c>
      <c r="J573" s="3">
        <v>48</v>
      </c>
      <c r="K573" s="3">
        <v>48</v>
      </c>
      <c r="L573" s="54">
        <v>48</v>
      </c>
    </row>
    <row r="574" spans="2:12" x14ac:dyDescent="0.25">
      <c r="B574" s="17">
        <v>45316</v>
      </c>
      <c r="C574" s="13">
        <v>39933.81</v>
      </c>
      <c r="D574" s="54">
        <v>52</v>
      </c>
      <c r="F574" s="17">
        <v>45316</v>
      </c>
      <c r="G574" s="13">
        <v>39933.81</v>
      </c>
      <c r="H574" s="4">
        <v>39933.81</v>
      </c>
      <c r="I574" s="4">
        <v>39933.81</v>
      </c>
      <c r="J574" s="3">
        <v>52</v>
      </c>
      <c r="K574" s="3">
        <v>52</v>
      </c>
      <c r="L574" s="54">
        <v>52</v>
      </c>
    </row>
    <row r="575" spans="2:12" x14ac:dyDescent="0.25">
      <c r="B575" s="17">
        <v>45317</v>
      </c>
      <c r="C575" s="13">
        <v>41816.870000000003</v>
      </c>
      <c r="D575" s="54">
        <v>49</v>
      </c>
      <c r="F575" s="17">
        <v>45317</v>
      </c>
      <c r="G575" s="13">
        <v>41816.870000000003</v>
      </c>
      <c r="H575" s="4">
        <v>41816.870000000003</v>
      </c>
      <c r="I575" s="4">
        <v>41816.870000000003</v>
      </c>
      <c r="J575" s="3">
        <v>49</v>
      </c>
      <c r="K575" s="3">
        <v>49</v>
      </c>
      <c r="L575" s="54">
        <v>49</v>
      </c>
    </row>
    <row r="576" spans="2:12" x14ac:dyDescent="0.25">
      <c r="B576" s="17">
        <v>45318</v>
      </c>
      <c r="C576" s="13">
        <v>42120.05</v>
      </c>
      <c r="D576" s="54">
        <v>55</v>
      </c>
      <c r="F576" s="17">
        <v>45318</v>
      </c>
      <c r="G576" s="13">
        <v>42120.05</v>
      </c>
      <c r="H576" s="4">
        <v>42120.05</v>
      </c>
      <c r="I576" s="4">
        <v>42120.05</v>
      </c>
      <c r="J576" s="3">
        <v>55</v>
      </c>
      <c r="K576" s="3">
        <v>55</v>
      </c>
      <c r="L576" s="54">
        <v>55</v>
      </c>
    </row>
    <row r="577" spans="2:12" x14ac:dyDescent="0.25">
      <c r="B577" s="17">
        <v>45319</v>
      </c>
      <c r="C577" s="13">
        <v>42035.59</v>
      </c>
      <c r="D577" s="54">
        <v>54</v>
      </c>
      <c r="F577" s="17">
        <v>45319</v>
      </c>
      <c r="G577" s="13">
        <v>42035.59</v>
      </c>
      <c r="H577" s="4">
        <v>42035.59</v>
      </c>
      <c r="I577" s="4">
        <v>42035.59</v>
      </c>
      <c r="J577" s="3">
        <v>54</v>
      </c>
      <c r="K577" s="3">
        <v>54</v>
      </c>
      <c r="L577" s="54">
        <v>54</v>
      </c>
    </row>
    <row r="578" spans="2:12" x14ac:dyDescent="0.25">
      <c r="B578" s="17">
        <v>45320</v>
      </c>
      <c r="C578" s="13">
        <v>43288.25</v>
      </c>
      <c r="D578" s="54">
        <v>55</v>
      </c>
      <c r="F578" s="17">
        <v>45320</v>
      </c>
      <c r="G578" s="13">
        <v>43288.25</v>
      </c>
      <c r="H578" s="4">
        <v>43288.25</v>
      </c>
      <c r="I578" s="4">
        <v>43288.25</v>
      </c>
      <c r="J578" s="3">
        <v>55</v>
      </c>
      <c r="K578" s="3">
        <v>55</v>
      </c>
      <c r="L578" s="54">
        <v>55</v>
      </c>
    </row>
    <row r="579" spans="2:12" x14ac:dyDescent="0.25">
      <c r="B579" s="17">
        <v>45321</v>
      </c>
      <c r="C579" s="13">
        <v>42952.61</v>
      </c>
      <c r="D579" s="54">
        <v>61</v>
      </c>
      <c r="F579" s="17">
        <v>45321</v>
      </c>
      <c r="G579" s="13">
        <v>42952.61</v>
      </c>
      <c r="H579" s="4">
        <v>42952.61</v>
      </c>
      <c r="I579" s="4">
        <v>42952.61</v>
      </c>
      <c r="J579" s="3">
        <v>61</v>
      </c>
      <c r="K579" s="3">
        <v>61</v>
      </c>
      <c r="L579" s="54">
        <v>61</v>
      </c>
    </row>
    <row r="580" spans="2:12" x14ac:dyDescent="0.25">
      <c r="B580" s="17">
        <v>45322</v>
      </c>
      <c r="C580" s="13">
        <v>42582.61</v>
      </c>
      <c r="D580" s="54">
        <v>60</v>
      </c>
      <c r="F580" s="17">
        <v>45322</v>
      </c>
      <c r="G580" s="13">
        <v>42582.61</v>
      </c>
      <c r="H580" s="4">
        <v>42582.61</v>
      </c>
      <c r="I580" s="4">
        <v>42582.61</v>
      </c>
      <c r="J580" s="3">
        <v>60</v>
      </c>
      <c r="K580" s="3">
        <v>60</v>
      </c>
      <c r="L580" s="54">
        <v>60</v>
      </c>
    </row>
    <row r="581" spans="2:12" x14ac:dyDescent="0.25">
      <c r="B581" s="17">
        <v>45323</v>
      </c>
      <c r="C581" s="13">
        <v>43075.77</v>
      </c>
      <c r="D581" s="54">
        <v>63</v>
      </c>
      <c r="F581" s="17">
        <v>45323</v>
      </c>
      <c r="G581" s="13">
        <v>43075.77</v>
      </c>
      <c r="H581" s="4">
        <v>43075.77</v>
      </c>
      <c r="I581" s="4">
        <v>43075.77</v>
      </c>
      <c r="J581" s="3">
        <v>63</v>
      </c>
      <c r="K581" s="3">
        <v>63</v>
      </c>
      <c r="L581" s="54">
        <v>63</v>
      </c>
    </row>
    <row r="582" spans="2:12" x14ac:dyDescent="0.25">
      <c r="B582" s="17">
        <v>45324</v>
      </c>
      <c r="C582" s="13">
        <v>43185.86</v>
      </c>
      <c r="D582" s="54">
        <v>63</v>
      </c>
      <c r="F582" s="17">
        <v>45324</v>
      </c>
      <c r="G582" s="13">
        <v>43185.86</v>
      </c>
      <c r="H582" s="4">
        <v>43185.86</v>
      </c>
      <c r="I582" s="4">
        <v>43185.86</v>
      </c>
      <c r="J582" s="3">
        <v>63</v>
      </c>
      <c r="K582" s="3">
        <v>63</v>
      </c>
      <c r="L582" s="54">
        <v>63</v>
      </c>
    </row>
    <row r="583" spans="2:12" x14ac:dyDescent="0.25">
      <c r="B583" s="17">
        <v>45325</v>
      </c>
      <c r="C583" s="13">
        <v>42992.25</v>
      </c>
      <c r="D583" s="54">
        <v>60</v>
      </c>
      <c r="F583" s="17">
        <v>45325</v>
      </c>
      <c r="G583" s="13">
        <v>42992.25</v>
      </c>
      <c r="H583" s="4">
        <v>42992.25</v>
      </c>
      <c r="I583" s="4">
        <v>42992.25</v>
      </c>
      <c r="J583" s="3">
        <v>60</v>
      </c>
      <c r="K583" s="3">
        <v>60</v>
      </c>
      <c r="L583" s="54">
        <v>60</v>
      </c>
    </row>
    <row r="584" spans="2:12" x14ac:dyDescent="0.25">
      <c r="B584" s="17">
        <v>45326</v>
      </c>
      <c r="C584" s="13">
        <v>42583.58</v>
      </c>
      <c r="D584" s="54">
        <v>60</v>
      </c>
      <c r="F584" s="17">
        <v>45326</v>
      </c>
      <c r="G584" s="13">
        <v>42583.58</v>
      </c>
      <c r="H584" s="4">
        <v>42583.58</v>
      </c>
      <c r="I584" s="4">
        <v>42583.58</v>
      </c>
      <c r="J584" s="3">
        <v>60</v>
      </c>
      <c r="K584" s="3">
        <v>60</v>
      </c>
      <c r="L584" s="54">
        <v>60</v>
      </c>
    </row>
    <row r="585" spans="2:12" x14ac:dyDescent="0.25">
      <c r="B585" s="17">
        <v>45327</v>
      </c>
      <c r="C585" s="13">
        <v>42658.67</v>
      </c>
      <c r="D585" s="54">
        <v>60</v>
      </c>
      <c r="F585" s="17">
        <v>45327</v>
      </c>
      <c r="G585" s="13">
        <v>42658.67</v>
      </c>
      <c r="H585" s="4">
        <v>42658.67</v>
      </c>
      <c r="I585" s="4">
        <v>42658.67</v>
      </c>
      <c r="J585" s="3">
        <v>60</v>
      </c>
      <c r="K585" s="3">
        <v>60</v>
      </c>
      <c r="L585" s="54">
        <v>60</v>
      </c>
    </row>
    <row r="586" spans="2:12" x14ac:dyDescent="0.25">
      <c r="B586" s="17">
        <v>45328</v>
      </c>
      <c r="C586" s="13">
        <v>43084.67</v>
      </c>
      <c r="D586" s="54">
        <v>64</v>
      </c>
      <c r="F586" s="17">
        <v>45328</v>
      </c>
      <c r="G586" s="13">
        <v>43084.67</v>
      </c>
      <c r="H586" s="4">
        <v>43084.67</v>
      </c>
      <c r="I586" s="4">
        <v>43084.67</v>
      </c>
      <c r="J586" s="3">
        <v>64</v>
      </c>
      <c r="K586" s="3">
        <v>64</v>
      </c>
      <c r="L586" s="54">
        <v>64</v>
      </c>
    </row>
    <row r="587" spans="2:12" x14ac:dyDescent="0.25">
      <c r="B587" s="17">
        <v>45329</v>
      </c>
      <c r="C587" s="13">
        <v>44318.22</v>
      </c>
      <c r="D587" s="54">
        <v>62</v>
      </c>
      <c r="F587" s="17">
        <v>45329</v>
      </c>
      <c r="G587" s="13">
        <v>44318.22</v>
      </c>
      <c r="H587" s="4">
        <v>44318.22</v>
      </c>
      <c r="I587" s="4">
        <v>44318.22</v>
      </c>
      <c r="J587" s="3">
        <v>62</v>
      </c>
      <c r="K587" s="3">
        <v>62</v>
      </c>
      <c r="L587" s="54">
        <v>62</v>
      </c>
    </row>
    <row r="588" spans="2:12" x14ac:dyDescent="0.25">
      <c r="B588" s="17">
        <v>45330</v>
      </c>
      <c r="C588" s="13">
        <v>45301.57</v>
      </c>
      <c r="D588" s="54">
        <v>66</v>
      </c>
      <c r="F588" s="17">
        <v>45330</v>
      </c>
      <c r="G588" s="13">
        <v>45301.57</v>
      </c>
      <c r="H588" s="4">
        <v>45301.57</v>
      </c>
      <c r="I588" s="4">
        <v>45301.57</v>
      </c>
      <c r="J588" s="3">
        <v>66</v>
      </c>
      <c r="K588" s="3">
        <v>66</v>
      </c>
      <c r="L588" s="54">
        <v>66</v>
      </c>
    </row>
    <row r="589" spans="2:12" x14ac:dyDescent="0.25">
      <c r="B589" s="17">
        <v>45331</v>
      </c>
      <c r="C589" s="13">
        <v>47147.199999999997</v>
      </c>
      <c r="D589" s="54">
        <v>72</v>
      </c>
      <c r="F589" s="17">
        <v>45331</v>
      </c>
      <c r="G589" s="13">
        <v>47147.199999999997</v>
      </c>
      <c r="H589" s="4">
        <v>47147.199999999997</v>
      </c>
      <c r="I589" s="4">
        <v>47147.199999999997</v>
      </c>
      <c r="J589" s="3">
        <v>72</v>
      </c>
      <c r="K589" s="3">
        <v>72</v>
      </c>
      <c r="L589" s="54">
        <v>72</v>
      </c>
    </row>
    <row r="590" spans="2:12" x14ac:dyDescent="0.25">
      <c r="B590" s="17">
        <v>45332</v>
      </c>
      <c r="C590" s="13">
        <v>47771.28</v>
      </c>
      <c r="D590" s="54">
        <v>74</v>
      </c>
      <c r="F590" s="17">
        <v>45332</v>
      </c>
      <c r="G590" s="13">
        <v>47771.28</v>
      </c>
      <c r="H590" s="4">
        <v>47771.28</v>
      </c>
      <c r="I590" s="4">
        <v>47771.28</v>
      </c>
      <c r="J590" s="3">
        <v>74</v>
      </c>
      <c r="K590" s="3">
        <v>74</v>
      </c>
      <c r="L590" s="54">
        <v>74</v>
      </c>
    </row>
    <row r="591" spans="2:12" x14ac:dyDescent="0.25">
      <c r="B591" s="17">
        <v>45333</v>
      </c>
      <c r="C591" s="13">
        <v>48293.919999999998</v>
      </c>
      <c r="D591" s="54">
        <v>71</v>
      </c>
      <c r="F591" s="17">
        <v>45333</v>
      </c>
      <c r="G591" s="13">
        <v>48293.919999999998</v>
      </c>
      <c r="H591" s="4">
        <v>48293.919999999998</v>
      </c>
      <c r="I591" s="4">
        <v>48293.919999999998</v>
      </c>
      <c r="J591" s="3">
        <v>71</v>
      </c>
      <c r="K591" s="3">
        <v>71</v>
      </c>
      <c r="L591" s="54">
        <v>71</v>
      </c>
    </row>
    <row r="592" spans="2:12" x14ac:dyDescent="0.25">
      <c r="B592" s="17">
        <v>45334</v>
      </c>
      <c r="C592" s="13">
        <v>49958.22</v>
      </c>
      <c r="D592" s="54">
        <v>70</v>
      </c>
      <c r="F592" s="17">
        <v>45334</v>
      </c>
      <c r="G592" s="13">
        <v>49958.22</v>
      </c>
      <c r="H592" s="4">
        <v>49958.22</v>
      </c>
      <c r="I592" s="4">
        <v>49958.22</v>
      </c>
      <c r="J592" s="3">
        <v>70</v>
      </c>
      <c r="K592" s="3">
        <v>70</v>
      </c>
      <c r="L592" s="54">
        <v>70</v>
      </c>
    </row>
    <row r="593" spans="2:12" x14ac:dyDescent="0.25">
      <c r="B593" s="17">
        <v>45335</v>
      </c>
      <c r="C593" s="13">
        <v>49742.44</v>
      </c>
      <c r="D593" s="54">
        <v>79</v>
      </c>
      <c r="F593" s="17">
        <v>45335</v>
      </c>
      <c r="G593" s="13">
        <v>49742.44</v>
      </c>
      <c r="H593" s="4">
        <v>49742.44</v>
      </c>
      <c r="I593" s="4">
        <v>49742.44</v>
      </c>
      <c r="J593" s="3">
        <v>79</v>
      </c>
      <c r="K593" s="3">
        <v>79</v>
      </c>
      <c r="L593" s="54">
        <v>79</v>
      </c>
    </row>
    <row r="594" spans="2:12" x14ac:dyDescent="0.25">
      <c r="B594" s="17">
        <v>45336</v>
      </c>
      <c r="C594" s="13">
        <v>51826.7</v>
      </c>
      <c r="D594" s="54">
        <v>74</v>
      </c>
      <c r="F594" s="17">
        <v>45336</v>
      </c>
      <c r="G594" s="13">
        <v>51826.7</v>
      </c>
      <c r="H594" s="4">
        <v>51826.7</v>
      </c>
      <c r="I594" s="4">
        <v>51826.7</v>
      </c>
      <c r="J594" s="3">
        <v>74</v>
      </c>
      <c r="K594" s="3">
        <v>74</v>
      </c>
      <c r="L594" s="54">
        <v>74</v>
      </c>
    </row>
    <row r="595" spans="2:12" x14ac:dyDescent="0.25">
      <c r="B595" s="17">
        <v>45337</v>
      </c>
      <c r="C595" s="13">
        <v>51938.55</v>
      </c>
      <c r="D595" s="54">
        <v>72</v>
      </c>
      <c r="F595" s="17">
        <v>45337</v>
      </c>
      <c r="G595" s="13">
        <v>51938.55</v>
      </c>
      <c r="H595" s="4">
        <v>51938.55</v>
      </c>
      <c r="I595" s="4">
        <v>51938.55</v>
      </c>
      <c r="J595" s="3">
        <v>72</v>
      </c>
      <c r="K595" s="3">
        <v>72</v>
      </c>
      <c r="L595" s="54">
        <v>72</v>
      </c>
    </row>
    <row r="596" spans="2:12" x14ac:dyDescent="0.25">
      <c r="B596" s="17">
        <v>45338</v>
      </c>
      <c r="C596" s="13">
        <v>52160.2</v>
      </c>
      <c r="D596" s="54">
        <v>72</v>
      </c>
      <c r="F596" s="17">
        <v>45338</v>
      </c>
      <c r="G596" s="13">
        <v>52160.2</v>
      </c>
      <c r="H596" s="4">
        <v>52160.2</v>
      </c>
      <c r="I596" s="4">
        <v>52160.2</v>
      </c>
      <c r="J596" s="3">
        <v>72</v>
      </c>
      <c r="K596" s="3">
        <v>72</v>
      </c>
      <c r="L596" s="54">
        <v>72</v>
      </c>
    </row>
    <row r="597" spans="2:12" x14ac:dyDescent="0.25">
      <c r="B597" s="17">
        <v>45339</v>
      </c>
      <c r="C597" s="13">
        <v>51663</v>
      </c>
      <c r="D597" s="54">
        <v>76</v>
      </c>
      <c r="F597" s="17">
        <v>45339</v>
      </c>
      <c r="G597" s="13">
        <v>51663</v>
      </c>
      <c r="H597" s="4">
        <v>51663</v>
      </c>
      <c r="I597" s="4">
        <v>51663</v>
      </c>
      <c r="J597" s="3">
        <v>76</v>
      </c>
      <c r="K597" s="3">
        <v>76</v>
      </c>
      <c r="L597" s="54">
        <v>76</v>
      </c>
    </row>
    <row r="598" spans="2:12" x14ac:dyDescent="0.25">
      <c r="B598" s="17">
        <v>45340</v>
      </c>
      <c r="C598" s="13">
        <v>52122.55</v>
      </c>
      <c r="D598" s="54">
        <v>72</v>
      </c>
      <c r="F598" s="17">
        <v>45340</v>
      </c>
      <c r="G598" s="13">
        <v>52122.55</v>
      </c>
      <c r="H598" s="4">
        <v>52122.55</v>
      </c>
      <c r="I598" s="4">
        <v>52122.55</v>
      </c>
      <c r="J598" s="3">
        <v>72</v>
      </c>
      <c r="K598" s="3">
        <v>72</v>
      </c>
      <c r="L598" s="54">
        <v>72</v>
      </c>
    </row>
    <row r="599" spans="2:12" x14ac:dyDescent="0.25">
      <c r="B599" s="17">
        <v>45341</v>
      </c>
      <c r="C599" s="13">
        <v>51779.14</v>
      </c>
      <c r="D599" s="54">
        <v>75</v>
      </c>
      <c r="F599" s="17">
        <v>45341</v>
      </c>
      <c r="G599" s="13">
        <v>51779.14</v>
      </c>
      <c r="H599" s="4">
        <v>51779.14</v>
      </c>
      <c r="I599" s="4">
        <v>51779.14</v>
      </c>
      <c r="J599" s="3">
        <v>75</v>
      </c>
      <c r="K599" s="3">
        <v>75</v>
      </c>
      <c r="L599" s="54">
        <v>75</v>
      </c>
    </row>
    <row r="600" spans="2:12" x14ac:dyDescent="0.25">
      <c r="B600" s="17">
        <v>45342</v>
      </c>
      <c r="C600" s="13">
        <v>52284.88</v>
      </c>
      <c r="D600" s="54">
        <v>72</v>
      </c>
      <c r="F600" s="17">
        <v>45342</v>
      </c>
      <c r="G600" s="13">
        <v>52284.88</v>
      </c>
      <c r="H600" s="4">
        <v>52284.88</v>
      </c>
      <c r="I600" s="4">
        <v>52284.88</v>
      </c>
      <c r="J600" s="3">
        <v>72</v>
      </c>
      <c r="K600" s="3">
        <v>72</v>
      </c>
      <c r="L600" s="54">
        <v>72</v>
      </c>
    </row>
    <row r="601" spans="2:12" x14ac:dyDescent="0.25">
      <c r="B601" s="17">
        <v>45343</v>
      </c>
      <c r="C601" s="13">
        <v>51839.18</v>
      </c>
      <c r="D601" s="54">
        <v>78</v>
      </c>
      <c r="F601" s="17">
        <v>45343</v>
      </c>
      <c r="G601" s="13">
        <v>51839.18</v>
      </c>
      <c r="H601" s="4">
        <v>51839.18</v>
      </c>
      <c r="I601" s="4">
        <v>51839.18</v>
      </c>
      <c r="J601" s="3">
        <v>78</v>
      </c>
      <c r="K601" s="3">
        <v>78</v>
      </c>
      <c r="L601" s="54">
        <v>78</v>
      </c>
    </row>
    <row r="602" spans="2:12" x14ac:dyDescent="0.25">
      <c r="B602" s="17">
        <v>45344</v>
      </c>
      <c r="C602" s="13">
        <v>51304.97</v>
      </c>
      <c r="D602" s="54">
        <v>74</v>
      </c>
      <c r="F602" s="17">
        <v>45344</v>
      </c>
      <c r="G602" s="13">
        <v>51304.97</v>
      </c>
      <c r="H602" s="4">
        <v>51304.97</v>
      </c>
      <c r="I602" s="4">
        <v>51304.97</v>
      </c>
      <c r="J602" s="3">
        <v>74</v>
      </c>
      <c r="K602" s="3">
        <v>74</v>
      </c>
      <c r="L602" s="54">
        <v>74</v>
      </c>
    </row>
    <row r="603" spans="2:12" ht="15.75" thickBot="1" x14ac:dyDescent="0.3">
      <c r="B603" s="18">
        <v>45345</v>
      </c>
      <c r="C603" s="13">
        <v>50731.95</v>
      </c>
      <c r="D603" s="54">
        <v>76</v>
      </c>
      <c r="F603" s="18">
        <v>45345</v>
      </c>
      <c r="G603" s="13">
        <v>50731.95</v>
      </c>
      <c r="H603" s="4">
        <v>50731.95</v>
      </c>
      <c r="I603" s="4">
        <v>50731.95</v>
      </c>
      <c r="J603" s="3">
        <v>76</v>
      </c>
      <c r="K603" s="3">
        <v>76</v>
      </c>
      <c r="L603" s="54">
        <v>76</v>
      </c>
    </row>
    <row r="604" spans="2:12" x14ac:dyDescent="0.25">
      <c r="B604" s="16">
        <v>45346</v>
      </c>
      <c r="C604" s="13">
        <v>51571.1</v>
      </c>
      <c r="D604" s="54">
        <v>72</v>
      </c>
      <c r="F604" s="16">
        <v>45346</v>
      </c>
      <c r="G604" s="13">
        <v>51571.1</v>
      </c>
      <c r="H604" s="4">
        <v>51571.1</v>
      </c>
      <c r="I604" s="4">
        <v>51571.1</v>
      </c>
      <c r="J604" s="3">
        <v>72</v>
      </c>
      <c r="K604" s="3">
        <v>72</v>
      </c>
      <c r="L604" s="54">
        <v>72</v>
      </c>
    </row>
    <row r="605" spans="2:12" x14ac:dyDescent="0.25">
      <c r="B605" s="17">
        <v>45347</v>
      </c>
      <c r="C605" s="13">
        <v>51733.24</v>
      </c>
      <c r="D605" s="54">
        <v>74</v>
      </c>
      <c r="F605" s="17">
        <v>45347</v>
      </c>
      <c r="G605" s="13">
        <v>51733.24</v>
      </c>
      <c r="H605" s="4">
        <v>51733.24</v>
      </c>
      <c r="I605" s="4">
        <v>51733.24</v>
      </c>
      <c r="J605" s="3">
        <v>74</v>
      </c>
      <c r="K605" s="3">
        <v>74</v>
      </c>
      <c r="L605" s="54">
        <v>74</v>
      </c>
    </row>
    <row r="606" spans="2:12" x14ac:dyDescent="0.25">
      <c r="B606" s="17">
        <v>45348</v>
      </c>
      <c r="C606" s="13">
        <v>54522.400000000001</v>
      </c>
      <c r="D606" s="54">
        <v>72</v>
      </c>
      <c r="F606" s="17">
        <v>45348</v>
      </c>
      <c r="G606" s="13">
        <v>54522.400000000001</v>
      </c>
      <c r="H606" s="4">
        <v>54522.400000000001</v>
      </c>
      <c r="I606" s="4">
        <v>54522.400000000001</v>
      </c>
      <c r="J606" s="3">
        <v>72</v>
      </c>
      <c r="K606" s="3">
        <v>72</v>
      </c>
      <c r="L606" s="54">
        <v>72</v>
      </c>
    </row>
    <row r="607" spans="2:12" x14ac:dyDescent="0.25">
      <c r="B607" s="17">
        <v>45349</v>
      </c>
      <c r="C607" s="13">
        <v>57085.37</v>
      </c>
      <c r="D607" s="54">
        <v>79</v>
      </c>
      <c r="F607" s="17">
        <v>45349</v>
      </c>
      <c r="G607" s="13">
        <v>57085.37</v>
      </c>
      <c r="H607" s="4">
        <v>57085.37</v>
      </c>
      <c r="I607" s="4">
        <v>57085.37</v>
      </c>
      <c r="J607" s="3">
        <v>79</v>
      </c>
      <c r="K607" s="3">
        <v>79</v>
      </c>
      <c r="L607" s="54">
        <v>79</v>
      </c>
    </row>
    <row r="608" spans="2:12" x14ac:dyDescent="0.25">
      <c r="B608" s="17">
        <v>45350</v>
      </c>
      <c r="C608" s="13">
        <v>62504.79</v>
      </c>
      <c r="D608" s="54">
        <v>82</v>
      </c>
      <c r="F608" s="17">
        <v>45350</v>
      </c>
      <c r="G608" s="13">
        <v>62504.79</v>
      </c>
      <c r="H608" s="4">
        <v>62504.79</v>
      </c>
      <c r="I608" s="4">
        <v>62504.79</v>
      </c>
      <c r="J608" s="3">
        <v>82</v>
      </c>
      <c r="K608" s="3">
        <v>82</v>
      </c>
      <c r="L608" s="54">
        <v>82</v>
      </c>
    </row>
    <row r="609" spans="2:12" x14ac:dyDescent="0.25">
      <c r="B609" s="17">
        <v>45351</v>
      </c>
      <c r="C609" s="13">
        <v>61198.38</v>
      </c>
      <c r="D609" s="54">
        <v>80</v>
      </c>
      <c r="F609" s="17">
        <v>45351</v>
      </c>
      <c r="G609" s="13">
        <v>61198.38</v>
      </c>
      <c r="H609" s="4">
        <v>61198.38</v>
      </c>
      <c r="I609" s="4">
        <v>61198.38</v>
      </c>
      <c r="J609" s="3">
        <v>80</v>
      </c>
      <c r="K609" s="3">
        <v>80</v>
      </c>
      <c r="L609" s="54">
        <v>80</v>
      </c>
    </row>
    <row r="610" spans="2:12" x14ac:dyDescent="0.25">
      <c r="B610" s="17">
        <v>45352</v>
      </c>
      <c r="C610" s="13">
        <v>62440.63</v>
      </c>
      <c r="D610" s="54">
        <v>80</v>
      </c>
      <c r="F610" s="17">
        <v>45352</v>
      </c>
      <c r="G610" s="13">
        <v>62440.63</v>
      </c>
      <c r="H610" s="4">
        <v>62440.63</v>
      </c>
      <c r="I610" s="4">
        <v>62440.63</v>
      </c>
      <c r="J610" s="3">
        <v>80</v>
      </c>
      <c r="K610" s="3">
        <v>80</v>
      </c>
      <c r="L610" s="54">
        <v>80</v>
      </c>
    </row>
    <row r="611" spans="2:12" x14ac:dyDescent="0.25">
      <c r="B611" s="17">
        <v>45353</v>
      </c>
      <c r="C611" s="13">
        <v>62029.85</v>
      </c>
      <c r="D611" s="54">
        <v>80</v>
      </c>
      <c r="F611" s="17">
        <v>45353</v>
      </c>
      <c r="G611" s="13">
        <v>62029.85</v>
      </c>
      <c r="H611" s="4">
        <v>62029.85</v>
      </c>
      <c r="I611" s="4">
        <v>62029.85</v>
      </c>
      <c r="J611" s="3">
        <v>80</v>
      </c>
      <c r="K611" s="3">
        <v>80</v>
      </c>
      <c r="L611" s="54">
        <v>80</v>
      </c>
    </row>
    <row r="612" spans="2:12" x14ac:dyDescent="0.25">
      <c r="B612" s="17">
        <v>45354</v>
      </c>
      <c r="C612" s="13">
        <v>63167.37</v>
      </c>
      <c r="D612" s="54">
        <v>83</v>
      </c>
      <c r="F612" s="17">
        <v>45354</v>
      </c>
      <c r="G612" s="13">
        <v>63167.37</v>
      </c>
      <c r="H612" s="4">
        <v>63167.37</v>
      </c>
      <c r="I612" s="4">
        <v>63167.37</v>
      </c>
      <c r="J612" s="3">
        <v>83</v>
      </c>
      <c r="K612" s="3">
        <v>83</v>
      </c>
      <c r="L612" s="54">
        <v>83</v>
      </c>
    </row>
    <row r="613" spans="2:12" x14ac:dyDescent="0.25">
      <c r="B613" s="17">
        <v>45355</v>
      </c>
      <c r="C613" s="13">
        <v>68330.41</v>
      </c>
      <c r="D613" s="54">
        <v>82</v>
      </c>
      <c r="F613" s="17">
        <v>45355</v>
      </c>
      <c r="G613" s="13">
        <v>68330.41</v>
      </c>
      <c r="H613" s="4">
        <v>68330.41</v>
      </c>
      <c r="I613" s="4">
        <v>68330.41</v>
      </c>
      <c r="J613" s="3">
        <v>82</v>
      </c>
      <c r="K613" s="3">
        <v>82</v>
      </c>
      <c r="L613" s="54">
        <v>82</v>
      </c>
    </row>
    <row r="614" spans="2:12" x14ac:dyDescent="0.25">
      <c r="B614" s="17">
        <v>45356</v>
      </c>
      <c r="C614" s="13">
        <v>63801.2</v>
      </c>
      <c r="D614" s="54">
        <v>90</v>
      </c>
      <c r="F614" s="17">
        <v>45356</v>
      </c>
      <c r="G614" s="13">
        <v>63801.2</v>
      </c>
      <c r="H614" s="4">
        <v>63801.2</v>
      </c>
      <c r="I614" s="4">
        <v>63801.2</v>
      </c>
      <c r="J614" s="3">
        <v>90</v>
      </c>
      <c r="K614" s="3">
        <v>90</v>
      </c>
      <c r="L614" s="54">
        <v>90</v>
      </c>
    </row>
    <row r="615" spans="2:12" x14ac:dyDescent="0.25">
      <c r="B615" s="17">
        <v>45357</v>
      </c>
      <c r="C615" s="13">
        <v>66106.8</v>
      </c>
      <c r="D615" s="54">
        <v>75</v>
      </c>
      <c r="F615" s="17">
        <v>45357</v>
      </c>
      <c r="G615" s="13">
        <v>66106.8</v>
      </c>
      <c r="H615" s="4">
        <v>66106.8</v>
      </c>
      <c r="I615" s="4">
        <v>66106.8</v>
      </c>
      <c r="J615" s="3">
        <v>75</v>
      </c>
      <c r="K615" s="3">
        <v>75</v>
      </c>
      <c r="L615" s="54">
        <v>75</v>
      </c>
    </row>
    <row r="616" spans="2:12" x14ac:dyDescent="0.25">
      <c r="B616" s="17">
        <v>45358</v>
      </c>
      <c r="C616" s="13">
        <v>66925.48</v>
      </c>
      <c r="D616" s="54">
        <v>82</v>
      </c>
      <c r="F616" s="17">
        <v>45358</v>
      </c>
      <c r="G616" s="13">
        <v>66925.48</v>
      </c>
      <c r="H616" s="4">
        <v>66925.48</v>
      </c>
      <c r="I616" s="4">
        <v>66925.48</v>
      </c>
      <c r="J616" s="3">
        <v>82</v>
      </c>
      <c r="K616" s="3">
        <v>82</v>
      </c>
      <c r="L616" s="54">
        <v>82</v>
      </c>
    </row>
    <row r="617" spans="2:12" x14ac:dyDescent="0.25">
      <c r="B617" s="17">
        <v>45359</v>
      </c>
      <c r="C617" s="13">
        <v>68300.09</v>
      </c>
      <c r="D617" s="54">
        <v>81</v>
      </c>
      <c r="F617" s="17">
        <v>45359</v>
      </c>
      <c r="G617" s="13">
        <v>68300.09</v>
      </c>
      <c r="H617" s="4">
        <v>68300.09</v>
      </c>
      <c r="I617" s="4">
        <v>68300.09</v>
      </c>
      <c r="J617" s="3">
        <v>81</v>
      </c>
      <c r="K617" s="3">
        <v>81</v>
      </c>
      <c r="L617" s="54">
        <v>81</v>
      </c>
    </row>
    <row r="618" spans="2:12" x14ac:dyDescent="0.25">
      <c r="B618" s="17">
        <v>45360</v>
      </c>
      <c r="C618" s="13">
        <v>68498.880000000005</v>
      </c>
      <c r="D618" s="54">
        <v>84</v>
      </c>
      <c r="F618" s="17">
        <v>45360</v>
      </c>
      <c r="G618" s="13">
        <v>68498.880000000005</v>
      </c>
      <c r="H618" s="4">
        <v>68498.880000000005</v>
      </c>
      <c r="I618" s="4">
        <v>68498.880000000005</v>
      </c>
      <c r="J618" s="3">
        <v>84</v>
      </c>
      <c r="K618" s="3">
        <v>84</v>
      </c>
      <c r="L618" s="54">
        <v>84</v>
      </c>
    </row>
    <row r="619" spans="2:12" x14ac:dyDescent="0.25">
      <c r="B619" s="17">
        <v>45361</v>
      </c>
      <c r="C619" s="13">
        <v>69019.789999999994</v>
      </c>
      <c r="D619" s="54">
        <v>79</v>
      </c>
      <c r="F619" s="17">
        <v>45361</v>
      </c>
      <c r="G619" s="13">
        <v>69019.789999999994</v>
      </c>
      <c r="H619" s="4">
        <v>69019.789999999994</v>
      </c>
      <c r="I619" s="4">
        <v>69019.789999999994</v>
      </c>
      <c r="J619" s="3">
        <v>79</v>
      </c>
      <c r="K619" s="3">
        <v>79</v>
      </c>
      <c r="L619" s="54">
        <v>79</v>
      </c>
    </row>
    <row r="620" spans="2:12" x14ac:dyDescent="0.25">
      <c r="B620" s="17">
        <v>45362</v>
      </c>
      <c r="C620" s="13">
        <v>72123.91</v>
      </c>
      <c r="D620" s="54">
        <v>82</v>
      </c>
      <c r="F620" s="17">
        <v>45362</v>
      </c>
      <c r="G620" s="13">
        <v>72123.91</v>
      </c>
      <c r="H620" s="4">
        <v>72123.91</v>
      </c>
      <c r="I620" s="4">
        <v>72123.91</v>
      </c>
      <c r="J620" s="3">
        <v>82</v>
      </c>
      <c r="K620" s="3">
        <v>82</v>
      </c>
      <c r="L620" s="54">
        <v>82</v>
      </c>
    </row>
    <row r="621" spans="2:12" x14ac:dyDescent="0.25">
      <c r="B621" s="17">
        <v>45363</v>
      </c>
      <c r="C621" s="13">
        <v>71481.289999999994</v>
      </c>
      <c r="D621" s="54">
        <v>81</v>
      </c>
      <c r="F621" s="17">
        <v>45363</v>
      </c>
      <c r="G621" s="13">
        <v>71481.289999999994</v>
      </c>
      <c r="H621" s="4">
        <v>71481.289999999994</v>
      </c>
      <c r="I621" s="4">
        <v>71481.289999999994</v>
      </c>
      <c r="J621" s="3">
        <v>81</v>
      </c>
      <c r="K621" s="3">
        <v>81</v>
      </c>
      <c r="L621" s="54">
        <v>81</v>
      </c>
    </row>
    <row r="622" spans="2:12" x14ac:dyDescent="0.25">
      <c r="B622" s="17">
        <v>45364</v>
      </c>
      <c r="C622" s="13">
        <v>73083.5</v>
      </c>
      <c r="D622" s="54">
        <v>81</v>
      </c>
      <c r="F622" s="17">
        <v>45364</v>
      </c>
      <c r="G622" s="13">
        <v>73083.5</v>
      </c>
      <c r="H622" s="4">
        <v>73083.5</v>
      </c>
      <c r="I622" s="4">
        <v>73083.5</v>
      </c>
      <c r="J622" s="3">
        <v>81</v>
      </c>
      <c r="K622" s="3">
        <v>81</v>
      </c>
      <c r="L622" s="54">
        <v>81</v>
      </c>
    </row>
    <row r="623" spans="2:12" x14ac:dyDescent="0.25">
      <c r="B623" s="17">
        <v>45365</v>
      </c>
      <c r="C623" s="13">
        <v>71396.59</v>
      </c>
      <c r="D623" s="54">
        <v>88</v>
      </c>
      <c r="F623" s="17">
        <v>45365</v>
      </c>
      <c r="G623" s="13">
        <v>71396.59</v>
      </c>
      <c r="H623" s="4">
        <v>71396.59</v>
      </c>
      <c r="I623" s="4">
        <v>71396.59</v>
      </c>
      <c r="J623" s="3">
        <v>88</v>
      </c>
      <c r="K623" s="3">
        <v>88</v>
      </c>
      <c r="L623" s="54">
        <v>88</v>
      </c>
    </row>
    <row r="624" spans="2:12" x14ac:dyDescent="0.25">
      <c r="B624" s="17">
        <v>45366</v>
      </c>
      <c r="C624" s="13">
        <v>69403.77</v>
      </c>
      <c r="D624" s="54">
        <v>83</v>
      </c>
      <c r="F624" s="17">
        <v>45366</v>
      </c>
      <c r="G624" s="13">
        <v>69403.77</v>
      </c>
      <c r="H624" s="4">
        <v>69403.77</v>
      </c>
      <c r="I624" s="4">
        <v>69403.77</v>
      </c>
      <c r="J624" s="3">
        <v>83</v>
      </c>
      <c r="K624" s="3">
        <v>83</v>
      </c>
      <c r="L624" s="54">
        <v>83</v>
      </c>
    </row>
    <row r="625" spans="2:12" x14ac:dyDescent="0.25">
      <c r="B625" s="17">
        <v>45367</v>
      </c>
      <c r="C625" s="13">
        <v>65315.12</v>
      </c>
      <c r="D625" s="54">
        <v>81</v>
      </c>
      <c r="F625" s="17">
        <v>45367</v>
      </c>
      <c r="G625" s="13">
        <v>65315.12</v>
      </c>
      <c r="H625" s="4">
        <v>65315.12</v>
      </c>
      <c r="I625" s="4">
        <v>65315.12</v>
      </c>
      <c r="J625" s="3">
        <v>81</v>
      </c>
      <c r="K625" s="3">
        <v>81</v>
      </c>
      <c r="L625" s="54">
        <v>81</v>
      </c>
    </row>
    <row r="626" spans="2:12" x14ac:dyDescent="0.25">
      <c r="B626" s="17">
        <v>45368</v>
      </c>
      <c r="C626" s="13">
        <v>68390.63</v>
      </c>
      <c r="D626" s="54">
        <v>79</v>
      </c>
      <c r="F626" s="17">
        <v>45368</v>
      </c>
      <c r="G626" s="13">
        <v>68390.63</v>
      </c>
      <c r="H626" s="4">
        <v>68390.63</v>
      </c>
      <c r="I626" s="4">
        <v>68390.63</v>
      </c>
      <c r="J626" s="3">
        <v>79</v>
      </c>
      <c r="K626" s="3">
        <v>79</v>
      </c>
      <c r="L626" s="54">
        <v>79</v>
      </c>
    </row>
    <row r="627" spans="2:12" x14ac:dyDescent="0.25">
      <c r="B627" s="17">
        <v>45369</v>
      </c>
      <c r="C627" s="13">
        <v>67548.59</v>
      </c>
      <c r="D627" s="54">
        <v>77</v>
      </c>
      <c r="F627" s="17">
        <v>45369</v>
      </c>
      <c r="G627" s="13">
        <v>67548.59</v>
      </c>
      <c r="H627" s="4">
        <v>67548.59</v>
      </c>
      <c r="I627" s="4">
        <v>67548.59</v>
      </c>
      <c r="J627" s="3">
        <v>77</v>
      </c>
      <c r="K627" s="3">
        <v>77</v>
      </c>
      <c r="L627" s="54">
        <v>77</v>
      </c>
    </row>
    <row r="628" spans="2:12" x14ac:dyDescent="0.25">
      <c r="B628" s="17">
        <v>45370</v>
      </c>
      <c r="C628" s="13">
        <v>61912.77</v>
      </c>
      <c r="D628" s="54">
        <v>79</v>
      </c>
      <c r="F628" s="17">
        <v>45370</v>
      </c>
      <c r="G628" s="13">
        <v>61912.77</v>
      </c>
      <c r="H628" s="4">
        <v>61912.77</v>
      </c>
      <c r="I628" s="4">
        <v>61912.77</v>
      </c>
      <c r="J628" s="3">
        <v>79</v>
      </c>
      <c r="K628" s="3">
        <v>79</v>
      </c>
      <c r="L628" s="54">
        <v>79</v>
      </c>
    </row>
    <row r="629" spans="2:12" x14ac:dyDescent="0.25">
      <c r="B629" s="17">
        <v>45371</v>
      </c>
      <c r="C629" s="13">
        <v>67913.67</v>
      </c>
      <c r="D629" s="54">
        <v>74</v>
      </c>
      <c r="F629" s="17">
        <v>45371</v>
      </c>
      <c r="G629" s="13">
        <v>67913.67</v>
      </c>
      <c r="H629" s="4">
        <v>67913.67</v>
      </c>
      <c r="I629" s="4">
        <v>67913.67</v>
      </c>
      <c r="J629" s="3">
        <v>74</v>
      </c>
      <c r="K629" s="3">
        <v>74</v>
      </c>
      <c r="L629" s="54">
        <v>74</v>
      </c>
    </row>
    <row r="630" spans="2:12" x14ac:dyDescent="0.25">
      <c r="B630" s="17">
        <v>45372</v>
      </c>
      <c r="C630" s="13">
        <v>65491.39</v>
      </c>
      <c r="D630" s="54">
        <v>78</v>
      </c>
      <c r="F630" s="17">
        <v>45372</v>
      </c>
      <c r="G630" s="13">
        <v>65491.39</v>
      </c>
      <c r="H630" s="4">
        <v>65491.39</v>
      </c>
      <c r="I630" s="4">
        <v>65491.39</v>
      </c>
      <c r="J630" s="3">
        <v>78</v>
      </c>
      <c r="K630" s="3">
        <v>78</v>
      </c>
      <c r="L630" s="54">
        <v>78</v>
      </c>
    </row>
    <row r="631" spans="2:12" x14ac:dyDescent="0.25">
      <c r="B631" s="17">
        <v>45373</v>
      </c>
      <c r="C631" s="13">
        <v>63778.76</v>
      </c>
      <c r="D631" s="54">
        <v>75</v>
      </c>
      <c r="F631" s="17">
        <v>45373</v>
      </c>
      <c r="G631" s="13">
        <v>63778.76</v>
      </c>
      <c r="H631" s="4">
        <v>63778.76</v>
      </c>
      <c r="I631" s="4">
        <v>63778.76</v>
      </c>
      <c r="J631" s="3">
        <v>75</v>
      </c>
      <c r="K631" s="3">
        <v>75</v>
      </c>
      <c r="L631" s="54">
        <v>75</v>
      </c>
    </row>
    <row r="632" spans="2:12" x14ac:dyDescent="0.25">
      <c r="B632" s="17">
        <v>45374</v>
      </c>
      <c r="C632" s="13">
        <v>64062.2</v>
      </c>
      <c r="D632" s="54">
        <v>73</v>
      </c>
      <c r="F632" s="17">
        <v>45374</v>
      </c>
      <c r="G632" s="13">
        <v>64062.2</v>
      </c>
      <c r="H632" s="4">
        <v>64062.2</v>
      </c>
      <c r="I632" s="4">
        <v>64062.2</v>
      </c>
      <c r="J632" s="3">
        <v>73</v>
      </c>
      <c r="K632" s="3">
        <v>73</v>
      </c>
      <c r="L632" s="54">
        <v>73</v>
      </c>
    </row>
    <row r="633" spans="2:12" x14ac:dyDescent="0.25">
      <c r="B633" s="17">
        <v>45375</v>
      </c>
      <c r="C633" s="13">
        <v>67234.17</v>
      </c>
      <c r="D633" s="54">
        <v>74</v>
      </c>
      <c r="F633" s="17">
        <v>45375</v>
      </c>
      <c r="G633" s="13">
        <v>67234.17</v>
      </c>
      <c r="H633" s="4">
        <v>67234.17</v>
      </c>
      <c r="I633" s="4">
        <v>67234.17</v>
      </c>
      <c r="J633" s="3">
        <v>74</v>
      </c>
      <c r="K633" s="3">
        <v>74</v>
      </c>
      <c r="L633" s="54">
        <v>74</v>
      </c>
    </row>
    <row r="634" spans="2:12" x14ac:dyDescent="0.25">
      <c r="B634" s="17">
        <v>45376</v>
      </c>
      <c r="C634" s="13">
        <v>69958.81</v>
      </c>
      <c r="D634" s="54">
        <v>75</v>
      </c>
      <c r="F634" s="17">
        <v>45376</v>
      </c>
      <c r="G634" s="13">
        <v>69958.81</v>
      </c>
      <c r="H634" s="4">
        <v>69958.81</v>
      </c>
      <c r="I634" s="4">
        <v>69958.81</v>
      </c>
      <c r="J634" s="3">
        <v>75</v>
      </c>
      <c r="K634" s="3">
        <v>75</v>
      </c>
      <c r="L634" s="54">
        <v>75</v>
      </c>
    </row>
    <row r="635" spans="2:12" x14ac:dyDescent="0.25">
      <c r="B635" s="17">
        <v>45377</v>
      </c>
      <c r="C635" s="13">
        <v>69987.839999999997</v>
      </c>
      <c r="D635" s="54">
        <v>81</v>
      </c>
      <c r="F635" s="17">
        <v>45377</v>
      </c>
      <c r="G635" s="13">
        <v>69987.839999999997</v>
      </c>
      <c r="H635" s="4">
        <v>69987.839999999997</v>
      </c>
      <c r="I635" s="4">
        <v>69987.839999999997</v>
      </c>
      <c r="J635" s="3">
        <v>81</v>
      </c>
      <c r="K635" s="3">
        <v>81</v>
      </c>
      <c r="L635" s="54">
        <v>81</v>
      </c>
    </row>
    <row r="636" spans="2:12" x14ac:dyDescent="0.25">
      <c r="B636" s="17">
        <v>45378</v>
      </c>
      <c r="C636" s="13">
        <v>69455.34</v>
      </c>
      <c r="D636" s="54">
        <v>83</v>
      </c>
      <c r="F636" s="17">
        <v>45378</v>
      </c>
      <c r="G636" s="13">
        <v>69455.34</v>
      </c>
      <c r="H636" s="4">
        <v>69455.34</v>
      </c>
      <c r="I636" s="4">
        <v>69455.34</v>
      </c>
      <c r="J636" s="3">
        <v>83</v>
      </c>
      <c r="K636" s="3">
        <v>83</v>
      </c>
      <c r="L636" s="54">
        <v>83</v>
      </c>
    </row>
    <row r="637" spans="2:12" x14ac:dyDescent="0.25">
      <c r="B637" s="17">
        <v>45379</v>
      </c>
      <c r="C637" s="13">
        <v>70744.95</v>
      </c>
      <c r="D637" s="54">
        <v>80</v>
      </c>
      <c r="F637" s="17">
        <v>45379</v>
      </c>
      <c r="G637" s="13">
        <v>70744.95</v>
      </c>
      <c r="H637" s="4">
        <v>70744.95</v>
      </c>
      <c r="I637" s="4">
        <v>70744.95</v>
      </c>
      <c r="J637" s="3">
        <v>80</v>
      </c>
      <c r="K637" s="3">
        <v>80</v>
      </c>
      <c r="L637" s="54">
        <v>80</v>
      </c>
    </row>
    <row r="638" spans="2:12" x14ac:dyDescent="0.25">
      <c r="B638" s="17">
        <v>45380</v>
      </c>
      <c r="C638" s="13">
        <v>69892.83</v>
      </c>
      <c r="D638" s="54">
        <v>79</v>
      </c>
      <c r="F638" s="17">
        <v>45380</v>
      </c>
      <c r="G638" s="13">
        <v>69892.83</v>
      </c>
      <c r="H638" s="4">
        <v>69892.83</v>
      </c>
      <c r="I638" s="4">
        <v>69892.83</v>
      </c>
      <c r="J638" s="3">
        <v>79</v>
      </c>
      <c r="K638" s="3">
        <v>79</v>
      </c>
      <c r="L638" s="54">
        <v>79</v>
      </c>
    </row>
    <row r="639" spans="2:12" x14ac:dyDescent="0.25">
      <c r="B639" s="17">
        <v>45381</v>
      </c>
      <c r="C639" s="13">
        <v>69645.3</v>
      </c>
      <c r="D639" s="54">
        <v>75</v>
      </c>
      <c r="F639" s="17">
        <v>45381</v>
      </c>
      <c r="G639" s="13">
        <v>69645.3</v>
      </c>
      <c r="H639" s="4">
        <v>69645.3</v>
      </c>
      <c r="I639" s="4">
        <v>69645.3</v>
      </c>
      <c r="J639" s="3">
        <v>75</v>
      </c>
      <c r="K639" s="3">
        <v>75</v>
      </c>
      <c r="L639" s="54">
        <v>75</v>
      </c>
    </row>
    <row r="640" spans="2:12" x14ac:dyDescent="0.25">
      <c r="B640" s="17">
        <v>45382</v>
      </c>
      <c r="C640" s="13">
        <v>71333.649999999994</v>
      </c>
      <c r="D640" s="54">
        <v>75</v>
      </c>
      <c r="F640" s="17">
        <v>45382</v>
      </c>
      <c r="G640" s="13">
        <v>71333.649999999994</v>
      </c>
      <c r="H640" s="4">
        <v>71333.649999999994</v>
      </c>
      <c r="I640" s="4">
        <v>71333.649999999994</v>
      </c>
      <c r="J640" s="3">
        <v>75</v>
      </c>
      <c r="K640" s="3">
        <v>75</v>
      </c>
      <c r="L640" s="54">
        <v>75</v>
      </c>
    </row>
    <row r="641" spans="2:12" x14ac:dyDescent="0.25">
      <c r="B641" s="17">
        <v>45383</v>
      </c>
      <c r="C641" s="13">
        <v>69702.149999999994</v>
      </c>
      <c r="D641" s="54">
        <v>79</v>
      </c>
      <c r="F641" s="17">
        <v>45383</v>
      </c>
      <c r="G641" s="13">
        <v>69702.149999999994</v>
      </c>
      <c r="H641" s="4">
        <v>69702.149999999994</v>
      </c>
      <c r="I641" s="4">
        <v>69702.149999999994</v>
      </c>
      <c r="J641" s="3">
        <v>79</v>
      </c>
      <c r="K641" s="3">
        <v>79</v>
      </c>
      <c r="L641" s="54">
        <v>79</v>
      </c>
    </row>
    <row r="642" spans="2:12" x14ac:dyDescent="0.25">
      <c r="B642" s="17">
        <v>45384</v>
      </c>
      <c r="C642" s="13">
        <v>65446.97</v>
      </c>
      <c r="D642" s="54">
        <v>79</v>
      </c>
      <c r="F642" s="17">
        <v>45384</v>
      </c>
      <c r="G642" s="13">
        <v>65446.97</v>
      </c>
      <c r="H642" s="4">
        <v>65446.97</v>
      </c>
      <c r="I642" s="4">
        <v>65446.97</v>
      </c>
      <c r="J642" s="3">
        <v>79</v>
      </c>
      <c r="K642" s="3">
        <v>79</v>
      </c>
      <c r="L642" s="54">
        <v>79</v>
      </c>
    </row>
    <row r="643" spans="2:12" x14ac:dyDescent="0.25">
      <c r="B643" s="17">
        <v>45385</v>
      </c>
      <c r="C643" s="13">
        <v>65980.81</v>
      </c>
      <c r="D643" s="54">
        <v>71</v>
      </c>
      <c r="F643" s="17">
        <v>45385</v>
      </c>
      <c r="G643" s="13">
        <v>65980.81</v>
      </c>
      <c r="H643" s="4">
        <v>65980.81</v>
      </c>
      <c r="I643" s="4">
        <v>65980.81</v>
      </c>
      <c r="J643" s="3">
        <v>71</v>
      </c>
      <c r="K643" s="3">
        <v>71</v>
      </c>
      <c r="L643" s="54">
        <v>71</v>
      </c>
    </row>
    <row r="644" spans="2:12" x14ac:dyDescent="0.25">
      <c r="B644" s="17">
        <v>45386</v>
      </c>
      <c r="C644" s="13">
        <v>68508.84</v>
      </c>
      <c r="D644" s="54">
        <v>70</v>
      </c>
      <c r="F644" s="17">
        <v>45386</v>
      </c>
      <c r="G644" s="13">
        <v>68508.84</v>
      </c>
      <c r="H644" s="4">
        <v>68508.84</v>
      </c>
      <c r="I644" s="4">
        <v>68508.84</v>
      </c>
      <c r="J644" s="3">
        <v>70</v>
      </c>
      <c r="K644" s="3">
        <v>70</v>
      </c>
      <c r="L644" s="54">
        <v>70</v>
      </c>
    </row>
    <row r="645" spans="2:12" x14ac:dyDescent="0.25">
      <c r="B645" s="17">
        <v>45387</v>
      </c>
      <c r="C645" s="13">
        <v>67837.64</v>
      </c>
      <c r="D645" s="54">
        <v>79</v>
      </c>
      <c r="F645" s="17">
        <v>45387</v>
      </c>
      <c r="G645" s="13">
        <v>67837.64</v>
      </c>
      <c r="H645" s="4">
        <v>67837.64</v>
      </c>
      <c r="I645" s="4">
        <v>67837.64</v>
      </c>
      <c r="J645" s="3">
        <v>79</v>
      </c>
      <c r="K645" s="3">
        <v>79</v>
      </c>
      <c r="L645" s="54">
        <v>79</v>
      </c>
    </row>
    <row r="646" spans="2:12" x14ac:dyDescent="0.25">
      <c r="B646" s="17">
        <v>45388</v>
      </c>
      <c r="C646" s="13">
        <v>68896.11</v>
      </c>
      <c r="D646" s="54">
        <v>75</v>
      </c>
      <c r="F646" s="17">
        <v>45388</v>
      </c>
      <c r="G646" s="13">
        <v>68896.11</v>
      </c>
      <c r="H646" s="4">
        <v>68896.11</v>
      </c>
      <c r="I646" s="4">
        <v>68896.11</v>
      </c>
      <c r="J646" s="3">
        <v>75</v>
      </c>
      <c r="K646" s="3">
        <v>75</v>
      </c>
      <c r="L646" s="54">
        <v>75</v>
      </c>
    </row>
    <row r="647" spans="2:12" x14ac:dyDescent="0.25">
      <c r="B647" s="17">
        <v>45389</v>
      </c>
      <c r="C647" s="13">
        <v>69362.55</v>
      </c>
      <c r="D647" s="54">
        <v>78</v>
      </c>
      <c r="F647" s="17">
        <v>45389</v>
      </c>
      <c r="G647" s="13">
        <v>69362.55</v>
      </c>
      <c r="H647" s="4">
        <v>69362.55</v>
      </c>
      <c r="I647" s="4">
        <v>69362.55</v>
      </c>
      <c r="J647" s="3">
        <v>78</v>
      </c>
      <c r="K647" s="3">
        <v>78</v>
      </c>
      <c r="L647" s="54">
        <v>78</v>
      </c>
    </row>
    <row r="648" spans="2:12" x14ac:dyDescent="0.25">
      <c r="B648" s="17">
        <v>45390</v>
      </c>
      <c r="C648" s="13">
        <v>71631.360000000001</v>
      </c>
      <c r="D648" s="54">
        <v>76</v>
      </c>
      <c r="F648" s="17">
        <v>45390</v>
      </c>
      <c r="G648" s="13">
        <v>71631.360000000001</v>
      </c>
      <c r="H648" s="4">
        <v>71631.360000000001</v>
      </c>
      <c r="I648" s="4">
        <v>71631.360000000001</v>
      </c>
      <c r="J648" s="3">
        <v>76</v>
      </c>
      <c r="K648" s="3">
        <v>76</v>
      </c>
      <c r="L648" s="54">
        <v>76</v>
      </c>
    </row>
    <row r="649" spans="2:12" x14ac:dyDescent="0.25">
      <c r="B649" s="17">
        <v>45391</v>
      </c>
      <c r="C649" s="13">
        <v>69139.02</v>
      </c>
      <c r="D649" s="54">
        <v>80</v>
      </c>
      <c r="F649" s="17">
        <v>45391</v>
      </c>
      <c r="G649" s="13">
        <v>69139.02</v>
      </c>
      <c r="H649" s="4">
        <v>69139.02</v>
      </c>
      <c r="I649" s="4">
        <v>69139.02</v>
      </c>
      <c r="J649" s="3">
        <v>80</v>
      </c>
      <c r="K649" s="3">
        <v>80</v>
      </c>
      <c r="L649" s="54">
        <v>80</v>
      </c>
    </row>
    <row r="650" spans="2:12" x14ac:dyDescent="0.25">
      <c r="B650" s="17">
        <v>45392</v>
      </c>
      <c r="C650" s="13">
        <v>70587.88</v>
      </c>
      <c r="D650" s="54">
        <v>78</v>
      </c>
      <c r="F650" s="17">
        <v>45392</v>
      </c>
      <c r="G650" s="13">
        <v>70587.88</v>
      </c>
      <c r="H650" s="4">
        <v>70587.88</v>
      </c>
      <c r="I650" s="4">
        <v>70587.88</v>
      </c>
      <c r="J650" s="3">
        <v>78</v>
      </c>
      <c r="K650" s="3">
        <v>78</v>
      </c>
      <c r="L650" s="54">
        <v>78</v>
      </c>
    </row>
    <row r="651" spans="2:12" x14ac:dyDescent="0.25">
      <c r="B651" s="17">
        <v>45393</v>
      </c>
      <c r="C651" s="13">
        <v>70060.61</v>
      </c>
      <c r="D651" s="54">
        <v>76</v>
      </c>
      <c r="F651" s="17">
        <v>45393</v>
      </c>
      <c r="G651" s="13">
        <v>70060.61</v>
      </c>
      <c r="H651" s="4">
        <v>70060.61</v>
      </c>
      <c r="I651" s="4">
        <v>70060.61</v>
      </c>
      <c r="J651" s="3">
        <v>76</v>
      </c>
      <c r="K651" s="3">
        <v>76</v>
      </c>
      <c r="L651" s="54">
        <v>76</v>
      </c>
    </row>
    <row r="652" spans="2:12" x14ac:dyDescent="0.25">
      <c r="B652" s="17">
        <v>45394</v>
      </c>
      <c r="C652" s="13">
        <v>67195.87</v>
      </c>
      <c r="D652" s="54">
        <v>79</v>
      </c>
      <c r="F652" s="17">
        <v>45394</v>
      </c>
      <c r="G652" s="13">
        <v>67195.87</v>
      </c>
      <c r="H652" s="4">
        <v>67195.87</v>
      </c>
      <c r="I652" s="4">
        <v>67195.87</v>
      </c>
      <c r="J652" s="3">
        <v>79</v>
      </c>
      <c r="K652" s="3">
        <v>79</v>
      </c>
      <c r="L652" s="54">
        <v>79</v>
      </c>
    </row>
    <row r="653" spans="2:12" ht="15.75" thickBot="1" x14ac:dyDescent="0.3">
      <c r="B653" s="18">
        <v>45395</v>
      </c>
      <c r="C653" s="13">
        <v>63821.47</v>
      </c>
      <c r="D653" s="54">
        <v>72</v>
      </c>
      <c r="F653" s="18">
        <v>45395</v>
      </c>
      <c r="G653" s="13">
        <v>63821.47</v>
      </c>
      <c r="H653" s="4">
        <v>63821.47</v>
      </c>
      <c r="I653" s="4">
        <v>63821.47</v>
      </c>
      <c r="J653" s="3">
        <v>72</v>
      </c>
      <c r="K653" s="3">
        <v>72</v>
      </c>
      <c r="L653" s="54">
        <v>72</v>
      </c>
    </row>
    <row r="654" spans="2:12" x14ac:dyDescent="0.25">
      <c r="B654" s="16">
        <v>45396</v>
      </c>
      <c r="C654" s="13">
        <v>65738.73</v>
      </c>
      <c r="D654" s="54">
        <v>72</v>
      </c>
      <c r="F654" s="16">
        <v>45396</v>
      </c>
      <c r="G654" s="13">
        <v>65738.73</v>
      </c>
      <c r="H654" s="4">
        <v>65738.73</v>
      </c>
      <c r="I654" s="4">
        <v>65738.73</v>
      </c>
      <c r="J654" s="3">
        <v>72</v>
      </c>
      <c r="K654" s="3">
        <v>72</v>
      </c>
      <c r="L654" s="54">
        <v>72</v>
      </c>
    </row>
    <row r="655" spans="2:12" x14ac:dyDescent="0.25">
      <c r="B655" s="17">
        <v>45397</v>
      </c>
      <c r="C655" s="13">
        <v>63426.21</v>
      </c>
      <c r="D655" s="54">
        <v>74</v>
      </c>
      <c r="F655" s="17">
        <v>45397</v>
      </c>
      <c r="G655" s="13">
        <v>63426.21</v>
      </c>
      <c r="H655" s="4">
        <v>63426.21</v>
      </c>
      <c r="I655" s="4">
        <v>63426.21</v>
      </c>
      <c r="J655" s="3">
        <v>74</v>
      </c>
      <c r="K655" s="3">
        <v>74</v>
      </c>
      <c r="L655" s="54">
        <v>74</v>
      </c>
    </row>
    <row r="656" spans="2:12" x14ac:dyDescent="0.25">
      <c r="B656" s="17">
        <v>45398</v>
      </c>
      <c r="C656" s="13">
        <v>63811.86</v>
      </c>
      <c r="D656" s="54">
        <v>65</v>
      </c>
      <c r="F656" s="17">
        <v>45398</v>
      </c>
      <c r="G656" s="13">
        <v>63811.86</v>
      </c>
      <c r="H656" s="4">
        <v>63811.86</v>
      </c>
      <c r="I656" s="4">
        <v>63811.86</v>
      </c>
      <c r="J656" s="3">
        <v>65</v>
      </c>
      <c r="K656" s="3">
        <v>65</v>
      </c>
      <c r="L656" s="54">
        <v>65</v>
      </c>
    </row>
    <row r="657" spans="2:12" x14ac:dyDescent="0.25">
      <c r="B657" s="17">
        <v>45399</v>
      </c>
      <c r="C657" s="13">
        <v>61276.69</v>
      </c>
      <c r="D657" s="54">
        <v>67</v>
      </c>
      <c r="F657" s="17">
        <v>45399</v>
      </c>
      <c r="G657" s="13">
        <v>61276.69</v>
      </c>
      <c r="H657" s="4">
        <v>61276.69</v>
      </c>
      <c r="I657" s="4">
        <v>61276.69</v>
      </c>
      <c r="J657" s="3">
        <v>67</v>
      </c>
      <c r="K657" s="3">
        <v>67</v>
      </c>
      <c r="L657" s="54">
        <v>67</v>
      </c>
    </row>
    <row r="658" spans="2:12" x14ac:dyDescent="0.25">
      <c r="B658" s="17">
        <v>45400</v>
      </c>
      <c r="C658" s="13">
        <v>63512.75</v>
      </c>
      <c r="D658" s="54">
        <v>57</v>
      </c>
      <c r="F658" s="17">
        <v>45400</v>
      </c>
      <c r="G658" s="13">
        <v>63512.75</v>
      </c>
      <c r="H658" s="4">
        <v>63512.75</v>
      </c>
      <c r="I658" s="4">
        <v>63512.75</v>
      </c>
      <c r="J658" s="3">
        <v>57</v>
      </c>
      <c r="K658" s="3">
        <v>57</v>
      </c>
      <c r="L658" s="54">
        <v>57</v>
      </c>
    </row>
    <row r="659" spans="2:12" x14ac:dyDescent="0.25">
      <c r="B659" s="17">
        <v>45401</v>
      </c>
      <c r="C659" s="13">
        <v>63843.57</v>
      </c>
      <c r="D659" s="54">
        <v>66</v>
      </c>
      <c r="F659" s="17">
        <v>45401</v>
      </c>
      <c r="G659" s="13">
        <v>63843.57</v>
      </c>
      <c r="H659" s="4">
        <v>63843.57</v>
      </c>
      <c r="I659" s="4">
        <v>63843.57</v>
      </c>
      <c r="J659" s="3">
        <v>66</v>
      </c>
      <c r="K659" s="3">
        <v>66</v>
      </c>
      <c r="L659" s="54">
        <v>66</v>
      </c>
    </row>
    <row r="660" spans="2:12" x14ac:dyDescent="0.25">
      <c r="B660" s="17">
        <v>45402</v>
      </c>
      <c r="C660" s="13">
        <v>64994.44</v>
      </c>
      <c r="D660" s="54">
        <v>66</v>
      </c>
      <c r="F660" s="17">
        <v>45402</v>
      </c>
      <c r="G660" s="13">
        <v>64994.44</v>
      </c>
      <c r="H660" s="4">
        <v>64994.44</v>
      </c>
      <c r="I660" s="4">
        <v>64994.44</v>
      </c>
      <c r="J660" s="3">
        <v>66</v>
      </c>
      <c r="K660" s="3">
        <v>66</v>
      </c>
      <c r="L660" s="54">
        <v>66</v>
      </c>
    </row>
    <row r="661" spans="2:12" x14ac:dyDescent="0.25">
      <c r="B661" s="17">
        <v>45403</v>
      </c>
      <c r="C661" s="13">
        <v>64926.64</v>
      </c>
      <c r="D661" s="54">
        <v>72</v>
      </c>
      <c r="F661" s="17">
        <v>45403</v>
      </c>
      <c r="G661" s="13">
        <v>64926.64</v>
      </c>
      <c r="H661" s="4">
        <v>64926.64</v>
      </c>
      <c r="I661" s="4">
        <v>64926.64</v>
      </c>
      <c r="J661" s="3">
        <v>72</v>
      </c>
      <c r="K661" s="3">
        <v>72</v>
      </c>
      <c r="L661" s="54">
        <v>72</v>
      </c>
    </row>
    <row r="662" spans="2:12" x14ac:dyDescent="0.25">
      <c r="B662" s="17">
        <v>45404</v>
      </c>
      <c r="C662" s="13">
        <v>66837.679999999993</v>
      </c>
      <c r="D662" s="54">
        <v>73</v>
      </c>
      <c r="F662" s="17">
        <v>45404</v>
      </c>
      <c r="G662" s="13">
        <v>66837.679999999993</v>
      </c>
      <c r="H662" s="4">
        <v>66837.679999999993</v>
      </c>
      <c r="I662" s="4">
        <v>66837.679999999993</v>
      </c>
      <c r="J662" s="3">
        <v>73</v>
      </c>
      <c r="K662" s="3">
        <v>73</v>
      </c>
      <c r="L662" s="54">
        <v>73</v>
      </c>
    </row>
    <row r="663" spans="2:12" x14ac:dyDescent="0.25">
      <c r="B663" s="17">
        <v>45405</v>
      </c>
      <c r="C663" s="13">
        <v>66407.27</v>
      </c>
      <c r="D663" s="54">
        <v>71</v>
      </c>
      <c r="F663" s="17">
        <v>45405</v>
      </c>
      <c r="G663" s="13">
        <v>66407.27</v>
      </c>
      <c r="H663" s="4">
        <v>66407.27</v>
      </c>
      <c r="I663" s="4">
        <v>66407.27</v>
      </c>
      <c r="J663" s="3">
        <v>71</v>
      </c>
      <c r="K663" s="3">
        <v>71</v>
      </c>
      <c r="L663" s="54">
        <v>71</v>
      </c>
    </row>
    <row r="664" spans="2:12" x14ac:dyDescent="0.25">
      <c r="B664" s="17">
        <v>45406</v>
      </c>
      <c r="C664" s="13">
        <v>64276.9</v>
      </c>
      <c r="D664" s="54">
        <v>72</v>
      </c>
      <c r="F664" s="17">
        <v>45406</v>
      </c>
      <c r="G664" s="13">
        <v>64276.9</v>
      </c>
      <c r="H664" s="4">
        <v>64276.9</v>
      </c>
      <c r="I664" s="4">
        <v>64276.9</v>
      </c>
      <c r="J664" s="3">
        <v>72</v>
      </c>
      <c r="K664" s="3">
        <v>72</v>
      </c>
      <c r="L664" s="54">
        <v>72</v>
      </c>
    </row>
    <row r="665" spans="2:12" x14ac:dyDescent="0.25">
      <c r="B665" s="17">
        <v>45407</v>
      </c>
      <c r="C665" s="13">
        <v>64481.71</v>
      </c>
      <c r="D665" s="54">
        <v>72</v>
      </c>
      <c r="F665" s="17">
        <v>45407</v>
      </c>
      <c r="G665" s="13">
        <v>64481.71</v>
      </c>
      <c r="H665" s="4">
        <v>64481.71</v>
      </c>
      <c r="I665" s="4">
        <v>64481.71</v>
      </c>
      <c r="J665" s="3">
        <v>72</v>
      </c>
      <c r="K665" s="3">
        <v>72</v>
      </c>
      <c r="L665" s="54">
        <v>72</v>
      </c>
    </row>
    <row r="666" spans="2:12" x14ac:dyDescent="0.25">
      <c r="B666" s="17">
        <v>45408</v>
      </c>
      <c r="C666" s="13">
        <v>63755.32</v>
      </c>
      <c r="D666" s="54">
        <v>70</v>
      </c>
      <c r="F666" s="17">
        <v>45408</v>
      </c>
      <c r="G666" s="13">
        <v>63755.32</v>
      </c>
      <c r="H666" s="4">
        <v>63755.32</v>
      </c>
      <c r="I666" s="4">
        <v>63755.32</v>
      </c>
      <c r="J666" s="3">
        <v>70</v>
      </c>
      <c r="K666" s="3">
        <v>70</v>
      </c>
      <c r="L666" s="54">
        <v>70</v>
      </c>
    </row>
    <row r="667" spans="2:12" x14ac:dyDescent="0.25">
      <c r="B667" s="17">
        <v>45409</v>
      </c>
      <c r="C667" s="13">
        <v>63419.14</v>
      </c>
      <c r="D667" s="54">
        <v>67</v>
      </c>
      <c r="F667" s="17">
        <v>45409</v>
      </c>
      <c r="G667" s="13">
        <v>63419.14</v>
      </c>
      <c r="H667" s="4">
        <v>63419.14</v>
      </c>
      <c r="I667" s="4">
        <v>63419.14</v>
      </c>
      <c r="J667" s="3">
        <v>67</v>
      </c>
      <c r="K667" s="3">
        <v>67</v>
      </c>
      <c r="L667" s="54">
        <v>67</v>
      </c>
    </row>
    <row r="668" spans="2:12" x14ac:dyDescent="0.25">
      <c r="B668" s="17">
        <v>45410</v>
      </c>
      <c r="C668" s="13">
        <v>63113.23</v>
      </c>
      <c r="D668" s="54">
        <v>65</v>
      </c>
      <c r="F668" s="17">
        <v>45410</v>
      </c>
      <c r="G668" s="13">
        <v>63113.23</v>
      </c>
      <c r="H668" s="4">
        <v>63113.23</v>
      </c>
      <c r="I668" s="4">
        <v>63113.23</v>
      </c>
      <c r="J668" s="3">
        <v>65</v>
      </c>
      <c r="K668" s="3">
        <v>65</v>
      </c>
      <c r="L668" s="54">
        <v>65</v>
      </c>
    </row>
    <row r="669" spans="2:12" x14ac:dyDescent="0.25">
      <c r="B669" s="17">
        <v>45411</v>
      </c>
      <c r="C669" s="13">
        <v>63841.120000000003</v>
      </c>
      <c r="D669" s="54">
        <v>67</v>
      </c>
      <c r="F669" s="17">
        <v>45411</v>
      </c>
      <c r="G669" s="13">
        <v>63841.120000000003</v>
      </c>
      <c r="H669" s="4">
        <v>63841.120000000003</v>
      </c>
      <c r="I669" s="4">
        <v>63841.120000000003</v>
      </c>
      <c r="J669" s="3">
        <v>67</v>
      </c>
      <c r="K669" s="3">
        <v>67</v>
      </c>
      <c r="L669" s="54">
        <v>67</v>
      </c>
    </row>
    <row r="670" spans="2:12" x14ac:dyDescent="0.25">
      <c r="B670" s="17">
        <v>45412</v>
      </c>
      <c r="C670" s="13">
        <v>60636.86</v>
      </c>
      <c r="D670" s="54">
        <v>67</v>
      </c>
      <c r="F670" s="17">
        <v>45412</v>
      </c>
      <c r="G670" s="13">
        <v>60636.86</v>
      </c>
      <c r="H670" s="4">
        <v>60636.86</v>
      </c>
      <c r="I670" s="4">
        <v>60636.86</v>
      </c>
      <c r="J670" s="3">
        <v>67</v>
      </c>
      <c r="K670" s="3">
        <v>67</v>
      </c>
      <c r="L670" s="54">
        <v>67</v>
      </c>
    </row>
    <row r="671" spans="2:12" x14ac:dyDescent="0.25">
      <c r="B671" s="17">
        <v>45413</v>
      </c>
      <c r="C671" s="13">
        <v>58254.01</v>
      </c>
      <c r="D671" s="54">
        <v>54</v>
      </c>
      <c r="F671" s="17">
        <v>45413</v>
      </c>
      <c r="G671" s="13">
        <v>58254.01</v>
      </c>
      <c r="H671" s="4">
        <v>58254.01</v>
      </c>
      <c r="I671" s="4">
        <v>58254.01</v>
      </c>
      <c r="J671" s="3">
        <v>54</v>
      </c>
      <c r="K671" s="3">
        <v>54</v>
      </c>
      <c r="L671" s="54">
        <v>54</v>
      </c>
    </row>
    <row r="672" spans="2:12" x14ac:dyDescent="0.25">
      <c r="B672" s="17">
        <v>45414</v>
      </c>
      <c r="C672" s="13">
        <v>59123.43</v>
      </c>
      <c r="D672" s="54">
        <v>43</v>
      </c>
      <c r="F672" s="17">
        <v>45414</v>
      </c>
      <c r="G672" s="13">
        <v>59123.43</v>
      </c>
      <c r="H672" s="4">
        <v>59123.43</v>
      </c>
      <c r="I672" s="4">
        <v>59123.43</v>
      </c>
      <c r="J672" s="3">
        <v>43</v>
      </c>
      <c r="K672" s="3">
        <v>43</v>
      </c>
      <c r="L672" s="54">
        <v>43</v>
      </c>
    </row>
    <row r="673" spans="2:12" x14ac:dyDescent="0.25">
      <c r="B673" s="17">
        <v>45415</v>
      </c>
      <c r="C673" s="13">
        <v>62889.84</v>
      </c>
      <c r="D673" s="54">
        <v>48</v>
      </c>
      <c r="F673" s="17">
        <v>45415</v>
      </c>
      <c r="G673" s="13">
        <v>62889.84</v>
      </c>
      <c r="H673" s="4">
        <v>62889.84</v>
      </c>
      <c r="I673" s="4">
        <v>62889.84</v>
      </c>
      <c r="J673" s="3">
        <v>48</v>
      </c>
      <c r="K673" s="3">
        <v>48</v>
      </c>
      <c r="L673" s="54">
        <v>48</v>
      </c>
    </row>
    <row r="674" spans="2:12" x14ac:dyDescent="0.25">
      <c r="B674" s="17">
        <v>45416</v>
      </c>
      <c r="C674" s="13">
        <v>63891.47</v>
      </c>
      <c r="D674" s="54">
        <v>67</v>
      </c>
      <c r="F674" s="17">
        <v>45416</v>
      </c>
      <c r="G674" s="13">
        <v>63891.47</v>
      </c>
      <c r="H674" s="4">
        <v>63891.47</v>
      </c>
      <c r="I674" s="4">
        <v>63891.47</v>
      </c>
      <c r="J674" s="3">
        <v>67</v>
      </c>
      <c r="K674" s="3">
        <v>67</v>
      </c>
      <c r="L674" s="54">
        <v>67</v>
      </c>
    </row>
    <row r="675" spans="2:12" x14ac:dyDescent="0.25">
      <c r="B675" s="17">
        <v>45417</v>
      </c>
      <c r="C675" s="13">
        <v>64031.13</v>
      </c>
      <c r="D675" s="54">
        <v>69</v>
      </c>
      <c r="F675" s="17">
        <v>45417</v>
      </c>
      <c r="G675" s="13">
        <v>64031.13</v>
      </c>
      <c r="H675" s="4">
        <v>64031.13</v>
      </c>
      <c r="I675" s="4">
        <v>64031.13</v>
      </c>
      <c r="J675" s="3">
        <v>69</v>
      </c>
      <c r="K675" s="3">
        <v>69</v>
      </c>
      <c r="L675" s="54">
        <v>69</v>
      </c>
    </row>
    <row r="676" spans="2:12" x14ac:dyDescent="0.25">
      <c r="B676" s="17">
        <v>45418</v>
      </c>
      <c r="C676" s="13">
        <v>63161.95</v>
      </c>
      <c r="D676" s="54">
        <v>71</v>
      </c>
      <c r="F676" s="17">
        <v>45418</v>
      </c>
      <c r="G676" s="13">
        <v>63161.95</v>
      </c>
      <c r="H676" s="4">
        <v>63161.95</v>
      </c>
      <c r="I676" s="4">
        <v>63161.95</v>
      </c>
      <c r="J676" s="3">
        <v>71</v>
      </c>
      <c r="K676" s="3">
        <v>71</v>
      </c>
      <c r="L676" s="54">
        <v>71</v>
      </c>
    </row>
    <row r="677" spans="2:12" x14ac:dyDescent="0.25">
      <c r="B677" s="17">
        <v>45419</v>
      </c>
      <c r="C677" s="13">
        <v>62334.82</v>
      </c>
      <c r="D677" s="54">
        <v>68</v>
      </c>
      <c r="F677" s="17">
        <v>45419</v>
      </c>
      <c r="G677" s="13">
        <v>62334.82</v>
      </c>
      <c r="H677" s="4">
        <v>62334.82</v>
      </c>
      <c r="I677" s="4">
        <v>62334.82</v>
      </c>
      <c r="J677" s="3">
        <v>68</v>
      </c>
      <c r="K677" s="3">
        <v>68</v>
      </c>
      <c r="L677" s="54">
        <v>68</v>
      </c>
    </row>
    <row r="678" spans="2:12" x14ac:dyDescent="0.25">
      <c r="B678" s="17">
        <v>45420</v>
      </c>
      <c r="C678" s="13">
        <v>61187.94</v>
      </c>
      <c r="D678" s="54">
        <v>64</v>
      </c>
      <c r="F678" s="17">
        <v>45420</v>
      </c>
      <c r="G678" s="13">
        <v>61187.94</v>
      </c>
      <c r="H678" s="4">
        <v>61187.94</v>
      </c>
      <c r="I678" s="4">
        <v>61187.94</v>
      </c>
      <c r="J678" s="3">
        <v>64</v>
      </c>
      <c r="K678" s="3">
        <v>64</v>
      </c>
      <c r="L678" s="54">
        <v>64</v>
      </c>
    </row>
    <row r="679" spans="2:12" x14ac:dyDescent="0.25">
      <c r="B679" s="17">
        <v>45421</v>
      </c>
      <c r="C679" s="13">
        <v>63049.96</v>
      </c>
      <c r="D679" s="54">
        <v>55</v>
      </c>
      <c r="F679" s="17">
        <v>45421</v>
      </c>
      <c r="G679" s="13">
        <v>63049.96</v>
      </c>
      <c r="H679" s="4">
        <v>63049.96</v>
      </c>
      <c r="I679" s="4">
        <v>63049.96</v>
      </c>
      <c r="J679" s="3">
        <v>55</v>
      </c>
      <c r="K679" s="3">
        <v>55</v>
      </c>
      <c r="L679" s="54">
        <v>55</v>
      </c>
    </row>
    <row r="680" spans="2:12" x14ac:dyDescent="0.25">
      <c r="B680" s="17">
        <v>45422</v>
      </c>
      <c r="C680" s="13">
        <v>60792.78</v>
      </c>
      <c r="D680" s="54">
        <v>66</v>
      </c>
      <c r="F680" s="17">
        <v>45422</v>
      </c>
      <c r="G680" s="13">
        <v>60792.78</v>
      </c>
      <c r="H680" s="4">
        <v>60792.78</v>
      </c>
      <c r="I680" s="4">
        <v>60792.78</v>
      </c>
      <c r="J680" s="3">
        <v>66</v>
      </c>
      <c r="K680" s="3">
        <v>66</v>
      </c>
      <c r="L680" s="54">
        <v>66</v>
      </c>
    </row>
    <row r="681" spans="2:12" x14ac:dyDescent="0.25">
      <c r="B681" s="17">
        <v>45423</v>
      </c>
      <c r="C681" s="13">
        <v>60793.71</v>
      </c>
      <c r="D681" s="54">
        <v>53</v>
      </c>
      <c r="F681" s="17">
        <v>45423</v>
      </c>
      <c r="G681" s="13">
        <v>60793.71</v>
      </c>
      <c r="H681" s="4">
        <v>60793.71</v>
      </c>
      <c r="I681" s="4">
        <v>60793.71</v>
      </c>
      <c r="J681" s="3">
        <v>53</v>
      </c>
      <c r="K681" s="3">
        <v>53</v>
      </c>
      <c r="L681" s="54">
        <v>53</v>
      </c>
    </row>
    <row r="682" spans="2:12" x14ac:dyDescent="0.25">
      <c r="B682" s="17">
        <v>45424</v>
      </c>
      <c r="C682" s="13">
        <v>61448.39</v>
      </c>
      <c r="D682" s="54">
        <v>56</v>
      </c>
      <c r="F682" s="17">
        <v>45424</v>
      </c>
      <c r="G682" s="13">
        <v>61448.39</v>
      </c>
      <c r="H682" s="4">
        <v>61448.39</v>
      </c>
      <c r="I682" s="4">
        <v>61448.39</v>
      </c>
      <c r="J682" s="3">
        <v>56</v>
      </c>
      <c r="K682" s="3">
        <v>56</v>
      </c>
      <c r="L682" s="54">
        <v>56</v>
      </c>
    </row>
    <row r="683" spans="2:12" x14ac:dyDescent="0.25">
      <c r="B683" s="17">
        <v>45425</v>
      </c>
      <c r="C683" s="13">
        <v>62901.45</v>
      </c>
      <c r="D683" s="54">
        <v>57</v>
      </c>
      <c r="F683" s="17">
        <v>45425</v>
      </c>
      <c r="G683" s="13">
        <v>62901.45</v>
      </c>
      <c r="H683" s="4">
        <v>62901.45</v>
      </c>
      <c r="I683" s="4">
        <v>62901.45</v>
      </c>
      <c r="J683" s="3">
        <v>57</v>
      </c>
      <c r="K683" s="3">
        <v>57</v>
      </c>
      <c r="L683" s="54">
        <v>57</v>
      </c>
    </row>
    <row r="684" spans="2:12" x14ac:dyDescent="0.25">
      <c r="B684" s="17">
        <v>45426</v>
      </c>
      <c r="C684" s="13">
        <v>61552.79</v>
      </c>
      <c r="D684" s="54">
        <v>66</v>
      </c>
      <c r="F684" s="17">
        <v>45426</v>
      </c>
      <c r="G684" s="13">
        <v>61552.79</v>
      </c>
      <c r="H684" s="4">
        <v>61552.79</v>
      </c>
      <c r="I684" s="4">
        <v>61552.79</v>
      </c>
      <c r="J684" s="3">
        <v>66</v>
      </c>
      <c r="K684" s="3">
        <v>66</v>
      </c>
      <c r="L684" s="54">
        <v>66</v>
      </c>
    </row>
    <row r="685" spans="2:12" x14ac:dyDescent="0.25">
      <c r="B685" s="17">
        <v>45427</v>
      </c>
      <c r="C685" s="13">
        <v>66267.490000000005</v>
      </c>
      <c r="D685" s="54">
        <v>64</v>
      </c>
      <c r="F685" s="17">
        <v>45427</v>
      </c>
      <c r="G685" s="13">
        <v>66267.490000000005</v>
      </c>
      <c r="H685" s="4">
        <v>66267.490000000005</v>
      </c>
      <c r="I685" s="4">
        <v>66267.490000000005</v>
      </c>
      <c r="J685" s="3">
        <v>64</v>
      </c>
      <c r="K685" s="3">
        <v>64</v>
      </c>
      <c r="L685" s="54">
        <v>64</v>
      </c>
    </row>
    <row r="686" spans="2:12" x14ac:dyDescent="0.25">
      <c r="B686" s="17">
        <v>45428</v>
      </c>
      <c r="C686" s="13">
        <v>65231.58</v>
      </c>
      <c r="D686" s="54">
        <v>70</v>
      </c>
      <c r="F686" s="17">
        <v>45428</v>
      </c>
      <c r="G686" s="13">
        <v>65231.58</v>
      </c>
      <c r="H686" s="4">
        <v>65231.58</v>
      </c>
      <c r="I686" s="4">
        <v>65231.58</v>
      </c>
      <c r="J686" s="3">
        <v>70</v>
      </c>
      <c r="K686" s="3">
        <v>70</v>
      </c>
      <c r="L686" s="54">
        <v>70</v>
      </c>
    </row>
    <row r="687" spans="2:12" x14ac:dyDescent="0.25">
      <c r="B687" s="17">
        <v>45429</v>
      </c>
      <c r="C687" s="13">
        <v>67051.88</v>
      </c>
      <c r="D687" s="54">
        <v>74</v>
      </c>
      <c r="F687" s="17">
        <v>45429</v>
      </c>
      <c r="G687" s="13">
        <v>67051.88</v>
      </c>
      <c r="H687" s="4">
        <v>67051.88</v>
      </c>
      <c r="I687" s="4">
        <v>67051.88</v>
      </c>
      <c r="J687" s="3">
        <v>74</v>
      </c>
      <c r="K687" s="3">
        <v>74</v>
      </c>
      <c r="L687" s="54">
        <v>74</v>
      </c>
    </row>
    <row r="688" spans="2:12" x14ac:dyDescent="0.25">
      <c r="B688" s="17">
        <v>45430</v>
      </c>
      <c r="C688" s="13">
        <v>66940.800000000003</v>
      </c>
      <c r="D688" s="54">
        <v>73</v>
      </c>
      <c r="F688" s="17">
        <v>45430</v>
      </c>
      <c r="G688" s="13">
        <v>66940.800000000003</v>
      </c>
      <c r="H688" s="4">
        <v>66940.800000000003</v>
      </c>
      <c r="I688" s="4">
        <v>66940.800000000003</v>
      </c>
      <c r="J688" s="3">
        <v>73</v>
      </c>
      <c r="K688" s="3">
        <v>73</v>
      </c>
      <c r="L688" s="54">
        <v>73</v>
      </c>
    </row>
    <row r="689" spans="2:12" x14ac:dyDescent="0.25">
      <c r="B689" s="17">
        <v>45431</v>
      </c>
      <c r="C689" s="13">
        <v>66278.37</v>
      </c>
      <c r="D689" s="54">
        <v>72</v>
      </c>
      <c r="F689" s="17">
        <v>45431</v>
      </c>
      <c r="G689" s="13">
        <v>66278.37</v>
      </c>
      <c r="H689" s="4">
        <v>66278.37</v>
      </c>
      <c r="I689" s="4">
        <v>66278.37</v>
      </c>
      <c r="J689" s="3">
        <v>72</v>
      </c>
      <c r="K689" s="3">
        <v>72</v>
      </c>
      <c r="L689" s="54">
        <v>72</v>
      </c>
    </row>
    <row r="690" spans="2:12" x14ac:dyDescent="0.25">
      <c r="B690" s="17">
        <v>45432</v>
      </c>
      <c r="C690" s="13">
        <v>71448.2</v>
      </c>
      <c r="D690" s="54">
        <v>70</v>
      </c>
      <c r="F690" s="17">
        <v>45432</v>
      </c>
      <c r="G690" s="13">
        <v>71448.2</v>
      </c>
      <c r="H690" s="4">
        <v>71448.2</v>
      </c>
      <c r="I690" s="4">
        <v>71448.2</v>
      </c>
      <c r="J690" s="3">
        <v>70</v>
      </c>
      <c r="K690" s="3">
        <v>70</v>
      </c>
      <c r="L690" s="54">
        <v>70</v>
      </c>
    </row>
    <row r="691" spans="2:12" x14ac:dyDescent="0.25">
      <c r="B691" s="17">
        <v>45433</v>
      </c>
      <c r="C691" s="13">
        <v>70136.53</v>
      </c>
      <c r="D691" s="54">
        <v>76</v>
      </c>
      <c r="F691" s="17">
        <v>45433</v>
      </c>
      <c r="G691" s="13">
        <v>70136.53</v>
      </c>
      <c r="H691" s="4">
        <v>70136.53</v>
      </c>
      <c r="I691" s="4">
        <v>70136.53</v>
      </c>
      <c r="J691" s="3">
        <v>76</v>
      </c>
      <c r="K691" s="3">
        <v>76</v>
      </c>
      <c r="L691" s="54">
        <v>76</v>
      </c>
    </row>
    <row r="692" spans="2:12" x14ac:dyDescent="0.25">
      <c r="B692" s="17">
        <v>45434</v>
      </c>
      <c r="C692" s="13">
        <v>69122.34</v>
      </c>
      <c r="D692" s="54">
        <v>76</v>
      </c>
      <c r="F692" s="17">
        <v>45434</v>
      </c>
      <c r="G692" s="13">
        <v>69122.34</v>
      </c>
      <c r="H692" s="4">
        <v>69122.34</v>
      </c>
      <c r="I692" s="4">
        <v>69122.34</v>
      </c>
      <c r="J692" s="3">
        <v>76</v>
      </c>
      <c r="K692" s="3">
        <v>76</v>
      </c>
      <c r="L692" s="54">
        <v>76</v>
      </c>
    </row>
    <row r="693" spans="2:12" x14ac:dyDescent="0.25">
      <c r="B693" s="17">
        <v>45435</v>
      </c>
      <c r="C693" s="13">
        <v>67929.56</v>
      </c>
      <c r="D693" s="54">
        <v>76</v>
      </c>
      <c r="F693" s="17">
        <v>45435</v>
      </c>
      <c r="G693" s="13">
        <v>67929.56</v>
      </c>
      <c r="H693" s="4">
        <v>67929.56</v>
      </c>
      <c r="I693" s="4">
        <v>67929.56</v>
      </c>
      <c r="J693" s="3">
        <v>76</v>
      </c>
      <c r="K693" s="3">
        <v>76</v>
      </c>
      <c r="L693" s="54">
        <v>76</v>
      </c>
    </row>
    <row r="694" spans="2:12" x14ac:dyDescent="0.25">
      <c r="B694" s="17">
        <v>45436</v>
      </c>
      <c r="C694" s="13">
        <v>68526.100000000006</v>
      </c>
      <c r="D694" s="54">
        <v>74</v>
      </c>
      <c r="F694" s="17">
        <v>45436</v>
      </c>
      <c r="G694" s="13">
        <v>68526.100000000006</v>
      </c>
      <c r="H694" s="4">
        <v>68526.100000000006</v>
      </c>
      <c r="I694" s="4">
        <v>68526.100000000006</v>
      </c>
      <c r="J694" s="3">
        <v>74</v>
      </c>
      <c r="K694" s="3">
        <v>74</v>
      </c>
      <c r="L694" s="54">
        <v>74</v>
      </c>
    </row>
    <row r="695" spans="2:12" x14ac:dyDescent="0.25">
      <c r="B695" s="17">
        <v>45437</v>
      </c>
      <c r="C695" s="13">
        <v>69265.95</v>
      </c>
      <c r="D695" s="54">
        <v>76</v>
      </c>
      <c r="F695" s="17">
        <v>45437</v>
      </c>
      <c r="G695" s="13">
        <v>69265.95</v>
      </c>
      <c r="H695" s="4">
        <v>69265.95</v>
      </c>
      <c r="I695" s="4">
        <v>69265.95</v>
      </c>
      <c r="J695" s="3">
        <v>76</v>
      </c>
      <c r="K695" s="3">
        <v>76</v>
      </c>
      <c r="L695" s="54">
        <v>76</v>
      </c>
    </row>
    <row r="696" spans="2:12" x14ac:dyDescent="0.25">
      <c r="B696" s="17">
        <v>45438</v>
      </c>
      <c r="C696" s="13">
        <v>68518.09</v>
      </c>
      <c r="D696" s="54">
        <v>75</v>
      </c>
      <c r="F696" s="17">
        <v>45438</v>
      </c>
      <c r="G696" s="13">
        <v>68518.09</v>
      </c>
      <c r="H696" s="4">
        <v>68518.09</v>
      </c>
      <c r="I696" s="4">
        <v>68518.09</v>
      </c>
      <c r="J696" s="3">
        <v>75</v>
      </c>
      <c r="K696" s="3">
        <v>75</v>
      </c>
      <c r="L696" s="54">
        <v>75</v>
      </c>
    </row>
    <row r="697" spans="2:12" x14ac:dyDescent="0.25">
      <c r="B697" s="17">
        <v>45439</v>
      </c>
      <c r="C697" s="13">
        <v>69394.55</v>
      </c>
      <c r="D697" s="54">
        <v>74</v>
      </c>
      <c r="F697" s="17">
        <v>45439</v>
      </c>
      <c r="G697" s="13">
        <v>69394.55</v>
      </c>
      <c r="H697" s="4">
        <v>69394.55</v>
      </c>
      <c r="I697" s="4">
        <v>69394.55</v>
      </c>
      <c r="J697" s="3">
        <v>74</v>
      </c>
      <c r="K697" s="3">
        <v>74</v>
      </c>
      <c r="L697" s="54">
        <v>74</v>
      </c>
    </row>
    <row r="698" spans="2:12" x14ac:dyDescent="0.25">
      <c r="B698" s="17">
        <v>45440</v>
      </c>
      <c r="C698" s="13">
        <v>68296.22</v>
      </c>
      <c r="D698" s="54">
        <v>72</v>
      </c>
      <c r="F698" s="17">
        <v>45440</v>
      </c>
      <c r="G698" s="13">
        <v>68296.22</v>
      </c>
      <c r="H698" s="4">
        <v>68296.22</v>
      </c>
      <c r="I698" s="4">
        <v>68296.22</v>
      </c>
      <c r="J698" s="3">
        <v>72</v>
      </c>
      <c r="K698" s="3">
        <v>72</v>
      </c>
      <c r="L698" s="54">
        <v>72</v>
      </c>
    </row>
    <row r="699" spans="2:12" x14ac:dyDescent="0.25">
      <c r="B699" s="17">
        <v>45441</v>
      </c>
      <c r="C699" s="13">
        <v>67578.09</v>
      </c>
      <c r="D699" s="54">
        <v>72</v>
      </c>
      <c r="F699" s="17">
        <v>45441</v>
      </c>
      <c r="G699" s="13">
        <v>67578.09</v>
      </c>
      <c r="H699" s="4">
        <v>67578.09</v>
      </c>
      <c r="I699" s="4">
        <v>67578.09</v>
      </c>
      <c r="J699" s="3">
        <v>72</v>
      </c>
      <c r="K699" s="3">
        <v>72</v>
      </c>
      <c r="L699" s="54">
        <v>72</v>
      </c>
    </row>
    <row r="700" spans="2:12" x14ac:dyDescent="0.25">
      <c r="B700" s="17">
        <v>45442</v>
      </c>
      <c r="C700" s="13">
        <v>68364.990000000005</v>
      </c>
      <c r="D700" s="54">
        <v>73</v>
      </c>
      <c r="F700" s="17">
        <v>45442</v>
      </c>
      <c r="G700" s="13">
        <v>68364.990000000005</v>
      </c>
      <c r="H700" s="4">
        <v>68364.990000000005</v>
      </c>
      <c r="I700" s="4">
        <v>68364.990000000005</v>
      </c>
      <c r="J700" s="3">
        <v>73</v>
      </c>
      <c r="K700" s="3">
        <v>73</v>
      </c>
      <c r="L700" s="54">
        <v>73</v>
      </c>
    </row>
    <row r="701" spans="2:12" x14ac:dyDescent="0.25">
      <c r="B701" s="17">
        <v>45443</v>
      </c>
      <c r="C701" s="13">
        <v>67491.41</v>
      </c>
      <c r="D701" s="54">
        <v>73</v>
      </c>
      <c r="F701" s="17">
        <v>45443</v>
      </c>
      <c r="G701" s="13">
        <v>67491.41</v>
      </c>
      <c r="H701" s="4">
        <v>67491.41</v>
      </c>
      <c r="I701" s="4">
        <v>67491.41</v>
      </c>
      <c r="J701" s="3">
        <v>73</v>
      </c>
      <c r="K701" s="3">
        <v>73</v>
      </c>
      <c r="L701" s="54">
        <v>73</v>
      </c>
    </row>
    <row r="702" spans="2:12" x14ac:dyDescent="0.25">
      <c r="B702" s="17">
        <v>45444</v>
      </c>
      <c r="C702" s="13">
        <v>67706.94</v>
      </c>
      <c r="D702" s="54">
        <v>72</v>
      </c>
      <c r="F702" s="17">
        <v>45444</v>
      </c>
      <c r="G702" s="13">
        <v>67706.94</v>
      </c>
      <c r="H702" s="4">
        <v>67706.94</v>
      </c>
      <c r="I702" s="4">
        <v>67706.94</v>
      </c>
      <c r="J702" s="3">
        <v>72</v>
      </c>
      <c r="K702" s="3">
        <v>72</v>
      </c>
      <c r="L702" s="54">
        <v>72</v>
      </c>
    </row>
    <row r="703" spans="2:12" ht="15.75" thickBot="1" x14ac:dyDescent="0.3">
      <c r="B703" s="18">
        <v>45445</v>
      </c>
      <c r="C703" s="13">
        <v>67751.600000000006</v>
      </c>
      <c r="D703" s="54">
        <v>73</v>
      </c>
      <c r="F703" s="18">
        <v>45445</v>
      </c>
      <c r="G703" s="13">
        <v>67751.600000000006</v>
      </c>
      <c r="H703" s="4">
        <v>67751.600000000006</v>
      </c>
      <c r="I703" s="4">
        <v>67751.600000000006</v>
      </c>
      <c r="J703" s="3">
        <v>73</v>
      </c>
      <c r="K703" s="3">
        <v>73</v>
      </c>
      <c r="L703" s="54">
        <v>73</v>
      </c>
    </row>
    <row r="704" spans="2:12" x14ac:dyDescent="0.25">
      <c r="B704" s="16">
        <v>45446</v>
      </c>
      <c r="C704" s="13">
        <v>68804.78</v>
      </c>
      <c r="D704" s="54">
        <v>73</v>
      </c>
      <c r="F704" s="16">
        <v>45446</v>
      </c>
      <c r="G704" s="13">
        <v>68804.78</v>
      </c>
      <c r="H704" s="4">
        <v>68804.78</v>
      </c>
      <c r="I704" s="4">
        <v>68804.78</v>
      </c>
      <c r="J704" s="3">
        <v>73</v>
      </c>
      <c r="K704" s="3">
        <v>73</v>
      </c>
      <c r="L704" s="54">
        <v>73</v>
      </c>
    </row>
    <row r="705" spans="2:12" x14ac:dyDescent="0.25">
      <c r="B705" s="17">
        <v>45447</v>
      </c>
      <c r="C705" s="13">
        <v>70567.77</v>
      </c>
      <c r="D705" s="54">
        <v>73</v>
      </c>
      <c r="F705" s="17">
        <v>45447</v>
      </c>
      <c r="G705" s="13">
        <v>70567.77</v>
      </c>
      <c r="H705" s="4">
        <v>70567.77</v>
      </c>
      <c r="I705" s="4">
        <v>70567.77</v>
      </c>
      <c r="J705" s="3">
        <v>73</v>
      </c>
      <c r="K705" s="3">
        <v>73</v>
      </c>
      <c r="L705" s="54">
        <v>73</v>
      </c>
    </row>
    <row r="706" spans="2:12" x14ac:dyDescent="0.25">
      <c r="B706" s="17">
        <v>45448</v>
      </c>
      <c r="C706" s="13">
        <v>71082.820000000007</v>
      </c>
      <c r="D706" s="54">
        <v>75</v>
      </c>
      <c r="F706" s="17">
        <v>45448</v>
      </c>
      <c r="G706" s="13">
        <v>71082.820000000007</v>
      </c>
      <c r="H706" s="4">
        <v>71082.820000000007</v>
      </c>
      <c r="I706" s="4">
        <v>71082.820000000007</v>
      </c>
      <c r="J706" s="3">
        <v>75</v>
      </c>
      <c r="K706" s="3">
        <v>75</v>
      </c>
      <c r="L706" s="54">
        <v>75</v>
      </c>
    </row>
    <row r="707" spans="2:12" x14ac:dyDescent="0.25">
      <c r="B707" s="17">
        <v>45449</v>
      </c>
      <c r="C707" s="13">
        <v>70757.16</v>
      </c>
      <c r="D707" s="54">
        <v>78</v>
      </c>
      <c r="F707" s="17">
        <v>45449</v>
      </c>
      <c r="G707" s="13">
        <v>70757.16</v>
      </c>
      <c r="H707" s="4">
        <v>70757.16</v>
      </c>
      <c r="I707" s="4">
        <v>70757.16</v>
      </c>
      <c r="J707" s="3">
        <v>78</v>
      </c>
      <c r="K707" s="3">
        <v>78</v>
      </c>
      <c r="L707" s="54">
        <v>78</v>
      </c>
    </row>
    <row r="708" spans="2:12" x14ac:dyDescent="0.25">
      <c r="B708" s="17">
        <v>45450</v>
      </c>
      <c r="C708" s="13">
        <v>69342.59</v>
      </c>
      <c r="D708" s="54">
        <v>77</v>
      </c>
      <c r="F708" s="17">
        <v>45450</v>
      </c>
      <c r="G708" s="13">
        <v>69342.59</v>
      </c>
      <c r="H708" s="4">
        <v>69342.59</v>
      </c>
      <c r="I708" s="4">
        <v>69342.59</v>
      </c>
      <c r="J708" s="3">
        <v>77</v>
      </c>
      <c r="K708" s="3">
        <v>77</v>
      </c>
      <c r="L708" s="54">
        <v>77</v>
      </c>
    </row>
    <row r="709" spans="2:12" x14ac:dyDescent="0.25">
      <c r="B709" s="17">
        <v>45451</v>
      </c>
      <c r="C709" s="13">
        <v>69305.77</v>
      </c>
      <c r="D709" s="54">
        <v>72</v>
      </c>
      <c r="F709" s="17">
        <v>45451</v>
      </c>
      <c r="G709" s="13">
        <v>69305.77</v>
      </c>
      <c r="H709" s="4">
        <v>69305.77</v>
      </c>
      <c r="I709" s="4">
        <v>69305.77</v>
      </c>
      <c r="J709" s="3">
        <v>72</v>
      </c>
      <c r="K709" s="3">
        <v>72</v>
      </c>
      <c r="L709" s="54">
        <v>72</v>
      </c>
    </row>
    <row r="710" spans="2:12" x14ac:dyDescent="0.25">
      <c r="B710" s="17">
        <v>45452</v>
      </c>
      <c r="C710" s="13">
        <v>69647.990000000005</v>
      </c>
      <c r="D710" s="54">
        <v>75</v>
      </c>
      <c r="F710" s="17">
        <v>45452</v>
      </c>
      <c r="G710" s="13">
        <v>69647.990000000005</v>
      </c>
      <c r="H710" s="4">
        <v>69647.990000000005</v>
      </c>
      <c r="I710" s="4">
        <v>69647.990000000005</v>
      </c>
      <c r="J710" s="3">
        <v>75</v>
      </c>
      <c r="K710" s="3">
        <v>75</v>
      </c>
      <c r="L710" s="54">
        <v>75</v>
      </c>
    </row>
    <row r="711" spans="2:12" x14ac:dyDescent="0.25">
      <c r="B711" s="17">
        <v>45453</v>
      </c>
      <c r="C711" s="13">
        <v>69512.28</v>
      </c>
      <c r="D711" s="54">
        <v>72</v>
      </c>
      <c r="F711" s="17">
        <v>45453</v>
      </c>
      <c r="G711" s="13">
        <v>69512.28</v>
      </c>
      <c r="H711" s="4">
        <v>69512.28</v>
      </c>
      <c r="I711" s="4">
        <v>69512.28</v>
      </c>
      <c r="J711" s="3">
        <v>72</v>
      </c>
      <c r="K711" s="3">
        <v>72</v>
      </c>
      <c r="L711" s="54">
        <v>72</v>
      </c>
    </row>
    <row r="712" spans="2:12" x14ac:dyDescent="0.25">
      <c r="B712" s="17">
        <v>45454</v>
      </c>
      <c r="C712" s="13">
        <v>67332.03</v>
      </c>
      <c r="D712" s="54">
        <v>74</v>
      </c>
      <c r="F712" s="17">
        <v>45454</v>
      </c>
      <c r="G712" s="13">
        <v>67332.03</v>
      </c>
      <c r="H712" s="4">
        <v>67332.03</v>
      </c>
      <c r="I712" s="4">
        <v>67332.03</v>
      </c>
      <c r="J712" s="3">
        <v>74</v>
      </c>
      <c r="K712" s="3">
        <v>74</v>
      </c>
      <c r="L712" s="54">
        <v>74</v>
      </c>
    </row>
    <row r="713" spans="2:12" x14ac:dyDescent="0.25">
      <c r="B713" s="17">
        <v>45455</v>
      </c>
      <c r="C713" s="13">
        <v>68241.19</v>
      </c>
      <c r="D713" s="54">
        <v>72</v>
      </c>
      <c r="F713" s="17">
        <v>45455</v>
      </c>
      <c r="G713" s="13">
        <v>68241.19</v>
      </c>
      <c r="H713" s="4">
        <v>68241.19</v>
      </c>
      <c r="I713" s="4">
        <v>68241.19</v>
      </c>
      <c r="J713" s="3">
        <v>72</v>
      </c>
      <c r="K713" s="3">
        <v>72</v>
      </c>
      <c r="L713" s="54">
        <v>72</v>
      </c>
    </row>
    <row r="714" spans="2:12" x14ac:dyDescent="0.25">
      <c r="B714" s="17">
        <v>45456</v>
      </c>
      <c r="C714" s="13">
        <v>66756.399999999994</v>
      </c>
      <c r="D714" s="54">
        <v>70</v>
      </c>
      <c r="F714" s="17">
        <v>45456</v>
      </c>
      <c r="G714" s="13">
        <v>66756.399999999994</v>
      </c>
      <c r="H714" s="4">
        <v>66756.399999999994</v>
      </c>
      <c r="I714" s="4">
        <v>66756.399999999994</v>
      </c>
      <c r="J714" s="3">
        <v>70</v>
      </c>
      <c r="K714" s="3">
        <v>70</v>
      </c>
      <c r="L714" s="54">
        <v>70</v>
      </c>
    </row>
    <row r="715" spans="2:12" x14ac:dyDescent="0.25">
      <c r="B715" s="17">
        <v>45457</v>
      </c>
      <c r="C715" s="13">
        <v>66011.09</v>
      </c>
      <c r="D715" s="54">
        <v>74</v>
      </c>
      <c r="F715" s="17">
        <v>45457</v>
      </c>
      <c r="G715" s="13">
        <v>66011.09</v>
      </c>
      <c r="H715" s="4">
        <v>66011.09</v>
      </c>
      <c r="I715" s="4">
        <v>66011.09</v>
      </c>
      <c r="J715" s="3">
        <v>74</v>
      </c>
      <c r="K715" s="3">
        <v>74</v>
      </c>
      <c r="L715" s="54">
        <v>74</v>
      </c>
    </row>
    <row r="716" spans="2:12" x14ac:dyDescent="0.25">
      <c r="B716" s="17">
        <v>45458</v>
      </c>
      <c r="C716" s="13">
        <v>66191</v>
      </c>
      <c r="D716" s="54">
        <v>74</v>
      </c>
      <c r="F716" s="17">
        <v>45458</v>
      </c>
      <c r="G716" s="13">
        <v>66191</v>
      </c>
      <c r="H716" s="4">
        <v>66191</v>
      </c>
      <c r="I716" s="4">
        <v>66191</v>
      </c>
      <c r="J716" s="3">
        <v>74</v>
      </c>
      <c r="K716" s="3">
        <v>74</v>
      </c>
      <c r="L716" s="54">
        <v>74</v>
      </c>
    </row>
    <row r="717" spans="2:12" x14ac:dyDescent="0.25">
      <c r="B717" s="17">
        <v>45459</v>
      </c>
      <c r="C717" s="13">
        <v>66639.05</v>
      </c>
      <c r="D717" s="54">
        <v>71</v>
      </c>
      <c r="F717" s="17">
        <v>45459</v>
      </c>
      <c r="G717" s="13">
        <v>66639.05</v>
      </c>
      <c r="H717" s="4">
        <v>66639.05</v>
      </c>
      <c r="I717" s="4">
        <v>66639.05</v>
      </c>
      <c r="J717" s="3">
        <v>71</v>
      </c>
      <c r="K717" s="3">
        <v>71</v>
      </c>
      <c r="L717" s="54">
        <v>71</v>
      </c>
    </row>
    <row r="718" spans="2:12" x14ac:dyDescent="0.25">
      <c r="B718" s="17">
        <v>45460</v>
      </c>
      <c r="C718" s="13">
        <v>66490.3</v>
      </c>
      <c r="D718" s="54">
        <v>71</v>
      </c>
      <c r="F718" s="17">
        <v>45460</v>
      </c>
      <c r="G718" s="13">
        <v>66490.3</v>
      </c>
      <c r="H718" s="4">
        <v>66490.3</v>
      </c>
      <c r="I718" s="4">
        <v>66490.3</v>
      </c>
      <c r="J718" s="3">
        <v>71</v>
      </c>
      <c r="K718" s="3">
        <v>71</v>
      </c>
      <c r="L718" s="54">
        <v>71</v>
      </c>
    </row>
    <row r="719" spans="2:12" x14ac:dyDescent="0.25">
      <c r="B719" s="17">
        <v>45461</v>
      </c>
      <c r="C719" s="13">
        <v>65140.75</v>
      </c>
      <c r="D719" s="54">
        <v>74</v>
      </c>
      <c r="F719" s="17">
        <v>45461</v>
      </c>
      <c r="G719" s="13">
        <v>65140.75</v>
      </c>
      <c r="H719" s="4">
        <v>65140.75</v>
      </c>
      <c r="I719" s="4">
        <v>65140.75</v>
      </c>
      <c r="J719" s="3">
        <v>74</v>
      </c>
      <c r="K719" s="3">
        <v>74</v>
      </c>
      <c r="L719" s="54">
        <v>74</v>
      </c>
    </row>
    <row r="720" spans="2:12" x14ac:dyDescent="0.25">
      <c r="B720" s="17">
        <v>45462</v>
      </c>
      <c r="C720" s="13">
        <v>64960.3</v>
      </c>
      <c r="D720" s="54">
        <v>64</v>
      </c>
      <c r="F720" s="17">
        <v>45462</v>
      </c>
      <c r="G720" s="13">
        <v>64960.3</v>
      </c>
      <c r="H720" s="4">
        <v>64960.3</v>
      </c>
      <c r="I720" s="4">
        <v>64960.3</v>
      </c>
      <c r="J720" s="3">
        <v>64</v>
      </c>
      <c r="K720" s="3">
        <v>64</v>
      </c>
      <c r="L720" s="54">
        <v>64</v>
      </c>
    </row>
    <row r="721" spans="2:12" x14ac:dyDescent="0.25">
      <c r="B721" s="17">
        <v>45463</v>
      </c>
      <c r="C721" s="13">
        <v>64828.66</v>
      </c>
      <c r="D721" s="54">
        <v>60</v>
      </c>
      <c r="F721" s="17">
        <v>45463</v>
      </c>
      <c r="G721" s="13">
        <v>64828.66</v>
      </c>
      <c r="H721" s="4">
        <v>64828.66</v>
      </c>
      <c r="I721" s="4">
        <v>64828.66</v>
      </c>
      <c r="J721" s="3">
        <v>60</v>
      </c>
      <c r="K721" s="3">
        <v>60</v>
      </c>
      <c r="L721" s="54">
        <v>60</v>
      </c>
    </row>
    <row r="722" spans="2:12" x14ac:dyDescent="0.25">
      <c r="B722" s="17">
        <v>45464</v>
      </c>
      <c r="C722" s="13">
        <v>64096.2</v>
      </c>
      <c r="D722" s="54">
        <v>63</v>
      </c>
      <c r="F722" s="17">
        <v>45464</v>
      </c>
      <c r="G722" s="13">
        <v>64096.2</v>
      </c>
      <c r="H722" s="4">
        <v>64096.2</v>
      </c>
      <c r="I722" s="4">
        <v>64096.2</v>
      </c>
      <c r="J722" s="3">
        <v>63</v>
      </c>
      <c r="K722" s="3">
        <v>63</v>
      </c>
      <c r="L722" s="54">
        <v>63</v>
      </c>
    </row>
    <row r="723" spans="2:12" x14ac:dyDescent="0.25">
      <c r="B723" s="17">
        <v>45465</v>
      </c>
      <c r="C723" s="13">
        <v>64252.58</v>
      </c>
      <c r="D723" s="54">
        <v>53</v>
      </c>
      <c r="F723" s="17">
        <v>45465</v>
      </c>
      <c r="G723" s="13">
        <v>64252.58</v>
      </c>
      <c r="H723" s="4">
        <v>64252.58</v>
      </c>
      <c r="I723" s="4">
        <v>64252.58</v>
      </c>
      <c r="J723" s="3">
        <v>53</v>
      </c>
      <c r="K723" s="3">
        <v>53</v>
      </c>
      <c r="L723" s="54">
        <v>53</v>
      </c>
    </row>
    <row r="724" spans="2:12" x14ac:dyDescent="0.25">
      <c r="B724" s="17">
        <v>45466</v>
      </c>
      <c r="C724" s="13">
        <v>63180.800000000003</v>
      </c>
      <c r="D724" s="54">
        <v>55</v>
      </c>
      <c r="F724" s="17">
        <v>45466</v>
      </c>
      <c r="G724" s="13">
        <v>63180.800000000003</v>
      </c>
      <c r="H724" s="4">
        <v>63180.800000000003</v>
      </c>
      <c r="I724" s="4">
        <v>63180.800000000003</v>
      </c>
      <c r="J724" s="3">
        <v>55</v>
      </c>
      <c r="K724" s="3">
        <v>55</v>
      </c>
      <c r="L724" s="54">
        <v>55</v>
      </c>
    </row>
    <row r="725" spans="2:12" x14ac:dyDescent="0.25">
      <c r="B725" s="17">
        <v>45467</v>
      </c>
      <c r="C725" s="13">
        <v>60277.41</v>
      </c>
      <c r="D725" s="54">
        <v>51</v>
      </c>
      <c r="F725" s="17">
        <v>45467</v>
      </c>
      <c r="G725" s="13">
        <v>60277.41</v>
      </c>
      <c r="H725" s="4">
        <v>60277.41</v>
      </c>
      <c r="I725" s="4">
        <v>60277.41</v>
      </c>
      <c r="J725" s="3">
        <v>51</v>
      </c>
      <c r="K725" s="3">
        <v>51</v>
      </c>
      <c r="L725" s="54">
        <v>51</v>
      </c>
    </row>
    <row r="726" spans="2:12" x14ac:dyDescent="0.25">
      <c r="B726" s="17">
        <v>45468</v>
      </c>
      <c r="C726" s="13">
        <v>61804.639999999999</v>
      </c>
      <c r="D726" s="54">
        <v>30</v>
      </c>
      <c r="F726" s="17">
        <v>45468</v>
      </c>
      <c r="G726" s="13">
        <v>61804.639999999999</v>
      </c>
      <c r="H726" s="4">
        <v>61804.639999999999</v>
      </c>
      <c r="I726" s="4">
        <v>61804.639999999999</v>
      </c>
      <c r="J726" s="3">
        <v>30</v>
      </c>
      <c r="K726" s="3">
        <v>30</v>
      </c>
      <c r="L726" s="54">
        <v>30</v>
      </c>
    </row>
    <row r="727" spans="2:12" x14ac:dyDescent="0.25">
      <c r="B727" s="17">
        <v>45469</v>
      </c>
      <c r="C727" s="13">
        <v>60811.28</v>
      </c>
      <c r="D727" s="54">
        <v>46</v>
      </c>
      <c r="F727" s="17">
        <v>45469</v>
      </c>
      <c r="G727" s="13">
        <v>60811.28</v>
      </c>
      <c r="H727" s="4">
        <v>60811.28</v>
      </c>
      <c r="I727" s="4">
        <v>60811.28</v>
      </c>
      <c r="J727" s="3">
        <v>46</v>
      </c>
      <c r="K727" s="3">
        <v>46</v>
      </c>
      <c r="L727" s="54">
        <v>46</v>
      </c>
    </row>
    <row r="728" spans="2:12" x14ac:dyDescent="0.25">
      <c r="B728" s="17">
        <v>45470</v>
      </c>
      <c r="C728" s="13">
        <v>61604.800000000003</v>
      </c>
      <c r="D728" s="54">
        <v>40</v>
      </c>
      <c r="F728" s="17">
        <v>45470</v>
      </c>
      <c r="G728" s="13">
        <v>61604.800000000003</v>
      </c>
      <c r="H728" s="4">
        <v>61604.800000000003</v>
      </c>
      <c r="I728" s="4">
        <v>61604.800000000003</v>
      </c>
      <c r="J728" s="3">
        <v>40</v>
      </c>
      <c r="K728" s="3">
        <v>40</v>
      </c>
      <c r="L728" s="54">
        <v>40</v>
      </c>
    </row>
    <row r="729" spans="2:12" x14ac:dyDescent="0.25">
      <c r="B729" s="17">
        <v>45471</v>
      </c>
      <c r="C729" s="13">
        <v>60320.14</v>
      </c>
      <c r="D729" s="54">
        <v>47</v>
      </c>
      <c r="F729" s="17">
        <v>45471</v>
      </c>
      <c r="G729" s="13">
        <v>60320.14</v>
      </c>
      <c r="H729" s="4">
        <v>60320.14</v>
      </c>
      <c r="I729" s="4">
        <v>60320.14</v>
      </c>
      <c r="J729" s="3">
        <v>47</v>
      </c>
      <c r="K729" s="3">
        <v>47</v>
      </c>
      <c r="L729" s="54">
        <v>47</v>
      </c>
    </row>
    <row r="730" spans="2:12" x14ac:dyDescent="0.25">
      <c r="B730" s="17">
        <v>45472</v>
      </c>
      <c r="C730" s="13">
        <v>60887.38</v>
      </c>
      <c r="D730" s="54">
        <v>30</v>
      </c>
      <c r="F730" s="17">
        <v>45472</v>
      </c>
      <c r="G730" s="13">
        <v>60887.38</v>
      </c>
      <c r="H730" s="4">
        <v>60887.38</v>
      </c>
      <c r="I730" s="4">
        <v>60887.38</v>
      </c>
      <c r="J730" s="3">
        <v>30</v>
      </c>
      <c r="K730" s="3">
        <v>30</v>
      </c>
      <c r="L730" s="54">
        <v>30</v>
      </c>
    </row>
    <row r="731" spans="2:12" x14ac:dyDescent="0.25">
      <c r="B731" s="17">
        <v>45473</v>
      </c>
      <c r="C731" s="13">
        <v>62678.29</v>
      </c>
      <c r="D731" s="54">
        <v>47</v>
      </c>
      <c r="F731" s="17">
        <v>45473</v>
      </c>
      <c r="G731" s="13">
        <v>62678.29</v>
      </c>
      <c r="H731" s="4">
        <v>62678.29</v>
      </c>
      <c r="I731" s="4">
        <v>62678.29</v>
      </c>
      <c r="J731" s="3">
        <v>47</v>
      </c>
      <c r="K731" s="3">
        <v>47</v>
      </c>
      <c r="L731" s="54">
        <v>47</v>
      </c>
    </row>
    <row r="732" spans="2:12" x14ac:dyDescent="0.25">
      <c r="B732" s="17">
        <v>45474</v>
      </c>
      <c r="C732" s="13">
        <v>62851.98</v>
      </c>
      <c r="D732" s="54">
        <v>53</v>
      </c>
      <c r="F732" s="17">
        <v>45474</v>
      </c>
      <c r="G732" s="13">
        <v>62851.98</v>
      </c>
      <c r="H732" s="4">
        <v>62851.98</v>
      </c>
      <c r="I732" s="4">
        <v>62851.98</v>
      </c>
      <c r="J732" s="3">
        <v>53</v>
      </c>
      <c r="K732" s="3">
        <v>53</v>
      </c>
      <c r="L732" s="54">
        <v>53</v>
      </c>
    </row>
    <row r="733" spans="2:12" x14ac:dyDescent="0.25">
      <c r="B733" s="17">
        <v>45475</v>
      </c>
      <c r="C733" s="13">
        <v>62029.02</v>
      </c>
      <c r="D733" s="54">
        <v>51</v>
      </c>
      <c r="F733" s="17">
        <v>45475</v>
      </c>
      <c r="G733" s="13">
        <v>62029.02</v>
      </c>
      <c r="H733" s="4">
        <v>62029.02</v>
      </c>
      <c r="I733" s="4">
        <v>62029.02</v>
      </c>
      <c r="J733" s="3">
        <v>51</v>
      </c>
      <c r="K733" s="3">
        <v>51</v>
      </c>
      <c r="L733" s="54">
        <v>51</v>
      </c>
    </row>
    <row r="734" spans="2:12" x14ac:dyDescent="0.25">
      <c r="B734" s="17">
        <v>45476</v>
      </c>
      <c r="C734" s="13">
        <v>60173.919999999998</v>
      </c>
      <c r="D734" s="54">
        <v>50</v>
      </c>
      <c r="F734" s="17">
        <v>45476</v>
      </c>
      <c r="G734" s="13">
        <v>60173.919999999998</v>
      </c>
      <c r="H734" s="4">
        <v>60173.919999999998</v>
      </c>
      <c r="I734" s="4">
        <v>60173.919999999998</v>
      </c>
      <c r="J734" s="3">
        <v>50</v>
      </c>
      <c r="K734" s="3">
        <v>50</v>
      </c>
      <c r="L734" s="54">
        <v>50</v>
      </c>
    </row>
    <row r="735" spans="2:12" x14ac:dyDescent="0.25">
      <c r="B735" s="17">
        <v>45477</v>
      </c>
      <c r="C735" s="13">
        <v>56977.7</v>
      </c>
      <c r="D735" s="54">
        <v>44</v>
      </c>
      <c r="F735" s="17">
        <v>45477</v>
      </c>
      <c r="G735" s="13">
        <v>56977.7</v>
      </c>
      <c r="H735" s="4">
        <v>56977.7</v>
      </c>
      <c r="I735" s="4">
        <v>56977.7</v>
      </c>
      <c r="J735" s="3">
        <v>44</v>
      </c>
      <c r="K735" s="3">
        <v>44</v>
      </c>
      <c r="L735" s="54">
        <v>44</v>
      </c>
    </row>
    <row r="736" spans="2:12" x14ac:dyDescent="0.25">
      <c r="B736" s="17">
        <v>45478</v>
      </c>
      <c r="C736" s="13">
        <v>56662.38</v>
      </c>
      <c r="D736" s="54">
        <v>29</v>
      </c>
      <c r="F736" s="17">
        <v>45478</v>
      </c>
      <c r="G736" s="13">
        <v>56662.38</v>
      </c>
      <c r="H736" s="4">
        <v>56662.38</v>
      </c>
      <c r="I736" s="4">
        <v>56662.38</v>
      </c>
      <c r="J736" s="3">
        <v>29</v>
      </c>
      <c r="K736" s="3">
        <v>29</v>
      </c>
      <c r="L736" s="54">
        <v>29</v>
      </c>
    </row>
    <row r="737" spans="2:12" x14ac:dyDescent="0.25">
      <c r="B737" s="17">
        <v>45479</v>
      </c>
      <c r="C737" s="13">
        <v>58303.54</v>
      </c>
      <c r="D737" s="54">
        <v>26</v>
      </c>
      <c r="F737" s="17">
        <v>45479</v>
      </c>
      <c r="G737" s="13">
        <v>58303.54</v>
      </c>
      <c r="H737" s="4">
        <v>58303.54</v>
      </c>
      <c r="I737" s="4">
        <v>58303.54</v>
      </c>
      <c r="J737" s="3">
        <v>26</v>
      </c>
      <c r="K737" s="3">
        <v>26</v>
      </c>
      <c r="L737" s="54">
        <v>26</v>
      </c>
    </row>
    <row r="738" spans="2:12" x14ac:dyDescent="0.25">
      <c r="B738" s="17">
        <v>45480</v>
      </c>
      <c r="C738" s="13">
        <v>55849.11</v>
      </c>
      <c r="D738" s="54">
        <v>29</v>
      </c>
      <c r="F738" s="17">
        <v>45480</v>
      </c>
      <c r="G738" s="13">
        <v>55849.11</v>
      </c>
      <c r="H738" s="4">
        <v>55849.11</v>
      </c>
      <c r="I738" s="4">
        <v>55849.11</v>
      </c>
      <c r="J738" s="3">
        <v>29</v>
      </c>
      <c r="K738" s="3">
        <v>29</v>
      </c>
      <c r="L738" s="54">
        <v>29</v>
      </c>
    </row>
    <row r="739" spans="2:12" x14ac:dyDescent="0.25">
      <c r="B739" s="17">
        <v>45481</v>
      </c>
      <c r="C739" s="13">
        <v>56705.1</v>
      </c>
      <c r="D739" s="54">
        <v>28</v>
      </c>
      <c r="F739" s="17">
        <v>45481</v>
      </c>
      <c r="G739" s="13">
        <v>56705.1</v>
      </c>
      <c r="H739" s="4">
        <v>56705.1</v>
      </c>
      <c r="I739" s="4">
        <v>56705.1</v>
      </c>
      <c r="J739" s="3">
        <v>28</v>
      </c>
      <c r="K739" s="3">
        <v>28</v>
      </c>
      <c r="L739" s="54">
        <v>28</v>
      </c>
    </row>
    <row r="740" spans="2:12" x14ac:dyDescent="0.25">
      <c r="B740" s="17">
        <v>45482</v>
      </c>
      <c r="C740" s="13">
        <v>58009.23</v>
      </c>
      <c r="D740" s="54">
        <v>27</v>
      </c>
      <c r="F740" s="17">
        <v>45482</v>
      </c>
      <c r="G740" s="13">
        <v>58009.23</v>
      </c>
      <c r="H740" s="4">
        <v>58009.23</v>
      </c>
      <c r="I740" s="4">
        <v>58009.23</v>
      </c>
      <c r="J740" s="3">
        <v>27</v>
      </c>
      <c r="K740" s="3">
        <v>27</v>
      </c>
      <c r="L740" s="54">
        <v>27</v>
      </c>
    </row>
    <row r="741" spans="2:12" x14ac:dyDescent="0.25">
      <c r="B741" s="17">
        <v>45483</v>
      </c>
      <c r="C741" s="13">
        <v>57742.5</v>
      </c>
      <c r="D741" s="54">
        <v>28</v>
      </c>
      <c r="F741" s="17">
        <v>45483</v>
      </c>
      <c r="G741" s="13">
        <v>57742.5</v>
      </c>
      <c r="H741" s="4">
        <v>57742.5</v>
      </c>
      <c r="I741" s="4">
        <v>57742.5</v>
      </c>
      <c r="J741" s="3">
        <v>28</v>
      </c>
      <c r="K741" s="3">
        <v>28</v>
      </c>
      <c r="L741" s="54">
        <v>28</v>
      </c>
    </row>
    <row r="742" spans="2:12" x14ac:dyDescent="0.25">
      <c r="B742" s="17">
        <v>45484</v>
      </c>
      <c r="C742" s="13">
        <v>57344.91</v>
      </c>
      <c r="D742" s="54">
        <v>29</v>
      </c>
      <c r="F742" s="17">
        <v>45484</v>
      </c>
      <c r="G742" s="13">
        <v>57344.91</v>
      </c>
      <c r="H742" s="4">
        <v>57344.91</v>
      </c>
      <c r="I742" s="4">
        <v>57344.91</v>
      </c>
      <c r="J742" s="3">
        <v>29</v>
      </c>
      <c r="K742" s="3">
        <v>29</v>
      </c>
      <c r="L742" s="54">
        <v>29</v>
      </c>
    </row>
    <row r="743" spans="2:12" x14ac:dyDescent="0.25">
      <c r="B743" s="17">
        <v>45485</v>
      </c>
      <c r="C743" s="13">
        <v>57899.46</v>
      </c>
      <c r="D743" s="54">
        <v>25</v>
      </c>
      <c r="F743" s="17">
        <v>45485</v>
      </c>
      <c r="G743" s="13">
        <v>57899.46</v>
      </c>
      <c r="H743" s="4">
        <v>57899.46</v>
      </c>
      <c r="I743" s="4">
        <v>57899.46</v>
      </c>
      <c r="J743" s="3">
        <v>25</v>
      </c>
      <c r="K743" s="3">
        <v>25</v>
      </c>
      <c r="L743" s="54">
        <v>25</v>
      </c>
    </row>
    <row r="744" spans="2:12" x14ac:dyDescent="0.25">
      <c r="B744" s="17">
        <v>45486</v>
      </c>
      <c r="C744" s="13">
        <v>59231.95</v>
      </c>
      <c r="D744" s="54">
        <v>25</v>
      </c>
      <c r="F744" s="17">
        <v>45486</v>
      </c>
      <c r="G744" s="13">
        <v>59231.95</v>
      </c>
      <c r="H744" s="4">
        <v>59231.95</v>
      </c>
      <c r="I744" s="4">
        <v>59231.95</v>
      </c>
      <c r="J744" s="3">
        <v>25</v>
      </c>
      <c r="K744" s="3">
        <v>25</v>
      </c>
      <c r="L744" s="54">
        <v>25</v>
      </c>
    </row>
    <row r="745" spans="2:12" x14ac:dyDescent="0.25">
      <c r="B745" s="17">
        <v>45487</v>
      </c>
      <c r="C745" s="13">
        <v>60787.79</v>
      </c>
      <c r="D745" s="54">
        <v>33</v>
      </c>
      <c r="F745" s="17">
        <v>45487</v>
      </c>
      <c r="G745" s="13">
        <v>60787.79</v>
      </c>
      <c r="H745" s="4">
        <v>60787.79</v>
      </c>
      <c r="I745" s="4">
        <v>60787.79</v>
      </c>
      <c r="J745" s="3">
        <v>33</v>
      </c>
      <c r="K745" s="3">
        <v>33</v>
      </c>
      <c r="L745" s="54">
        <v>33</v>
      </c>
    </row>
    <row r="746" spans="2:12" x14ac:dyDescent="0.25">
      <c r="B746" s="17">
        <v>45488</v>
      </c>
      <c r="C746" s="13">
        <v>64870.15</v>
      </c>
      <c r="D746" s="54">
        <v>52</v>
      </c>
      <c r="F746" s="17">
        <v>45488</v>
      </c>
      <c r="G746" s="13">
        <v>64870.15</v>
      </c>
      <c r="H746" s="4">
        <v>64870.15</v>
      </c>
      <c r="I746" s="4">
        <v>64870.15</v>
      </c>
      <c r="J746" s="3">
        <v>52</v>
      </c>
      <c r="K746" s="3">
        <v>52</v>
      </c>
      <c r="L746" s="54">
        <v>52</v>
      </c>
    </row>
    <row r="747" spans="2:12" x14ac:dyDescent="0.25">
      <c r="B747" s="17">
        <v>45489</v>
      </c>
      <c r="C747" s="13">
        <v>65097.15</v>
      </c>
      <c r="D747" s="54">
        <v>65</v>
      </c>
      <c r="F747" s="17">
        <v>45489</v>
      </c>
      <c r="G747" s="13">
        <v>65097.15</v>
      </c>
      <c r="H747" s="4">
        <v>65097.15</v>
      </c>
      <c r="I747" s="4">
        <v>65097.15</v>
      </c>
      <c r="J747" s="3">
        <v>65</v>
      </c>
      <c r="K747" s="3">
        <v>65</v>
      </c>
      <c r="L747" s="54">
        <v>65</v>
      </c>
    </row>
    <row r="748" spans="2:12" x14ac:dyDescent="0.25">
      <c r="B748" s="17">
        <v>45490</v>
      </c>
      <c r="C748" s="13">
        <v>64118.79</v>
      </c>
      <c r="D748" s="54">
        <v>69</v>
      </c>
      <c r="F748" s="17">
        <v>45490</v>
      </c>
      <c r="G748" s="13">
        <v>64118.79</v>
      </c>
      <c r="H748" s="4">
        <v>64118.79</v>
      </c>
      <c r="I748" s="4">
        <v>64118.79</v>
      </c>
      <c r="J748" s="3">
        <v>69</v>
      </c>
      <c r="K748" s="3">
        <v>69</v>
      </c>
      <c r="L748" s="54">
        <v>69</v>
      </c>
    </row>
    <row r="749" spans="2:12" x14ac:dyDescent="0.25">
      <c r="B749" s="17">
        <v>45491</v>
      </c>
      <c r="C749" s="13">
        <v>63974.07</v>
      </c>
      <c r="D749" s="54">
        <v>61</v>
      </c>
      <c r="F749" s="17">
        <v>45491</v>
      </c>
      <c r="G749" s="13">
        <v>63974.07</v>
      </c>
      <c r="H749" s="4">
        <v>63974.07</v>
      </c>
      <c r="I749" s="4">
        <v>63974.07</v>
      </c>
      <c r="J749" s="3">
        <v>61</v>
      </c>
      <c r="K749" s="3">
        <v>61</v>
      </c>
      <c r="L749" s="54">
        <v>61</v>
      </c>
    </row>
    <row r="750" spans="2:12" x14ac:dyDescent="0.25">
      <c r="B750" s="17">
        <v>45492</v>
      </c>
      <c r="C750" s="13">
        <v>66710.16</v>
      </c>
      <c r="D750" s="54">
        <v>60</v>
      </c>
      <c r="F750" s="17">
        <v>45492</v>
      </c>
      <c r="G750" s="13">
        <v>66710.16</v>
      </c>
      <c r="H750" s="4">
        <v>66710.16</v>
      </c>
      <c r="I750" s="4">
        <v>66710.16</v>
      </c>
      <c r="J750" s="3">
        <v>60</v>
      </c>
      <c r="K750" s="3">
        <v>60</v>
      </c>
      <c r="L750" s="54">
        <v>60</v>
      </c>
    </row>
    <row r="751" spans="2:12" x14ac:dyDescent="0.25">
      <c r="B751" s="17">
        <v>45493</v>
      </c>
      <c r="C751" s="13">
        <v>67163.649999999994</v>
      </c>
      <c r="D751" s="54">
        <v>74</v>
      </c>
      <c r="F751" s="17">
        <v>45493</v>
      </c>
      <c r="G751" s="13">
        <v>67163.649999999994</v>
      </c>
      <c r="H751" s="4">
        <v>67163.649999999994</v>
      </c>
      <c r="I751" s="4">
        <v>67163.649999999994</v>
      </c>
      <c r="J751" s="3">
        <v>74</v>
      </c>
      <c r="K751" s="3">
        <v>74</v>
      </c>
      <c r="L751" s="54">
        <v>74</v>
      </c>
    </row>
    <row r="752" spans="2:12" x14ac:dyDescent="0.25">
      <c r="B752" s="17">
        <v>45494</v>
      </c>
      <c r="C752" s="13">
        <v>68154.52</v>
      </c>
      <c r="D752" s="54">
        <v>74</v>
      </c>
      <c r="F752" s="17">
        <v>45494</v>
      </c>
      <c r="G752" s="13">
        <v>68154.52</v>
      </c>
      <c r="H752" s="4">
        <v>68154.52</v>
      </c>
      <c r="I752" s="4">
        <v>68154.52</v>
      </c>
      <c r="J752" s="3">
        <v>74</v>
      </c>
      <c r="K752" s="3">
        <v>74</v>
      </c>
      <c r="L752" s="54">
        <v>74</v>
      </c>
    </row>
    <row r="753" spans="2:12" ht="15.75" thickBot="1" x14ac:dyDescent="0.3">
      <c r="B753" s="18">
        <v>45495</v>
      </c>
      <c r="C753" s="13">
        <v>67585.25</v>
      </c>
      <c r="D753" s="54">
        <v>70</v>
      </c>
      <c r="F753" s="18">
        <v>45495</v>
      </c>
      <c r="G753" s="13">
        <v>67585.25</v>
      </c>
      <c r="H753" s="4">
        <v>67585.25</v>
      </c>
      <c r="I753" s="4">
        <v>67585.25</v>
      </c>
      <c r="J753" s="3">
        <v>70</v>
      </c>
      <c r="K753" s="3">
        <v>70</v>
      </c>
      <c r="L753" s="54">
        <v>70</v>
      </c>
    </row>
    <row r="754" spans="2:12" x14ac:dyDescent="0.25">
      <c r="B754" s="16">
        <v>45496</v>
      </c>
      <c r="C754" s="13">
        <v>65927.67</v>
      </c>
      <c r="D754" s="54">
        <v>71</v>
      </c>
      <c r="F754" s="16">
        <v>45496</v>
      </c>
      <c r="G754" s="13">
        <v>65927.67</v>
      </c>
      <c r="H754" s="4">
        <v>65927.67</v>
      </c>
      <c r="I754" s="4">
        <v>65927.67</v>
      </c>
      <c r="J754" s="3">
        <v>71</v>
      </c>
      <c r="K754" s="3">
        <v>71</v>
      </c>
      <c r="L754" s="54">
        <v>71</v>
      </c>
    </row>
    <row r="755" spans="2:12" x14ac:dyDescent="0.25">
      <c r="B755" s="17">
        <v>45497</v>
      </c>
      <c r="C755" s="13">
        <v>65372.13</v>
      </c>
      <c r="D755" s="54">
        <v>69</v>
      </c>
      <c r="F755" s="17">
        <v>45497</v>
      </c>
      <c r="G755" s="13">
        <v>65372.13</v>
      </c>
      <c r="H755" s="4">
        <v>65372.13</v>
      </c>
      <c r="I755" s="4">
        <v>65372.13</v>
      </c>
      <c r="J755" s="3">
        <v>69</v>
      </c>
      <c r="K755" s="3">
        <v>69</v>
      </c>
      <c r="L755" s="54">
        <v>69</v>
      </c>
    </row>
    <row r="756" spans="2:12" x14ac:dyDescent="0.25">
      <c r="B756" s="17">
        <v>45498</v>
      </c>
      <c r="C756" s="13">
        <v>65777.23</v>
      </c>
      <c r="D756" s="54">
        <v>68</v>
      </c>
      <c r="F756" s="17">
        <v>45498</v>
      </c>
      <c r="G756" s="13">
        <v>65777.23</v>
      </c>
      <c r="H756" s="4">
        <v>65777.23</v>
      </c>
      <c r="I756" s="4">
        <v>65777.23</v>
      </c>
      <c r="J756" s="3">
        <v>68</v>
      </c>
      <c r="K756" s="3">
        <v>68</v>
      </c>
      <c r="L756" s="54">
        <v>68</v>
      </c>
    </row>
    <row r="757" spans="2:12" x14ac:dyDescent="0.25">
      <c r="B757" s="17">
        <v>45499</v>
      </c>
      <c r="C757" s="13">
        <v>67912.06</v>
      </c>
      <c r="D757" s="54">
        <v>68</v>
      </c>
      <c r="F757" s="17">
        <v>45499</v>
      </c>
      <c r="G757" s="13">
        <v>67912.06</v>
      </c>
      <c r="H757" s="4">
        <v>67912.06</v>
      </c>
      <c r="I757" s="4">
        <v>67912.06</v>
      </c>
      <c r="J757" s="3">
        <v>68</v>
      </c>
      <c r="K757" s="3">
        <v>68</v>
      </c>
      <c r="L757" s="54">
        <v>68</v>
      </c>
    </row>
    <row r="758" spans="2:12" x14ac:dyDescent="0.25">
      <c r="B758" s="17">
        <v>45500</v>
      </c>
      <c r="C758" s="13">
        <v>67813.34</v>
      </c>
      <c r="D758" s="54">
        <v>72</v>
      </c>
      <c r="F758" s="17">
        <v>45500</v>
      </c>
      <c r="G758" s="13">
        <v>67813.34</v>
      </c>
      <c r="H758" s="4">
        <v>67813.34</v>
      </c>
      <c r="I758" s="4">
        <v>67813.34</v>
      </c>
      <c r="J758" s="3">
        <v>72</v>
      </c>
      <c r="K758" s="3">
        <v>72</v>
      </c>
      <c r="L758" s="54">
        <v>72</v>
      </c>
    </row>
    <row r="759" spans="2:12" x14ac:dyDescent="0.25">
      <c r="B759" s="17">
        <v>45501</v>
      </c>
      <c r="C759" s="13">
        <v>68255.87</v>
      </c>
      <c r="D759" s="54">
        <v>71</v>
      </c>
      <c r="F759" s="17">
        <v>45501</v>
      </c>
      <c r="G759" s="13">
        <v>68255.87</v>
      </c>
      <c r="H759" s="4">
        <v>68255.87</v>
      </c>
      <c r="I759" s="4">
        <v>68255.87</v>
      </c>
      <c r="J759" s="3">
        <v>71</v>
      </c>
      <c r="K759" s="3">
        <v>71</v>
      </c>
      <c r="L759" s="54">
        <v>71</v>
      </c>
    </row>
    <row r="760" spans="2:12" x14ac:dyDescent="0.25">
      <c r="B760" s="17">
        <v>45502</v>
      </c>
      <c r="C760" s="13">
        <v>66819.91</v>
      </c>
      <c r="D760" s="54">
        <v>74</v>
      </c>
      <c r="F760" s="17">
        <v>45502</v>
      </c>
      <c r="G760" s="13">
        <v>66819.91</v>
      </c>
      <c r="H760" s="4">
        <v>66819.91</v>
      </c>
      <c r="I760" s="4">
        <v>66819.91</v>
      </c>
      <c r="J760" s="3">
        <v>74</v>
      </c>
      <c r="K760" s="3">
        <v>74</v>
      </c>
      <c r="L760" s="54">
        <v>74</v>
      </c>
    </row>
    <row r="761" spans="2:12" x14ac:dyDescent="0.25">
      <c r="B761" s="17">
        <v>45503</v>
      </c>
      <c r="C761" s="13">
        <v>66201.02</v>
      </c>
      <c r="D761" s="54">
        <v>67</v>
      </c>
      <c r="F761" s="17">
        <v>45503</v>
      </c>
      <c r="G761" s="13">
        <v>66201.02</v>
      </c>
      <c r="H761" s="4">
        <v>66201.02</v>
      </c>
      <c r="I761" s="4">
        <v>66201.02</v>
      </c>
      <c r="J761" s="3">
        <v>67</v>
      </c>
      <c r="K761" s="3">
        <v>67</v>
      </c>
      <c r="L761" s="54">
        <v>67</v>
      </c>
    </row>
    <row r="762" spans="2:12" x14ac:dyDescent="0.25">
      <c r="B762" s="17">
        <v>45504</v>
      </c>
      <c r="C762" s="13">
        <v>64619.25</v>
      </c>
      <c r="D762" s="54">
        <v>61</v>
      </c>
      <c r="F762" s="17">
        <v>45504</v>
      </c>
      <c r="G762" s="13">
        <v>64619.25</v>
      </c>
      <c r="H762" s="4">
        <v>64619.25</v>
      </c>
      <c r="I762" s="4">
        <v>64619.25</v>
      </c>
      <c r="J762" s="3">
        <v>61</v>
      </c>
      <c r="K762" s="3">
        <v>61</v>
      </c>
      <c r="L762" s="54">
        <v>61</v>
      </c>
    </row>
    <row r="763" spans="2:12" x14ac:dyDescent="0.25">
      <c r="B763" s="17">
        <v>45505</v>
      </c>
      <c r="C763" s="13">
        <v>65357.5</v>
      </c>
      <c r="D763" s="54">
        <v>52</v>
      </c>
      <c r="F763" s="17">
        <v>45505</v>
      </c>
      <c r="G763" s="13">
        <v>65357.5</v>
      </c>
      <c r="H763" s="4">
        <v>65357.5</v>
      </c>
      <c r="I763" s="4">
        <v>65357.5</v>
      </c>
      <c r="J763" s="3">
        <v>52</v>
      </c>
      <c r="K763" s="3">
        <v>52</v>
      </c>
      <c r="L763" s="54">
        <v>52</v>
      </c>
    </row>
    <row r="764" spans="2:12" x14ac:dyDescent="0.25">
      <c r="B764" s="17">
        <v>45506</v>
      </c>
      <c r="C764" s="13">
        <v>61415.07</v>
      </c>
      <c r="D764" s="54">
        <v>57</v>
      </c>
      <c r="F764" s="17">
        <v>45506</v>
      </c>
      <c r="G764" s="13">
        <v>61415.07</v>
      </c>
      <c r="H764" s="4">
        <v>61415.07</v>
      </c>
      <c r="I764" s="4">
        <v>61415.07</v>
      </c>
      <c r="J764" s="3">
        <v>57</v>
      </c>
      <c r="K764" s="3">
        <v>57</v>
      </c>
      <c r="L764" s="54">
        <v>57</v>
      </c>
    </row>
    <row r="765" spans="2:12" x14ac:dyDescent="0.25">
      <c r="B765" s="17">
        <v>45507</v>
      </c>
      <c r="C765" s="13">
        <v>60680.09</v>
      </c>
      <c r="D765" s="54">
        <v>37</v>
      </c>
      <c r="F765" s="17">
        <v>45507</v>
      </c>
      <c r="G765" s="13">
        <v>60680.09</v>
      </c>
      <c r="H765" s="4">
        <v>60680.09</v>
      </c>
      <c r="I765" s="4">
        <v>60680.09</v>
      </c>
      <c r="J765" s="3">
        <v>37</v>
      </c>
      <c r="K765" s="3">
        <v>37</v>
      </c>
      <c r="L765" s="54">
        <v>37</v>
      </c>
    </row>
    <row r="766" spans="2:12" x14ac:dyDescent="0.25">
      <c r="B766" s="17">
        <v>45508</v>
      </c>
      <c r="C766" s="13">
        <v>58116.98</v>
      </c>
      <c r="D766" s="54">
        <v>34</v>
      </c>
      <c r="F766" s="17">
        <v>45508</v>
      </c>
      <c r="G766" s="13">
        <v>58116.98</v>
      </c>
      <c r="H766" s="4">
        <v>58116.98</v>
      </c>
      <c r="I766" s="4">
        <v>58116.98</v>
      </c>
      <c r="J766" s="3">
        <v>34</v>
      </c>
      <c r="K766" s="3">
        <v>34</v>
      </c>
      <c r="L766" s="54">
        <v>34</v>
      </c>
    </row>
    <row r="767" spans="2:12" x14ac:dyDescent="0.25">
      <c r="B767" s="17">
        <v>45509</v>
      </c>
      <c r="C767" s="13">
        <v>53991.46</v>
      </c>
      <c r="D767" s="54">
        <v>26</v>
      </c>
      <c r="F767" s="17">
        <v>45509</v>
      </c>
      <c r="G767" s="13">
        <v>53991.46</v>
      </c>
      <c r="H767" s="4">
        <v>53991.46</v>
      </c>
      <c r="I767" s="4">
        <v>53991.46</v>
      </c>
      <c r="J767" s="3">
        <v>26</v>
      </c>
      <c r="K767" s="3">
        <v>26</v>
      </c>
      <c r="L767" s="54">
        <v>26</v>
      </c>
    </row>
    <row r="768" spans="2:12" x14ac:dyDescent="0.25">
      <c r="B768" s="17">
        <v>45510</v>
      </c>
      <c r="C768" s="13">
        <v>56034.32</v>
      </c>
      <c r="D768" s="54">
        <v>17</v>
      </c>
      <c r="F768" s="17">
        <v>45510</v>
      </c>
      <c r="G768" s="13">
        <v>56034.32</v>
      </c>
      <c r="H768" s="4">
        <v>56034.32</v>
      </c>
      <c r="I768" s="4">
        <v>56034.32</v>
      </c>
      <c r="J768" s="3">
        <v>17</v>
      </c>
      <c r="K768" s="3">
        <v>17</v>
      </c>
      <c r="L768" s="54">
        <v>17</v>
      </c>
    </row>
    <row r="769" spans="2:12" x14ac:dyDescent="0.25">
      <c r="B769" s="17">
        <v>45511</v>
      </c>
      <c r="C769" s="13">
        <v>55027.46</v>
      </c>
      <c r="D769" s="54">
        <v>29</v>
      </c>
      <c r="F769" s="17">
        <v>45511</v>
      </c>
      <c r="G769" s="13">
        <v>55027.46</v>
      </c>
      <c r="H769" s="4">
        <v>55027.46</v>
      </c>
      <c r="I769" s="4">
        <v>55027.46</v>
      </c>
      <c r="J769" s="3">
        <v>29</v>
      </c>
      <c r="K769" s="3">
        <v>29</v>
      </c>
      <c r="L769" s="54">
        <v>29</v>
      </c>
    </row>
    <row r="770" spans="2:12" x14ac:dyDescent="0.25">
      <c r="B770" s="17">
        <v>45512</v>
      </c>
      <c r="C770" s="13">
        <v>61710.14</v>
      </c>
      <c r="D770" s="54">
        <v>20</v>
      </c>
      <c r="F770" s="17">
        <v>45512</v>
      </c>
      <c r="G770" s="13">
        <v>61710.14</v>
      </c>
      <c r="H770" s="4">
        <v>61710.14</v>
      </c>
      <c r="I770" s="4">
        <v>61710.14</v>
      </c>
      <c r="J770" s="3">
        <v>20</v>
      </c>
      <c r="K770" s="3">
        <v>20</v>
      </c>
      <c r="L770" s="54">
        <v>20</v>
      </c>
    </row>
    <row r="771" spans="2:12" x14ac:dyDescent="0.25">
      <c r="B771" s="17">
        <v>45513</v>
      </c>
      <c r="C771" s="13">
        <v>60880.11</v>
      </c>
      <c r="D771" s="54">
        <v>48</v>
      </c>
      <c r="F771" s="17">
        <v>45513</v>
      </c>
      <c r="G771" s="13">
        <v>60880.11</v>
      </c>
      <c r="H771" s="4">
        <v>60880.11</v>
      </c>
      <c r="I771" s="4">
        <v>60880.11</v>
      </c>
      <c r="J771" s="3">
        <v>48</v>
      </c>
      <c r="K771" s="3">
        <v>48</v>
      </c>
      <c r="L771" s="54">
        <v>48</v>
      </c>
    </row>
    <row r="772" spans="2:12" x14ac:dyDescent="0.25">
      <c r="B772" s="17">
        <v>45514</v>
      </c>
      <c r="C772" s="13">
        <v>60945.81</v>
      </c>
      <c r="D772" s="54">
        <v>40</v>
      </c>
      <c r="F772" s="17">
        <v>45514</v>
      </c>
      <c r="G772" s="13">
        <v>60945.81</v>
      </c>
      <c r="H772" s="4">
        <v>60945.81</v>
      </c>
      <c r="I772" s="4">
        <v>60945.81</v>
      </c>
      <c r="J772" s="3">
        <v>40</v>
      </c>
      <c r="K772" s="3">
        <v>40</v>
      </c>
      <c r="L772" s="54">
        <v>40</v>
      </c>
    </row>
    <row r="773" spans="2:12" x14ac:dyDescent="0.25">
      <c r="B773" s="17">
        <v>45515</v>
      </c>
      <c r="C773" s="13">
        <v>58719.48</v>
      </c>
      <c r="D773" s="54">
        <v>39</v>
      </c>
      <c r="F773" s="17">
        <v>45515</v>
      </c>
      <c r="G773" s="13">
        <v>58719.48</v>
      </c>
      <c r="H773" s="4">
        <v>58719.48</v>
      </c>
      <c r="I773" s="4">
        <v>58719.48</v>
      </c>
      <c r="J773" s="3">
        <v>39</v>
      </c>
      <c r="K773" s="3">
        <v>39</v>
      </c>
      <c r="L773" s="54">
        <v>39</v>
      </c>
    </row>
    <row r="774" spans="2:12" x14ac:dyDescent="0.25">
      <c r="B774" s="17">
        <v>45516</v>
      </c>
      <c r="C774" s="13">
        <v>59354.52</v>
      </c>
      <c r="D774" s="54">
        <v>25</v>
      </c>
      <c r="F774" s="17">
        <v>45516</v>
      </c>
      <c r="G774" s="13">
        <v>59354.52</v>
      </c>
      <c r="H774" s="4">
        <v>59354.52</v>
      </c>
      <c r="I774" s="4">
        <v>59354.52</v>
      </c>
      <c r="J774" s="3">
        <v>25</v>
      </c>
      <c r="K774" s="3">
        <v>25</v>
      </c>
      <c r="L774" s="54">
        <v>25</v>
      </c>
    </row>
    <row r="775" spans="2:12" x14ac:dyDescent="0.25">
      <c r="B775" s="17">
        <v>45517</v>
      </c>
      <c r="C775" s="13">
        <v>60609.57</v>
      </c>
      <c r="D775" s="54">
        <v>31</v>
      </c>
      <c r="F775" s="17">
        <v>45517</v>
      </c>
      <c r="G775" s="13">
        <v>60609.57</v>
      </c>
      <c r="H775" s="4">
        <v>60609.57</v>
      </c>
      <c r="I775" s="4">
        <v>60609.57</v>
      </c>
      <c r="J775" s="3">
        <v>31</v>
      </c>
      <c r="K775" s="3">
        <v>31</v>
      </c>
      <c r="L775" s="54">
        <v>31</v>
      </c>
    </row>
    <row r="776" spans="2:12" x14ac:dyDescent="0.25">
      <c r="B776" s="17">
        <v>45518</v>
      </c>
      <c r="C776" s="13">
        <v>58737.27</v>
      </c>
      <c r="D776" s="54">
        <v>30</v>
      </c>
      <c r="F776" s="17">
        <v>45518</v>
      </c>
      <c r="G776" s="13">
        <v>58737.27</v>
      </c>
      <c r="H776" s="4">
        <v>58737.27</v>
      </c>
      <c r="I776" s="4">
        <v>58737.27</v>
      </c>
      <c r="J776" s="3">
        <v>30</v>
      </c>
      <c r="K776" s="3">
        <v>30</v>
      </c>
      <c r="L776" s="54">
        <v>30</v>
      </c>
    </row>
    <row r="777" spans="2:12" x14ac:dyDescent="0.25">
      <c r="B777" s="17">
        <v>45519</v>
      </c>
      <c r="C777" s="13">
        <v>57560.1</v>
      </c>
      <c r="D777" s="54">
        <v>29</v>
      </c>
      <c r="F777" s="17">
        <v>45519</v>
      </c>
      <c r="G777" s="13">
        <v>57560.1</v>
      </c>
      <c r="H777" s="4">
        <v>57560.1</v>
      </c>
      <c r="I777" s="4">
        <v>57560.1</v>
      </c>
      <c r="J777" s="3">
        <v>29</v>
      </c>
      <c r="K777" s="3">
        <v>29</v>
      </c>
      <c r="L777" s="54">
        <v>29</v>
      </c>
    </row>
    <row r="778" spans="2:12" x14ac:dyDescent="0.25">
      <c r="B778" s="17">
        <v>45520</v>
      </c>
      <c r="C778" s="13">
        <v>58894.11</v>
      </c>
      <c r="D778" s="54">
        <v>27</v>
      </c>
      <c r="F778" s="17">
        <v>45520</v>
      </c>
      <c r="G778" s="13">
        <v>58894.11</v>
      </c>
      <c r="H778" s="4">
        <v>58894.11</v>
      </c>
      <c r="I778" s="4">
        <v>58894.11</v>
      </c>
      <c r="J778" s="3">
        <v>27</v>
      </c>
      <c r="K778" s="3">
        <v>27</v>
      </c>
      <c r="L778" s="54">
        <v>27</v>
      </c>
    </row>
    <row r="779" spans="2:12" x14ac:dyDescent="0.25">
      <c r="B779" s="17">
        <v>45521</v>
      </c>
      <c r="C779" s="13">
        <v>59478.97</v>
      </c>
      <c r="D779" s="54">
        <v>25</v>
      </c>
      <c r="F779" s="17">
        <v>45521</v>
      </c>
      <c r="G779" s="13">
        <v>59478.97</v>
      </c>
      <c r="H779" s="4">
        <v>59478.97</v>
      </c>
      <c r="I779" s="4">
        <v>59478.97</v>
      </c>
      <c r="J779" s="3">
        <v>25</v>
      </c>
      <c r="K779" s="3">
        <v>25</v>
      </c>
      <c r="L779" s="54">
        <v>25</v>
      </c>
    </row>
    <row r="780" spans="2:12" x14ac:dyDescent="0.25">
      <c r="B780" s="17">
        <v>45522</v>
      </c>
      <c r="C780" s="13">
        <v>58483.96</v>
      </c>
      <c r="D780" s="54">
        <v>31</v>
      </c>
      <c r="F780" s="17">
        <v>45522</v>
      </c>
      <c r="G780" s="13">
        <v>58483.96</v>
      </c>
      <c r="H780" s="4">
        <v>58483.96</v>
      </c>
      <c r="I780" s="4">
        <v>58483.96</v>
      </c>
      <c r="J780" s="3">
        <v>31</v>
      </c>
      <c r="K780" s="3">
        <v>31</v>
      </c>
      <c r="L780" s="54">
        <v>31</v>
      </c>
    </row>
    <row r="781" spans="2:12" x14ac:dyDescent="0.25">
      <c r="B781" s="17">
        <v>45523</v>
      </c>
      <c r="C781" s="13">
        <v>59493.45</v>
      </c>
      <c r="D781" s="54">
        <v>28</v>
      </c>
      <c r="F781" s="17">
        <v>45523</v>
      </c>
      <c r="G781" s="13">
        <v>59493.45</v>
      </c>
      <c r="H781" s="4">
        <v>59493.45</v>
      </c>
      <c r="I781" s="4">
        <v>59493.45</v>
      </c>
      <c r="J781" s="3">
        <v>28</v>
      </c>
      <c r="K781" s="3">
        <v>28</v>
      </c>
      <c r="L781" s="54">
        <v>28</v>
      </c>
    </row>
    <row r="782" spans="2:12" x14ac:dyDescent="0.25">
      <c r="B782" s="17">
        <v>45524</v>
      </c>
      <c r="C782" s="13">
        <v>59012.79</v>
      </c>
      <c r="D782" s="54">
        <v>30</v>
      </c>
      <c r="F782" s="17">
        <v>45524</v>
      </c>
      <c r="G782" s="13">
        <v>59012.79</v>
      </c>
      <c r="H782" s="4">
        <v>59012.79</v>
      </c>
      <c r="I782" s="4">
        <v>59012.79</v>
      </c>
      <c r="J782" s="3">
        <v>30</v>
      </c>
      <c r="K782" s="3">
        <v>30</v>
      </c>
      <c r="L782" s="54">
        <v>30</v>
      </c>
    </row>
    <row r="783" spans="2:12" x14ac:dyDescent="0.25">
      <c r="B783" s="17">
        <v>45525</v>
      </c>
      <c r="C783" s="13">
        <v>61175.19</v>
      </c>
      <c r="D783" s="54">
        <v>26</v>
      </c>
      <c r="F783" s="17">
        <v>45525</v>
      </c>
      <c r="G783" s="13">
        <v>61175.19</v>
      </c>
      <c r="H783" s="4">
        <v>61175.19</v>
      </c>
      <c r="I783" s="4">
        <v>61175.19</v>
      </c>
      <c r="J783" s="3">
        <v>26</v>
      </c>
      <c r="K783" s="3">
        <v>26</v>
      </c>
      <c r="L783" s="54">
        <v>26</v>
      </c>
    </row>
    <row r="784" spans="2:12" x14ac:dyDescent="0.25">
      <c r="B784" s="17">
        <v>45526</v>
      </c>
      <c r="C784" s="13">
        <v>60381.91</v>
      </c>
      <c r="D784" s="54">
        <v>39</v>
      </c>
      <c r="F784" s="17">
        <v>45526</v>
      </c>
      <c r="G784" s="13">
        <v>60381.91</v>
      </c>
      <c r="H784" s="4">
        <v>60381.91</v>
      </c>
      <c r="I784" s="4">
        <v>60381.91</v>
      </c>
      <c r="J784" s="3">
        <v>39</v>
      </c>
      <c r="K784" s="3">
        <v>39</v>
      </c>
      <c r="L784" s="54">
        <v>39</v>
      </c>
    </row>
    <row r="785" spans="2:12" x14ac:dyDescent="0.25">
      <c r="B785" s="17">
        <v>45527</v>
      </c>
      <c r="C785" s="13">
        <v>64094.36</v>
      </c>
      <c r="D785" s="54">
        <v>34</v>
      </c>
      <c r="F785" s="17">
        <v>45527</v>
      </c>
      <c r="G785" s="13">
        <v>64094.36</v>
      </c>
      <c r="H785" s="4">
        <v>64094.36</v>
      </c>
      <c r="I785" s="4">
        <v>64094.36</v>
      </c>
      <c r="J785" s="3">
        <v>34</v>
      </c>
      <c r="K785" s="3">
        <v>34</v>
      </c>
      <c r="L785" s="54">
        <v>34</v>
      </c>
    </row>
    <row r="786" spans="2:12" x14ac:dyDescent="0.25">
      <c r="B786" s="17">
        <v>45528</v>
      </c>
      <c r="C786" s="13">
        <v>64178.99</v>
      </c>
      <c r="D786" s="54">
        <v>56</v>
      </c>
      <c r="F786" s="17">
        <v>45528</v>
      </c>
      <c r="G786" s="13">
        <v>64178.99</v>
      </c>
      <c r="H786" s="4">
        <v>64178.99</v>
      </c>
      <c r="I786" s="4">
        <v>64178.99</v>
      </c>
      <c r="J786" s="3">
        <v>56</v>
      </c>
      <c r="K786" s="3">
        <v>56</v>
      </c>
      <c r="L786" s="54">
        <v>56</v>
      </c>
    </row>
    <row r="787" spans="2:12" x14ac:dyDescent="0.25">
      <c r="B787" s="17">
        <v>45529</v>
      </c>
      <c r="C787" s="13">
        <v>64333.54</v>
      </c>
      <c r="D787" s="54">
        <v>54</v>
      </c>
      <c r="F787" s="17">
        <v>45529</v>
      </c>
      <c r="G787" s="13">
        <v>64333.54</v>
      </c>
      <c r="H787" s="4">
        <v>64333.54</v>
      </c>
      <c r="I787" s="4">
        <v>64333.54</v>
      </c>
      <c r="J787" s="3">
        <v>54</v>
      </c>
      <c r="K787" s="3">
        <v>54</v>
      </c>
      <c r="L787" s="54">
        <v>54</v>
      </c>
    </row>
    <row r="788" spans="2:12" x14ac:dyDescent="0.25">
      <c r="B788" s="17">
        <v>45530</v>
      </c>
      <c r="C788" s="13">
        <v>62880.66</v>
      </c>
      <c r="D788" s="54">
        <v>55</v>
      </c>
      <c r="F788" s="17">
        <v>45530</v>
      </c>
      <c r="G788" s="13">
        <v>62880.66</v>
      </c>
      <c r="H788" s="4">
        <v>62880.66</v>
      </c>
      <c r="I788" s="4">
        <v>62880.66</v>
      </c>
      <c r="J788" s="3">
        <v>55</v>
      </c>
      <c r="K788" s="3">
        <v>55</v>
      </c>
      <c r="L788" s="54">
        <v>55</v>
      </c>
    </row>
    <row r="789" spans="2:12" x14ac:dyDescent="0.25">
      <c r="B789" s="17">
        <v>45531</v>
      </c>
      <c r="C789" s="13">
        <v>59504.13</v>
      </c>
      <c r="D789" s="54">
        <v>48</v>
      </c>
      <c r="F789" s="17">
        <v>45531</v>
      </c>
      <c r="G789" s="13">
        <v>59504.13</v>
      </c>
      <c r="H789" s="4">
        <v>59504.13</v>
      </c>
      <c r="I789" s="4">
        <v>59504.13</v>
      </c>
      <c r="J789" s="3">
        <v>48</v>
      </c>
      <c r="K789" s="3">
        <v>48</v>
      </c>
      <c r="L789" s="54">
        <v>48</v>
      </c>
    </row>
    <row r="790" spans="2:12" x14ac:dyDescent="0.25">
      <c r="B790" s="17">
        <v>45532</v>
      </c>
      <c r="C790" s="13">
        <v>59027.63</v>
      </c>
      <c r="D790" s="54">
        <v>30</v>
      </c>
      <c r="F790" s="17">
        <v>45532</v>
      </c>
      <c r="G790" s="13">
        <v>59027.63</v>
      </c>
      <c r="H790" s="4">
        <v>59027.63</v>
      </c>
      <c r="I790" s="4">
        <v>59027.63</v>
      </c>
      <c r="J790" s="3">
        <v>30</v>
      </c>
      <c r="K790" s="3">
        <v>30</v>
      </c>
      <c r="L790" s="54">
        <v>30</v>
      </c>
    </row>
    <row r="791" spans="2:12" x14ac:dyDescent="0.25">
      <c r="B791" s="17">
        <v>45533</v>
      </c>
      <c r="C791" s="13">
        <v>59388.18</v>
      </c>
      <c r="D791" s="54">
        <v>29</v>
      </c>
      <c r="F791" s="17">
        <v>45533</v>
      </c>
      <c r="G791" s="13">
        <v>59388.18</v>
      </c>
      <c r="H791" s="4">
        <v>59388.18</v>
      </c>
      <c r="I791" s="4">
        <v>59388.18</v>
      </c>
      <c r="J791" s="3">
        <v>29</v>
      </c>
      <c r="K791" s="3">
        <v>29</v>
      </c>
      <c r="L791" s="54">
        <v>29</v>
      </c>
    </row>
    <row r="792" spans="2:12" x14ac:dyDescent="0.25">
      <c r="B792" s="17">
        <v>45534</v>
      </c>
      <c r="C792" s="13">
        <v>59119.48</v>
      </c>
      <c r="D792" s="54">
        <v>34</v>
      </c>
      <c r="F792" s="17">
        <v>45534</v>
      </c>
      <c r="G792" s="13">
        <v>59119.48</v>
      </c>
      <c r="H792" s="4">
        <v>59119.48</v>
      </c>
      <c r="I792" s="4">
        <v>59119.48</v>
      </c>
      <c r="J792" s="3">
        <v>34</v>
      </c>
      <c r="K792" s="3">
        <v>34</v>
      </c>
      <c r="L792" s="54">
        <v>34</v>
      </c>
    </row>
    <row r="793" spans="2:12" x14ac:dyDescent="0.25">
      <c r="B793" s="17">
        <v>45535</v>
      </c>
      <c r="C793" s="13">
        <v>58969.9</v>
      </c>
      <c r="D793" s="54">
        <v>29</v>
      </c>
      <c r="F793" s="17">
        <v>45535</v>
      </c>
      <c r="G793" s="13">
        <v>58969.9</v>
      </c>
      <c r="H793" s="4">
        <v>58969.9</v>
      </c>
      <c r="I793" s="4">
        <v>58969.9</v>
      </c>
      <c r="J793" s="3">
        <v>29</v>
      </c>
      <c r="K793" s="3">
        <v>29</v>
      </c>
      <c r="L793" s="54">
        <v>29</v>
      </c>
    </row>
    <row r="794" spans="2:12" x14ac:dyDescent="0.25">
      <c r="B794" s="17">
        <v>45536</v>
      </c>
      <c r="C794" s="13">
        <v>57325.49</v>
      </c>
      <c r="D794" s="54">
        <v>26</v>
      </c>
      <c r="F794" s="17">
        <v>45536</v>
      </c>
      <c r="G794" s="13">
        <v>57325.49</v>
      </c>
      <c r="H794" s="4">
        <v>57325.49</v>
      </c>
      <c r="I794" s="4">
        <v>57325.49</v>
      </c>
      <c r="J794" s="3">
        <v>26</v>
      </c>
      <c r="K794" s="3">
        <v>26</v>
      </c>
      <c r="L794" s="54">
        <v>26</v>
      </c>
    </row>
    <row r="795" spans="2:12" x14ac:dyDescent="0.25">
      <c r="B795" s="17">
        <v>45537</v>
      </c>
      <c r="C795" s="13">
        <v>59112.480000000003</v>
      </c>
      <c r="D795" s="54">
        <v>26</v>
      </c>
      <c r="F795" s="17">
        <v>45537</v>
      </c>
      <c r="G795" s="13">
        <v>59112.480000000003</v>
      </c>
      <c r="H795" s="4">
        <v>59112.480000000003</v>
      </c>
      <c r="I795" s="4">
        <v>59112.480000000003</v>
      </c>
      <c r="J795" s="3">
        <v>26</v>
      </c>
      <c r="K795" s="3">
        <v>26</v>
      </c>
      <c r="L795" s="54">
        <v>26</v>
      </c>
    </row>
    <row r="796" spans="2:12" x14ac:dyDescent="0.25">
      <c r="B796" s="17">
        <v>45538</v>
      </c>
      <c r="C796" s="13">
        <v>57431.02</v>
      </c>
      <c r="D796" s="54">
        <v>26</v>
      </c>
      <c r="F796" s="17">
        <v>45538</v>
      </c>
      <c r="G796" s="13">
        <v>57431.02</v>
      </c>
      <c r="H796" s="4">
        <v>57431.02</v>
      </c>
      <c r="I796" s="4">
        <v>57431.02</v>
      </c>
      <c r="J796" s="3">
        <v>26</v>
      </c>
      <c r="K796" s="3">
        <v>26</v>
      </c>
      <c r="L796" s="54">
        <v>26</v>
      </c>
    </row>
    <row r="797" spans="2:12" x14ac:dyDescent="0.25">
      <c r="B797" s="17">
        <v>45539</v>
      </c>
      <c r="C797" s="13">
        <v>57971.54</v>
      </c>
      <c r="D797" s="54">
        <v>27</v>
      </c>
      <c r="F797" s="17">
        <v>45539</v>
      </c>
      <c r="G797" s="13">
        <v>57971.54</v>
      </c>
      <c r="H797" s="4">
        <v>57971.54</v>
      </c>
      <c r="I797" s="4">
        <v>57971.54</v>
      </c>
      <c r="J797" s="3">
        <v>27</v>
      </c>
      <c r="K797" s="3">
        <v>27</v>
      </c>
      <c r="L797" s="54">
        <v>27</v>
      </c>
    </row>
    <row r="798" spans="2:12" x14ac:dyDescent="0.25">
      <c r="B798" s="17">
        <v>45540</v>
      </c>
      <c r="C798" s="13">
        <v>56160.49</v>
      </c>
      <c r="D798" s="54">
        <v>29</v>
      </c>
      <c r="F798" s="17">
        <v>45540</v>
      </c>
      <c r="G798" s="13">
        <v>56160.49</v>
      </c>
      <c r="H798" s="4">
        <v>56160.49</v>
      </c>
      <c r="I798" s="4">
        <v>56160.49</v>
      </c>
      <c r="J798" s="3">
        <v>29</v>
      </c>
      <c r="K798" s="3">
        <v>29</v>
      </c>
      <c r="L798" s="54">
        <v>29</v>
      </c>
    </row>
    <row r="799" spans="2:12" x14ac:dyDescent="0.25">
      <c r="B799" s="17">
        <v>45541</v>
      </c>
      <c r="C799" s="13">
        <v>53948.75</v>
      </c>
      <c r="D799" s="54">
        <v>22</v>
      </c>
      <c r="F799" s="17">
        <v>45541</v>
      </c>
      <c r="G799" s="13">
        <v>53948.75</v>
      </c>
      <c r="H799" s="4">
        <v>53948.75</v>
      </c>
      <c r="I799" s="4">
        <v>53948.75</v>
      </c>
      <c r="J799" s="3">
        <v>22</v>
      </c>
      <c r="K799" s="3">
        <v>22</v>
      </c>
      <c r="L799" s="54">
        <v>22</v>
      </c>
    </row>
    <row r="800" spans="2:12" x14ac:dyDescent="0.25">
      <c r="B800" s="17">
        <v>45542</v>
      </c>
      <c r="C800" s="13">
        <v>54139.69</v>
      </c>
      <c r="D800" s="54">
        <v>23</v>
      </c>
      <c r="F800" s="17">
        <v>45542</v>
      </c>
      <c r="G800" s="13">
        <v>54139.69</v>
      </c>
      <c r="H800" s="4">
        <v>54139.69</v>
      </c>
      <c r="I800" s="4">
        <v>54139.69</v>
      </c>
      <c r="J800" s="3">
        <v>23</v>
      </c>
      <c r="K800" s="3">
        <v>23</v>
      </c>
      <c r="L800" s="54">
        <v>23</v>
      </c>
    </row>
    <row r="801" spans="2:12" x14ac:dyDescent="0.25">
      <c r="B801" s="17">
        <v>45543</v>
      </c>
      <c r="C801" s="13">
        <v>54841.57</v>
      </c>
      <c r="D801" s="54">
        <v>29</v>
      </c>
      <c r="F801" s="17">
        <v>45543</v>
      </c>
      <c r="G801" s="13">
        <v>54841.57</v>
      </c>
      <c r="H801" s="4">
        <v>54841.57</v>
      </c>
      <c r="I801" s="4">
        <v>54841.57</v>
      </c>
      <c r="J801" s="3">
        <v>29</v>
      </c>
      <c r="K801" s="3">
        <v>29</v>
      </c>
      <c r="L801" s="54">
        <v>29</v>
      </c>
    </row>
    <row r="802" spans="2:12" x14ac:dyDescent="0.25">
      <c r="B802" s="17">
        <v>45544</v>
      </c>
      <c r="C802" s="13">
        <v>57019.54</v>
      </c>
      <c r="D802" s="54">
        <v>26</v>
      </c>
      <c r="F802" s="17">
        <v>45544</v>
      </c>
      <c r="G802" s="13">
        <v>57019.54</v>
      </c>
      <c r="H802" s="4">
        <v>57019.54</v>
      </c>
      <c r="I802" s="4">
        <v>57019.54</v>
      </c>
      <c r="J802" s="3">
        <v>26</v>
      </c>
      <c r="K802" s="3">
        <v>26</v>
      </c>
      <c r="L802" s="54">
        <v>26</v>
      </c>
    </row>
    <row r="803" spans="2:12" ht="15.75" thickBot="1" x14ac:dyDescent="0.3">
      <c r="B803" s="18">
        <v>45545</v>
      </c>
      <c r="C803" s="13">
        <v>57648.71</v>
      </c>
      <c r="D803" s="54">
        <v>33</v>
      </c>
      <c r="F803" s="18">
        <v>45545</v>
      </c>
      <c r="G803" s="13">
        <v>57648.71</v>
      </c>
      <c r="H803" s="4">
        <v>57648.71</v>
      </c>
      <c r="I803" s="4">
        <v>57648.71</v>
      </c>
      <c r="J803" s="3">
        <v>33</v>
      </c>
      <c r="K803" s="3">
        <v>33</v>
      </c>
      <c r="L803" s="54">
        <v>33</v>
      </c>
    </row>
    <row r="804" spans="2:12" x14ac:dyDescent="0.25">
      <c r="B804" s="16">
        <v>45546</v>
      </c>
      <c r="C804" s="13">
        <v>57343.17</v>
      </c>
      <c r="D804" s="54">
        <v>37</v>
      </c>
      <c r="F804" s="16">
        <v>45546</v>
      </c>
      <c r="G804" s="13">
        <v>57343.17</v>
      </c>
      <c r="H804" s="4">
        <v>57343.17</v>
      </c>
      <c r="I804" s="4">
        <v>57343.17</v>
      </c>
      <c r="J804" s="3">
        <v>37</v>
      </c>
      <c r="K804" s="3">
        <v>37</v>
      </c>
      <c r="L804" s="54">
        <v>37</v>
      </c>
    </row>
    <row r="805" spans="2:12" x14ac:dyDescent="0.25">
      <c r="B805" s="17">
        <v>45547</v>
      </c>
      <c r="C805" s="13">
        <v>58127.01</v>
      </c>
      <c r="D805" s="54">
        <v>31</v>
      </c>
      <c r="F805" s="17">
        <v>45547</v>
      </c>
      <c r="G805" s="13">
        <v>58127.01</v>
      </c>
      <c r="H805" s="4">
        <v>58127.01</v>
      </c>
      <c r="I805" s="4">
        <v>58127.01</v>
      </c>
      <c r="J805" s="3">
        <v>31</v>
      </c>
      <c r="K805" s="3">
        <v>31</v>
      </c>
      <c r="L805" s="54">
        <v>31</v>
      </c>
    </row>
    <row r="806" spans="2:12" x14ac:dyDescent="0.25">
      <c r="B806" s="17">
        <v>45548</v>
      </c>
      <c r="C806" s="13">
        <v>60571.3</v>
      </c>
      <c r="D806" s="54">
        <v>32</v>
      </c>
      <c r="F806" s="17">
        <v>45548</v>
      </c>
      <c r="G806" s="13">
        <v>60571.3</v>
      </c>
      <c r="H806" s="4">
        <v>60571.3</v>
      </c>
      <c r="I806" s="4">
        <v>60571.3</v>
      </c>
      <c r="J806" s="3">
        <v>32</v>
      </c>
      <c r="K806" s="3">
        <v>32</v>
      </c>
      <c r="L806" s="54">
        <v>32</v>
      </c>
    </row>
    <row r="807" spans="2:12" x14ac:dyDescent="0.25">
      <c r="B807" s="17">
        <v>45549</v>
      </c>
      <c r="C807" s="13">
        <v>60005.120000000003</v>
      </c>
      <c r="D807" s="54">
        <v>50</v>
      </c>
      <c r="F807" s="17">
        <v>45549</v>
      </c>
      <c r="G807" s="13">
        <v>60005.120000000003</v>
      </c>
      <c r="H807" s="4">
        <v>60005.120000000003</v>
      </c>
      <c r="I807" s="4">
        <v>60005.120000000003</v>
      </c>
      <c r="J807" s="3">
        <v>50</v>
      </c>
      <c r="K807" s="3">
        <v>50</v>
      </c>
      <c r="L807" s="54">
        <v>50</v>
      </c>
    </row>
    <row r="808" spans="2:12" x14ac:dyDescent="0.25">
      <c r="B808" s="17">
        <v>45550</v>
      </c>
      <c r="C808" s="13">
        <v>59182.84</v>
      </c>
      <c r="D808" s="54">
        <v>51</v>
      </c>
      <c r="F808" s="17">
        <v>45550</v>
      </c>
      <c r="G808" s="13">
        <v>59182.84</v>
      </c>
      <c r="H808" s="4">
        <v>59182.84</v>
      </c>
      <c r="I808" s="4">
        <v>59182.84</v>
      </c>
      <c r="J808" s="3">
        <v>51</v>
      </c>
      <c r="K808" s="3">
        <v>51</v>
      </c>
      <c r="L808" s="54">
        <v>51</v>
      </c>
    </row>
    <row r="809" spans="2:12" x14ac:dyDescent="0.25">
      <c r="B809" s="17">
        <v>45551</v>
      </c>
      <c r="C809" s="13">
        <v>58192.51</v>
      </c>
      <c r="D809" s="54">
        <v>39</v>
      </c>
      <c r="F809" s="17">
        <v>45551</v>
      </c>
      <c r="G809" s="13">
        <v>58192.51</v>
      </c>
      <c r="H809" s="4">
        <v>58192.51</v>
      </c>
      <c r="I809" s="4">
        <v>58192.51</v>
      </c>
      <c r="J809" s="3">
        <v>39</v>
      </c>
      <c r="K809" s="3">
        <v>39</v>
      </c>
      <c r="L809" s="54">
        <v>39</v>
      </c>
    </row>
    <row r="810" spans="2:12" x14ac:dyDescent="0.25">
      <c r="B810" s="17">
        <v>45552</v>
      </c>
      <c r="C810" s="13">
        <v>60308.54</v>
      </c>
      <c r="D810" s="54">
        <v>33</v>
      </c>
      <c r="F810" s="17">
        <v>45552</v>
      </c>
      <c r="G810" s="13">
        <v>60308.54</v>
      </c>
      <c r="H810" s="4">
        <v>60308.54</v>
      </c>
      <c r="I810" s="4">
        <v>60308.54</v>
      </c>
      <c r="J810" s="3">
        <v>33</v>
      </c>
      <c r="K810" s="3">
        <v>33</v>
      </c>
      <c r="L810" s="54">
        <v>33</v>
      </c>
    </row>
    <row r="811" spans="2:12" x14ac:dyDescent="0.25">
      <c r="B811" s="17">
        <v>45553</v>
      </c>
      <c r="C811" s="13">
        <v>61649.68</v>
      </c>
      <c r="D811" s="54">
        <v>45</v>
      </c>
      <c r="F811" s="17">
        <v>45553</v>
      </c>
      <c r="G811" s="13">
        <v>61649.68</v>
      </c>
      <c r="H811" s="4">
        <v>61649.68</v>
      </c>
      <c r="I811" s="4">
        <v>61649.68</v>
      </c>
      <c r="J811" s="3">
        <v>45</v>
      </c>
      <c r="K811" s="3">
        <v>45</v>
      </c>
      <c r="L811" s="54">
        <v>45</v>
      </c>
    </row>
    <row r="812" spans="2:12" x14ac:dyDescent="0.25">
      <c r="B812" s="17">
        <v>45554</v>
      </c>
      <c r="C812" s="13">
        <v>62940.46</v>
      </c>
      <c r="D812" s="54">
        <v>49</v>
      </c>
      <c r="F812" s="17">
        <v>45554</v>
      </c>
      <c r="G812" s="13">
        <v>62940.46</v>
      </c>
      <c r="H812" s="4">
        <v>62940.46</v>
      </c>
      <c r="I812" s="4">
        <v>62940.46</v>
      </c>
      <c r="J812" s="3">
        <v>49</v>
      </c>
      <c r="K812" s="3">
        <v>49</v>
      </c>
      <c r="L812" s="54">
        <v>49</v>
      </c>
    </row>
    <row r="813" spans="2:12" x14ac:dyDescent="0.25">
      <c r="B813" s="17">
        <v>45555</v>
      </c>
      <c r="C813" s="13">
        <v>63192.98</v>
      </c>
      <c r="D813" s="54">
        <v>54</v>
      </c>
      <c r="F813" s="17">
        <v>45555</v>
      </c>
      <c r="G813" s="13">
        <v>63192.98</v>
      </c>
      <c r="H813" s="4">
        <v>63192.98</v>
      </c>
      <c r="I813" s="4">
        <v>63192.98</v>
      </c>
      <c r="J813" s="3">
        <v>54</v>
      </c>
      <c r="K813" s="3">
        <v>54</v>
      </c>
      <c r="L813" s="54">
        <v>54</v>
      </c>
    </row>
    <row r="814" spans="2:12" x14ac:dyDescent="0.25">
      <c r="B814" s="17">
        <v>45556</v>
      </c>
      <c r="C814" s="13">
        <v>63394.84</v>
      </c>
      <c r="D814" s="54">
        <v>54</v>
      </c>
      <c r="F814" s="17">
        <v>45556</v>
      </c>
      <c r="G814" s="13">
        <v>63394.84</v>
      </c>
      <c r="H814" s="4">
        <v>63394.84</v>
      </c>
      <c r="I814" s="4">
        <v>63394.84</v>
      </c>
      <c r="J814" s="3">
        <v>54</v>
      </c>
      <c r="K814" s="3">
        <v>54</v>
      </c>
      <c r="L814" s="54">
        <v>54</v>
      </c>
    </row>
    <row r="815" spans="2:12" x14ac:dyDescent="0.25">
      <c r="B815" s="17">
        <v>45557</v>
      </c>
      <c r="C815" s="13">
        <v>63648.71</v>
      </c>
      <c r="D815" s="54">
        <v>52</v>
      </c>
      <c r="F815" s="17">
        <v>45557</v>
      </c>
      <c r="G815" s="13">
        <v>63648.71</v>
      </c>
      <c r="H815" s="4">
        <v>63648.71</v>
      </c>
      <c r="I815" s="4">
        <v>63648.71</v>
      </c>
      <c r="J815" s="3">
        <v>52</v>
      </c>
      <c r="K815" s="3">
        <v>52</v>
      </c>
      <c r="L815" s="54">
        <v>52</v>
      </c>
    </row>
    <row r="816" spans="2:12" x14ac:dyDescent="0.25">
      <c r="B816" s="17">
        <v>45558</v>
      </c>
      <c r="C816" s="13">
        <v>63329.8</v>
      </c>
      <c r="D816" s="54">
        <v>50</v>
      </c>
      <c r="F816" s="17">
        <v>45558</v>
      </c>
      <c r="G816" s="13">
        <v>63329.8</v>
      </c>
      <c r="H816" s="4">
        <v>63329.8</v>
      </c>
      <c r="I816" s="4">
        <v>63329.8</v>
      </c>
      <c r="J816" s="3">
        <v>50</v>
      </c>
      <c r="K816" s="3">
        <v>50</v>
      </c>
      <c r="L816" s="54">
        <v>50</v>
      </c>
    </row>
    <row r="817" spans="2:12" x14ac:dyDescent="0.25">
      <c r="B817" s="17">
        <v>45559</v>
      </c>
      <c r="C817" s="13">
        <v>64301.97</v>
      </c>
      <c r="D817" s="54">
        <v>54</v>
      </c>
      <c r="F817" s="17">
        <v>45559</v>
      </c>
      <c r="G817" s="13">
        <v>64301.97</v>
      </c>
      <c r="H817" s="4">
        <v>64301.97</v>
      </c>
      <c r="I817" s="4">
        <v>64301.97</v>
      </c>
      <c r="J817" s="3">
        <v>54</v>
      </c>
      <c r="K817" s="3">
        <v>54</v>
      </c>
      <c r="L817" s="54">
        <v>54</v>
      </c>
    </row>
    <row r="818" spans="2:12" x14ac:dyDescent="0.25">
      <c r="B818" s="17">
        <v>45560</v>
      </c>
      <c r="C818" s="13">
        <v>63143.14</v>
      </c>
      <c r="D818" s="54">
        <v>59</v>
      </c>
      <c r="F818" s="17">
        <v>45560</v>
      </c>
      <c r="G818" s="13">
        <v>63143.14</v>
      </c>
      <c r="H818" s="4">
        <v>63143.14</v>
      </c>
      <c r="I818" s="4">
        <v>63143.14</v>
      </c>
      <c r="J818" s="3">
        <v>59</v>
      </c>
      <c r="K818" s="3">
        <v>59</v>
      </c>
      <c r="L818" s="54">
        <v>59</v>
      </c>
    </row>
    <row r="819" spans="2:12" x14ac:dyDescent="0.25">
      <c r="B819" s="17">
        <v>45561</v>
      </c>
      <c r="C819" s="13">
        <v>65181.02</v>
      </c>
      <c r="D819" s="54">
        <v>50</v>
      </c>
      <c r="F819" s="17">
        <v>45561</v>
      </c>
      <c r="G819" s="13">
        <v>65181.02</v>
      </c>
      <c r="H819" s="4">
        <v>65181.02</v>
      </c>
      <c r="I819" s="4">
        <v>65181.02</v>
      </c>
      <c r="J819" s="3">
        <v>50</v>
      </c>
      <c r="K819" s="3">
        <v>50</v>
      </c>
      <c r="L819" s="54">
        <v>50</v>
      </c>
    </row>
    <row r="820" spans="2:12" x14ac:dyDescent="0.25">
      <c r="B820" s="17">
        <v>45562</v>
      </c>
      <c r="C820" s="13">
        <v>65790.66</v>
      </c>
      <c r="D820" s="54">
        <v>61</v>
      </c>
      <c r="F820" s="17">
        <v>45562</v>
      </c>
      <c r="G820" s="13">
        <v>65790.66</v>
      </c>
      <c r="H820" s="4">
        <v>65790.66</v>
      </c>
      <c r="I820" s="4">
        <v>65790.66</v>
      </c>
      <c r="J820" s="3">
        <v>61</v>
      </c>
      <c r="K820" s="3">
        <v>61</v>
      </c>
      <c r="L820" s="54">
        <v>61</v>
      </c>
    </row>
    <row r="821" spans="2:12" x14ac:dyDescent="0.25">
      <c r="B821" s="17">
        <v>45563</v>
      </c>
      <c r="C821" s="13">
        <v>65887.649999999994</v>
      </c>
      <c r="D821" s="54">
        <v>64</v>
      </c>
      <c r="F821" s="17">
        <v>45563</v>
      </c>
      <c r="G821" s="13">
        <v>65887.649999999994</v>
      </c>
      <c r="H821" s="4">
        <v>65887.649999999994</v>
      </c>
      <c r="I821" s="4">
        <v>65887.649999999994</v>
      </c>
      <c r="J821" s="3">
        <v>64</v>
      </c>
      <c r="K821" s="3">
        <v>64</v>
      </c>
      <c r="L821" s="54">
        <v>64</v>
      </c>
    </row>
    <row r="822" spans="2:12" x14ac:dyDescent="0.25">
      <c r="B822" s="17">
        <v>45564</v>
      </c>
      <c r="C822" s="13">
        <v>65635.3</v>
      </c>
      <c r="D822" s="54">
        <v>63</v>
      </c>
      <c r="F822" s="17">
        <v>45564</v>
      </c>
      <c r="G822" s="13">
        <v>65635.3</v>
      </c>
      <c r="H822" s="4">
        <v>65635.3</v>
      </c>
      <c r="I822" s="4">
        <v>65635.3</v>
      </c>
      <c r="J822" s="3">
        <v>63</v>
      </c>
      <c r="K822" s="3">
        <v>63</v>
      </c>
      <c r="L822" s="54">
        <v>63</v>
      </c>
    </row>
    <row r="823" spans="2:12" x14ac:dyDescent="0.25">
      <c r="B823" s="17">
        <v>45565</v>
      </c>
      <c r="C823" s="13">
        <v>63329.5</v>
      </c>
      <c r="D823" s="54">
        <v>61</v>
      </c>
      <c r="F823" s="17">
        <v>45565</v>
      </c>
      <c r="G823" s="13">
        <v>63329.5</v>
      </c>
      <c r="H823" s="4">
        <v>63329.5</v>
      </c>
      <c r="I823" s="4">
        <v>63329.5</v>
      </c>
      <c r="J823" s="3">
        <v>61</v>
      </c>
      <c r="K823" s="3">
        <v>61</v>
      </c>
      <c r="L823" s="54">
        <v>61</v>
      </c>
    </row>
    <row r="824" spans="2:12" x14ac:dyDescent="0.25">
      <c r="B824" s="17">
        <v>45566</v>
      </c>
      <c r="C824" s="13">
        <v>60837.01</v>
      </c>
      <c r="D824" s="54">
        <v>50</v>
      </c>
      <c r="F824" s="17">
        <v>45566</v>
      </c>
      <c r="G824" s="13">
        <v>60837.01</v>
      </c>
      <c r="H824" s="4">
        <v>60837.01</v>
      </c>
      <c r="I824" s="4">
        <v>60837.01</v>
      </c>
      <c r="J824" s="3">
        <v>50</v>
      </c>
      <c r="K824" s="3">
        <v>50</v>
      </c>
      <c r="L824" s="54">
        <v>50</v>
      </c>
    </row>
    <row r="825" spans="2:12" x14ac:dyDescent="0.25">
      <c r="B825" s="17">
        <v>45567</v>
      </c>
      <c r="C825" s="13">
        <v>60632.79</v>
      </c>
      <c r="D825" s="54">
        <v>42</v>
      </c>
      <c r="F825" s="17">
        <v>45567</v>
      </c>
      <c r="G825" s="13">
        <v>60632.79</v>
      </c>
      <c r="H825" s="4">
        <v>60632.79</v>
      </c>
      <c r="I825" s="4">
        <v>60632.79</v>
      </c>
      <c r="J825" s="3">
        <v>42</v>
      </c>
      <c r="K825" s="3">
        <v>42</v>
      </c>
      <c r="L825" s="54">
        <v>42</v>
      </c>
    </row>
    <row r="826" spans="2:12" x14ac:dyDescent="0.25">
      <c r="B826" s="17">
        <v>45568</v>
      </c>
      <c r="C826" s="13">
        <v>60759.4</v>
      </c>
      <c r="D826" s="54">
        <v>37</v>
      </c>
      <c r="F826" s="17">
        <v>45568</v>
      </c>
      <c r="G826" s="13">
        <v>60759.4</v>
      </c>
      <c r="H826" s="4">
        <v>60759.4</v>
      </c>
      <c r="I826" s="4">
        <v>60759.4</v>
      </c>
      <c r="J826" s="3">
        <v>37</v>
      </c>
      <c r="K826" s="3">
        <v>37</v>
      </c>
      <c r="L826" s="54">
        <v>37</v>
      </c>
    </row>
    <row r="827" spans="2:12" x14ac:dyDescent="0.25">
      <c r="B827" s="17">
        <v>45569</v>
      </c>
      <c r="C827" s="13">
        <v>62067.48</v>
      </c>
      <c r="D827" s="54">
        <v>41</v>
      </c>
      <c r="F827" s="17">
        <v>45569</v>
      </c>
      <c r="G827" s="13">
        <v>62067.48</v>
      </c>
      <c r="H827" s="4">
        <v>62067.48</v>
      </c>
      <c r="I827" s="4">
        <v>62067.48</v>
      </c>
      <c r="J827" s="3">
        <v>41</v>
      </c>
      <c r="K827" s="3">
        <v>41</v>
      </c>
      <c r="L827" s="54">
        <v>41</v>
      </c>
    </row>
    <row r="828" spans="2:12" x14ac:dyDescent="0.25">
      <c r="B828" s="17">
        <v>45570</v>
      </c>
      <c r="C828" s="13">
        <v>62089.95</v>
      </c>
      <c r="D828" s="54">
        <v>49</v>
      </c>
      <c r="F828" s="17">
        <v>45570</v>
      </c>
      <c r="G828" s="13">
        <v>62089.95</v>
      </c>
      <c r="H828" s="4">
        <v>62089.95</v>
      </c>
      <c r="I828" s="4">
        <v>62089.95</v>
      </c>
      <c r="J828" s="3">
        <v>49</v>
      </c>
      <c r="K828" s="3">
        <v>49</v>
      </c>
      <c r="L828" s="54">
        <v>49</v>
      </c>
    </row>
    <row r="829" spans="2:12" x14ac:dyDescent="0.25">
      <c r="B829" s="17">
        <v>45571</v>
      </c>
      <c r="C829" s="13">
        <v>62818.95</v>
      </c>
      <c r="D829" s="54">
        <v>50</v>
      </c>
      <c r="F829" s="17">
        <v>45571</v>
      </c>
      <c r="G829" s="13">
        <v>62818.95</v>
      </c>
      <c r="H829" s="4">
        <v>62818.95</v>
      </c>
      <c r="I829" s="4">
        <v>62818.95</v>
      </c>
      <c r="J829" s="3">
        <v>50</v>
      </c>
      <c r="K829" s="3">
        <v>50</v>
      </c>
      <c r="L829" s="54">
        <v>50</v>
      </c>
    </row>
    <row r="830" spans="2:12" x14ac:dyDescent="0.25">
      <c r="B830" s="17">
        <v>45572</v>
      </c>
      <c r="C830" s="13">
        <v>62236.66</v>
      </c>
      <c r="D830" s="54">
        <v>50</v>
      </c>
      <c r="F830" s="17">
        <v>45572</v>
      </c>
      <c r="G830" s="13">
        <v>62236.66</v>
      </c>
      <c r="H830" s="4">
        <v>62236.66</v>
      </c>
      <c r="I830" s="4">
        <v>62236.66</v>
      </c>
      <c r="J830" s="3">
        <v>50</v>
      </c>
      <c r="K830" s="3">
        <v>50</v>
      </c>
      <c r="L830" s="54">
        <v>50</v>
      </c>
    </row>
    <row r="831" spans="2:12" x14ac:dyDescent="0.25">
      <c r="B831" s="17">
        <v>45573</v>
      </c>
      <c r="C831" s="13">
        <v>62131.97</v>
      </c>
      <c r="D831" s="54">
        <v>49</v>
      </c>
      <c r="F831" s="17">
        <v>45573</v>
      </c>
      <c r="G831" s="13">
        <v>62131.97</v>
      </c>
      <c r="H831" s="4">
        <v>62131.97</v>
      </c>
      <c r="I831" s="4">
        <v>62131.97</v>
      </c>
      <c r="J831" s="3">
        <v>49</v>
      </c>
      <c r="K831" s="3">
        <v>49</v>
      </c>
      <c r="L831" s="54">
        <v>49</v>
      </c>
    </row>
    <row r="832" spans="2:12" x14ac:dyDescent="0.25">
      <c r="B832" s="17">
        <v>45574</v>
      </c>
      <c r="C832" s="13">
        <v>60582.1</v>
      </c>
      <c r="D832" s="54">
        <v>49</v>
      </c>
      <c r="F832" s="17">
        <v>45574</v>
      </c>
      <c r="G832" s="13">
        <v>60582.1</v>
      </c>
      <c r="H832" s="4">
        <v>60582.1</v>
      </c>
      <c r="I832" s="4">
        <v>60582.1</v>
      </c>
      <c r="J832" s="3">
        <v>49</v>
      </c>
      <c r="K832" s="3">
        <v>49</v>
      </c>
      <c r="L832" s="54">
        <v>49</v>
      </c>
    </row>
    <row r="833" spans="2:12" x14ac:dyDescent="0.25">
      <c r="B833" s="17">
        <v>45575</v>
      </c>
      <c r="C833" s="13">
        <v>60274.5</v>
      </c>
      <c r="D833" s="54">
        <v>39</v>
      </c>
      <c r="F833" s="17">
        <v>45575</v>
      </c>
      <c r="G833" s="13">
        <v>60274.5</v>
      </c>
      <c r="H833" s="4">
        <v>60274.5</v>
      </c>
      <c r="I833" s="4">
        <v>60274.5</v>
      </c>
      <c r="J833" s="3">
        <v>39</v>
      </c>
      <c r="K833" s="3">
        <v>39</v>
      </c>
      <c r="L833" s="54">
        <v>39</v>
      </c>
    </row>
    <row r="834" spans="2:12" x14ac:dyDescent="0.25">
      <c r="B834" s="17">
        <v>45576</v>
      </c>
      <c r="C834" s="13">
        <v>62445.09</v>
      </c>
      <c r="D834" s="54">
        <v>32</v>
      </c>
      <c r="F834" s="17">
        <v>45576</v>
      </c>
      <c r="G834" s="13">
        <v>62445.09</v>
      </c>
      <c r="H834" s="4">
        <v>62445.09</v>
      </c>
      <c r="I834" s="4">
        <v>62445.09</v>
      </c>
      <c r="J834" s="3">
        <v>32</v>
      </c>
      <c r="K834" s="3">
        <v>32</v>
      </c>
      <c r="L834" s="54">
        <v>32</v>
      </c>
    </row>
    <row r="835" spans="2:12" x14ac:dyDescent="0.25">
      <c r="B835" s="17">
        <v>45577</v>
      </c>
      <c r="C835" s="13">
        <v>63193.02</v>
      </c>
      <c r="D835" s="54">
        <v>49</v>
      </c>
      <c r="F835" s="17">
        <v>45577</v>
      </c>
      <c r="G835" s="13">
        <v>63193.02</v>
      </c>
      <c r="H835" s="4">
        <v>63193.02</v>
      </c>
      <c r="I835" s="4">
        <v>63193.02</v>
      </c>
      <c r="J835" s="3">
        <v>49</v>
      </c>
      <c r="K835" s="3">
        <v>49</v>
      </c>
      <c r="L835" s="54">
        <v>49</v>
      </c>
    </row>
    <row r="836" spans="2:12" x14ac:dyDescent="0.25">
      <c r="B836" s="17">
        <v>45578</v>
      </c>
      <c r="C836" s="13">
        <v>62851.38</v>
      </c>
      <c r="D836" s="54">
        <v>50</v>
      </c>
      <c r="F836" s="17">
        <v>45578</v>
      </c>
      <c r="G836" s="13">
        <v>62851.38</v>
      </c>
      <c r="H836" s="4">
        <v>62851.38</v>
      </c>
      <c r="I836" s="4">
        <v>62851.38</v>
      </c>
      <c r="J836" s="3">
        <v>50</v>
      </c>
      <c r="K836" s="3">
        <v>50</v>
      </c>
      <c r="L836" s="54">
        <v>50</v>
      </c>
    </row>
    <row r="837" spans="2:12" x14ac:dyDescent="0.25">
      <c r="B837" s="17">
        <v>45579</v>
      </c>
      <c r="C837" s="13">
        <v>66046.13</v>
      </c>
      <c r="D837" s="54">
        <v>48</v>
      </c>
      <c r="F837" s="17">
        <v>45579</v>
      </c>
      <c r="G837" s="13">
        <v>66046.13</v>
      </c>
      <c r="H837" s="4">
        <v>66046.13</v>
      </c>
      <c r="I837" s="4">
        <v>66046.13</v>
      </c>
      <c r="J837" s="3">
        <v>48</v>
      </c>
      <c r="K837" s="3">
        <v>48</v>
      </c>
      <c r="L837" s="54">
        <v>48</v>
      </c>
    </row>
    <row r="838" spans="2:12" x14ac:dyDescent="0.25">
      <c r="B838" s="17">
        <v>45580</v>
      </c>
      <c r="C838" s="13">
        <v>67041.11</v>
      </c>
      <c r="D838" s="54">
        <v>65</v>
      </c>
      <c r="F838" s="17">
        <v>45580</v>
      </c>
      <c r="G838" s="13">
        <v>67041.11</v>
      </c>
      <c r="H838" s="4">
        <v>67041.11</v>
      </c>
      <c r="I838" s="4">
        <v>67041.11</v>
      </c>
      <c r="J838" s="3">
        <v>65</v>
      </c>
      <c r="K838" s="3">
        <v>65</v>
      </c>
      <c r="L838" s="54">
        <v>65</v>
      </c>
    </row>
    <row r="839" spans="2:12" x14ac:dyDescent="0.25">
      <c r="B839" s="17">
        <v>45581</v>
      </c>
      <c r="C839" s="13">
        <v>67612.72</v>
      </c>
      <c r="D839" s="54">
        <v>73</v>
      </c>
      <c r="F839" s="17">
        <v>45581</v>
      </c>
      <c r="G839" s="13">
        <v>67612.72</v>
      </c>
      <c r="H839" s="4">
        <v>67612.72</v>
      </c>
      <c r="I839" s="4">
        <v>67612.72</v>
      </c>
      <c r="J839" s="3">
        <v>73</v>
      </c>
      <c r="K839" s="3">
        <v>73</v>
      </c>
      <c r="L839" s="54">
        <v>73</v>
      </c>
    </row>
    <row r="840" spans="2:12" x14ac:dyDescent="0.25">
      <c r="B840" s="17">
        <v>45582</v>
      </c>
      <c r="C840" s="13">
        <v>67399.839999999997</v>
      </c>
      <c r="D840" s="54">
        <v>71</v>
      </c>
      <c r="F840" s="17">
        <v>45582</v>
      </c>
      <c r="G840" s="13">
        <v>67399.839999999997</v>
      </c>
      <c r="H840" s="4">
        <v>67399.839999999997</v>
      </c>
      <c r="I840" s="4">
        <v>67399.839999999997</v>
      </c>
      <c r="J840" s="3">
        <v>71</v>
      </c>
      <c r="K840" s="3">
        <v>71</v>
      </c>
      <c r="L840" s="54">
        <v>71</v>
      </c>
    </row>
    <row r="841" spans="2:12" x14ac:dyDescent="0.25">
      <c r="B841" s="17">
        <v>45583</v>
      </c>
      <c r="C841" s="13">
        <v>68418.789999999994</v>
      </c>
      <c r="D841" s="54">
        <v>73</v>
      </c>
      <c r="F841" s="17">
        <v>45583</v>
      </c>
      <c r="G841" s="13">
        <v>68418.789999999994</v>
      </c>
      <c r="H841" s="4">
        <v>68418.789999999994</v>
      </c>
      <c r="I841" s="4">
        <v>68418.789999999994</v>
      </c>
      <c r="J841" s="3">
        <v>73</v>
      </c>
      <c r="K841" s="3">
        <v>73</v>
      </c>
      <c r="L841" s="54">
        <v>73</v>
      </c>
    </row>
    <row r="842" spans="2:12" x14ac:dyDescent="0.25">
      <c r="B842" s="17">
        <v>45584</v>
      </c>
      <c r="C842" s="13">
        <v>68362.73</v>
      </c>
      <c r="D842" s="54">
        <v>72</v>
      </c>
      <c r="F842" s="17">
        <v>45584</v>
      </c>
      <c r="G842" s="13">
        <v>68362.73</v>
      </c>
      <c r="H842" s="4">
        <v>68362.73</v>
      </c>
      <c r="I842" s="4">
        <v>68362.73</v>
      </c>
      <c r="J842" s="3">
        <v>72</v>
      </c>
      <c r="K842" s="3">
        <v>72</v>
      </c>
      <c r="L842" s="54">
        <v>72</v>
      </c>
    </row>
    <row r="843" spans="2:12" x14ac:dyDescent="0.25">
      <c r="B843" s="17">
        <v>45585</v>
      </c>
      <c r="C843" s="13">
        <v>69001.7</v>
      </c>
      <c r="D843" s="54">
        <v>73</v>
      </c>
      <c r="F843" s="17">
        <v>45585</v>
      </c>
      <c r="G843" s="13">
        <v>69001.7</v>
      </c>
      <c r="H843" s="4">
        <v>69001.7</v>
      </c>
      <c r="I843" s="4">
        <v>69001.7</v>
      </c>
      <c r="J843" s="3">
        <v>73</v>
      </c>
      <c r="K843" s="3">
        <v>73</v>
      </c>
      <c r="L843" s="54">
        <v>73</v>
      </c>
    </row>
    <row r="844" spans="2:12" x14ac:dyDescent="0.25">
      <c r="B844" s="17">
        <v>45586</v>
      </c>
      <c r="C844" s="13">
        <v>67367.850000000006</v>
      </c>
      <c r="D844" s="54">
        <v>72</v>
      </c>
      <c r="F844" s="17">
        <v>45586</v>
      </c>
      <c r="G844" s="13">
        <v>67367.850000000006</v>
      </c>
      <c r="H844" s="4">
        <v>67367.850000000006</v>
      </c>
      <c r="I844" s="4">
        <v>67367.850000000006</v>
      </c>
      <c r="J844" s="3">
        <v>72</v>
      </c>
      <c r="K844" s="3">
        <v>72</v>
      </c>
      <c r="L844" s="54">
        <v>72</v>
      </c>
    </row>
    <row r="845" spans="2:12" x14ac:dyDescent="0.25">
      <c r="B845" s="17">
        <v>45587</v>
      </c>
      <c r="C845" s="13">
        <v>67361.41</v>
      </c>
      <c r="D845" s="54">
        <v>70</v>
      </c>
      <c r="F845" s="17">
        <v>45587</v>
      </c>
      <c r="G845" s="13">
        <v>67361.41</v>
      </c>
      <c r="H845" s="4">
        <v>67361.41</v>
      </c>
      <c r="I845" s="4">
        <v>67361.41</v>
      </c>
      <c r="J845" s="3">
        <v>70</v>
      </c>
      <c r="K845" s="3">
        <v>70</v>
      </c>
      <c r="L845" s="54">
        <v>70</v>
      </c>
    </row>
    <row r="846" spans="2:12" x14ac:dyDescent="0.25">
      <c r="B846" s="17">
        <v>45588</v>
      </c>
      <c r="C846" s="13">
        <v>66432.2</v>
      </c>
      <c r="D846" s="54">
        <v>71</v>
      </c>
      <c r="F846" s="17">
        <v>45588</v>
      </c>
      <c r="G846" s="13">
        <v>66432.2</v>
      </c>
      <c r="H846" s="4">
        <v>66432.2</v>
      </c>
      <c r="I846" s="4">
        <v>66432.2</v>
      </c>
      <c r="J846" s="3">
        <v>71</v>
      </c>
      <c r="K846" s="3">
        <v>71</v>
      </c>
      <c r="L846" s="54">
        <v>71</v>
      </c>
    </row>
    <row r="847" spans="2:12" x14ac:dyDescent="0.25">
      <c r="B847" s="17">
        <v>45589</v>
      </c>
      <c r="C847" s="13">
        <v>68161.05</v>
      </c>
      <c r="D847" s="54">
        <v>69</v>
      </c>
      <c r="F847" s="17">
        <v>45589</v>
      </c>
      <c r="G847" s="13">
        <v>68161.05</v>
      </c>
      <c r="H847" s="4">
        <v>68161.05</v>
      </c>
      <c r="I847" s="4">
        <v>68161.05</v>
      </c>
      <c r="J847" s="3">
        <v>69</v>
      </c>
      <c r="K847" s="3">
        <v>69</v>
      </c>
      <c r="L847" s="54">
        <v>69</v>
      </c>
    </row>
    <row r="848" spans="2:12" x14ac:dyDescent="0.25">
      <c r="B848" s="17">
        <v>45590</v>
      </c>
      <c r="C848" s="13">
        <v>66642.41</v>
      </c>
      <c r="D848" s="54">
        <v>72</v>
      </c>
      <c r="F848" s="17">
        <v>45590</v>
      </c>
      <c r="G848" s="13">
        <v>66642.41</v>
      </c>
      <c r="H848" s="4">
        <v>66642.41</v>
      </c>
      <c r="I848" s="4">
        <v>66642.41</v>
      </c>
      <c r="J848" s="3">
        <v>72</v>
      </c>
      <c r="K848" s="3">
        <v>72</v>
      </c>
      <c r="L848" s="54">
        <v>72</v>
      </c>
    </row>
    <row r="849" spans="2:12" x14ac:dyDescent="0.25">
      <c r="B849" s="17">
        <v>45591</v>
      </c>
      <c r="C849" s="13">
        <v>67014.7</v>
      </c>
      <c r="D849" s="54">
        <v>73</v>
      </c>
      <c r="F849" s="17">
        <v>45591</v>
      </c>
      <c r="G849" s="13">
        <v>67014.7</v>
      </c>
      <c r="H849" s="4">
        <v>67014.7</v>
      </c>
      <c r="I849" s="4">
        <v>67014.7</v>
      </c>
      <c r="J849" s="3">
        <v>73</v>
      </c>
      <c r="K849" s="3">
        <v>73</v>
      </c>
      <c r="L849" s="54">
        <v>73</v>
      </c>
    </row>
    <row r="850" spans="2:12" x14ac:dyDescent="0.25">
      <c r="B850" s="17">
        <v>45592</v>
      </c>
      <c r="C850" s="13">
        <v>67929.3</v>
      </c>
      <c r="D850" s="54">
        <v>74</v>
      </c>
      <c r="F850" s="17">
        <v>45592</v>
      </c>
      <c r="G850" s="13">
        <v>67929.3</v>
      </c>
      <c r="H850" s="4">
        <v>67929.3</v>
      </c>
      <c r="I850" s="4">
        <v>67929.3</v>
      </c>
      <c r="J850" s="3">
        <v>74</v>
      </c>
      <c r="K850" s="3">
        <v>74</v>
      </c>
      <c r="L850" s="54">
        <v>74</v>
      </c>
    </row>
    <row r="851" spans="2:12" x14ac:dyDescent="0.25">
      <c r="B851" s="17">
        <v>45593</v>
      </c>
      <c r="C851" s="13">
        <v>69907.759999999995</v>
      </c>
      <c r="D851" s="54">
        <v>72</v>
      </c>
      <c r="F851" s="17">
        <v>45593</v>
      </c>
      <c r="G851" s="13">
        <v>69907.759999999995</v>
      </c>
      <c r="H851" s="4">
        <v>69907.759999999995</v>
      </c>
      <c r="I851" s="4">
        <v>69907.759999999995</v>
      </c>
      <c r="J851" s="3">
        <v>72</v>
      </c>
      <c r="K851" s="3">
        <v>72</v>
      </c>
      <c r="L851" s="54">
        <v>72</v>
      </c>
    </row>
    <row r="852" spans="2:12" x14ac:dyDescent="0.25">
      <c r="B852" s="17">
        <v>45594</v>
      </c>
      <c r="C852" s="13">
        <v>72720.490000000005</v>
      </c>
      <c r="D852" s="54">
        <v>72</v>
      </c>
      <c r="F852" s="17">
        <v>45594</v>
      </c>
      <c r="G852" s="13">
        <v>72720.490000000005</v>
      </c>
      <c r="H852" s="4">
        <v>72720.490000000005</v>
      </c>
      <c r="I852" s="4">
        <v>72720.490000000005</v>
      </c>
      <c r="J852" s="3">
        <v>72</v>
      </c>
      <c r="K852" s="3">
        <v>72</v>
      </c>
      <c r="L852" s="54">
        <v>72</v>
      </c>
    </row>
    <row r="853" spans="2:12" ht="15.75" thickBot="1" x14ac:dyDescent="0.3">
      <c r="B853" s="18">
        <v>45595</v>
      </c>
      <c r="C853" s="13">
        <v>72339.539999999994</v>
      </c>
      <c r="D853" s="54">
        <v>77</v>
      </c>
      <c r="F853" s="18">
        <v>45595</v>
      </c>
      <c r="G853" s="13">
        <v>72339.539999999994</v>
      </c>
      <c r="H853" s="4">
        <v>72339.539999999994</v>
      </c>
      <c r="I853" s="4">
        <v>72339.539999999994</v>
      </c>
      <c r="J853" s="3">
        <v>77</v>
      </c>
      <c r="K853" s="3">
        <v>77</v>
      </c>
      <c r="L853" s="54">
        <v>77</v>
      </c>
    </row>
    <row r="854" spans="2:12" x14ac:dyDescent="0.25">
      <c r="B854" s="16">
        <v>45596</v>
      </c>
      <c r="C854" s="13">
        <v>70215.19</v>
      </c>
      <c r="D854" s="54">
        <v>77</v>
      </c>
      <c r="F854" s="16">
        <v>45596</v>
      </c>
      <c r="G854" s="13">
        <v>70215.19</v>
      </c>
      <c r="H854" s="4">
        <v>70215.19</v>
      </c>
      <c r="I854" s="4">
        <v>70215.19</v>
      </c>
      <c r="J854" s="3">
        <v>77</v>
      </c>
      <c r="K854" s="3">
        <v>77</v>
      </c>
      <c r="L854" s="54">
        <v>77</v>
      </c>
    </row>
    <row r="855" spans="2:12" x14ac:dyDescent="0.25">
      <c r="B855" s="17">
        <v>45597</v>
      </c>
      <c r="C855" s="13">
        <v>69482.47</v>
      </c>
      <c r="D855" s="54">
        <v>75</v>
      </c>
      <c r="F855" s="17">
        <v>45597</v>
      </c>
      <c r="G855" s="13">
        <v>69482.47</v>
      </c>
      <c r="H855" s="4">
        <v>69482.47</v>
      </c>
      <c r="I855" s="4">
        <v>69482.47</v>
      </c>
      <c r="J855" s="3">
        <v>75</v>
      </c>
      <c r="K855" s="3">
        <v>75</v>
      </c>
      <c r="L855" s="54">
        <v>75</v>
      </c>
    </row>
    <row r="856" spans="2:12" x14ac:dyDescent="0.25">
      <c r="B856" s="17">
        <v>45598</v>
      </c>
      <c r="C856" s="13">
        <v>69289.27</v>
      </c>
      <c r="D856" s="54">
        <v>72</v>
      </c>
      <c r="F856" s="17">
        <v>45598</v>
      </c>
      <c r="G856" s="13">
        <v>69289.27</v>
      </c>
      <c r="H856" s="4">
        <v>69289.27</v>
      </c>
      <c r="I856" s="4">
        <v>69289.27</v>
      </c>
      <c r="J856" s="3">
        <v>72</v>
      </c>
      <c r="K856" s="3">
        <v>72</v>
      </c>
      <c r="L856" s="54">
        <v>72</v>
      </c>
    </row>
    <row r="857" spans="2:12" x14ac:dyDescent="0.25">
      <c r="B857" s="17">
        <v>45599</v>
      </c>
      <c r="C857" s="13">
        <v>68741.119999999995</v>
      </c>
      <c r="D857" s="54">
        <v>74</v>
      </c>
      <c r="F857" s="17">
        <v>45599</v>
      </c>
      <c r="G857" s="13">
        <v>68741.119999999995</v>
      </c>
      <c r="H857" s="4">
        <v>68741.119999999995</v>
      </c>
      <c r="I857" s="4">
        <v>68741.119999999995</v>
      </c>
      <c r="J857" s="3">
        <v>74</v>
      </c>
      <c r="K857" s="3">
        <v>74</v>
      </c>
      <c r="L857" s="54">
        <v>74</v>
      </c>
    </row>
    <row r="858" spans="2:12" x14ac:dyDescent="0.25">
      <c r="B858" s="17">
        <v>45600</v>
      </c>
      <c r="C858" s="13">
        <v>67811.509999999995</v>
      </c>
      <c r="D858" s="54">
        <v>70</v>
      </c>
      <c r="F858" s="17">
        <v>45600</v>
      </c>
      <c r="G858" s="13">
        <v>67811.509999999995</v>
      </c>
      <c r="H858" s="4">
        <v>67811.509999999995</v>
      </c>
      <c r="I858" s="4">
        <v>67811.509999999995</v>
      </c>
      <c r="J858" s="3">
        <v>70</v>
      </c>
      <c r="K858" s="3">
        <v>70</v>
      </c>
      <c r="L858" s="54">
        <v>70</v>
      </c>
    </row>
    <row r="859" spans="2:12" x14ac:dyDescent="0.25">
      <c r="B859" s="17">
        <v>45601</v>
      </c>
      <c r="C859" s="13">
        <v>69359.56</v>
      </c>
      <c r="D859" s="54">
        <v>70</v>
      </c>
      <c r="F859" s="17">
        <v>45601</v>
      </c>
      <c r="G859" s="13">
        <v>69359.56</v>
      </c>
      <c r="H859" s="4">
        <v>69359.56</v>
      </c>
      <c r="I859" s="4">
        <v>69359.56</v>
      </c>
      <c r="J859" s="3">
        <v>70</v>
      </c>
      <c r="K859" s="3">
        <v>70</v>
      </c>
      <c r="L859" s="54">
        <v>70</v>
      </c>
    </row>
    <row r="860" spans="2:12" x14ac:dyDescent="0.25">
      <c r="B860" s="17">
        <v>45602</v>
      </c>
      <c r="C860" s="13">
        <v>75639.08</v>
      </c>
      <c r="D860" s="54">
        <v>70</v>
      </c>
      <c r="F860" s="17">
        <v>45602</v>
      </c>
      <c r="G860" s="13">
        <v>75639.08</v>
      </c>
      <c r="H860" s="4">
        <v>75639.08</v>
      </c>
      <c r="I860" s="4">
        <v>75639.08</v>
      </c>
      <c r="J860" s="3">
        <v>70</v>
      </c>
      <c r="K860" s="3">
        <v>70</v>
      </c>
      <c r="L860" s="54">
        <v>70</v>
      </c>
    </row>
    <row r="861" spans="2:12" x14ac:dyDescent="0.25">
      <c r="B861" s="17">
        <v>45603</v>
      </c>
      <c r="C861" s="13">
        <v>75904.86</v>
      </c>
      <c r="D861" s="54">
        <v>77</v>
      </c>
      <c r="F861" s="17">
        <v>45603</v>
      </c>
      <c r="G861" s="13">
        <v>75904.86</v>
      </c>
      <c r="H861" s="4">
        <v>75904.86</v>
      </c>
      <c r="I861" s="4">
        <v>75904.86</v>
      </c>
      <c r="J861" s="3">
        <v>77</v>
      </c>
      <c r="K861" s="3">
        <v>77</v>
      </c>
      <c r="L861" s="54">
        <v>77</v>
      </c>
    </row>
    <row r="862" spans="2:12" x14ac:dyDescent="0.25">
      <c r="B862" s="17">
        <v>45604</v>
      </c>
      <c r="C862" s="13">
        <v>76545.48</v>
      </c>
      <c r="D862" s="54">
        <v>75</v>
      </c>
      <c r="F862" s="17">
        <v>45604</v>
      </c>
      <c r="G862" s="13">
        <v>76545.48</v>
      </c>
      <c r="H862" s="4">
        <v>76545.48</v>
      </c>
      <c r="I862" s="4">
        <v>76545.48</v>
      </c>
      <c r="J862" s="3">
        <v>75</v>
      </c>
      <c r="K862" s="3">
        <v>75</v>
      </c>
      <c r="L862" s="54">
        <v>75</v>
      </c>
    </row>
    <row r="863" spans="2:12" x14ac:dyDescent="0.25">
      <c r="B863" s="17">
        <v>45605</v>
      </c>
      <c r="C863" s="13">
        <v>76778.87</v>
      </c>
      <c r="D863" s="54">
        <v>75</v>
      </c>
      <c r="F863" s="17">
        <v>45605</v>
      </c>
      <c r="G863" s="13">
        <v>76778.87</v>
      </c>
      <c r="H863" s="4">
        <v>76778.87</v>
      </c>
      <c r="I863" s="4">
        <v>76778.87</v>
      </c>
      <c r="J863" s="3">
        <v>75</v>
      </c>
      <c r="K863" s="3">
        <v>75</v>
      </c>
      <c r="L863" s="54">
        <v>75</v>
      </c>
    </row>
    <row r="864" spans="2:12" x14ac:dyDescent="0.25">
      <c r="B864" s="17">
        <v>45606</v>
      </c>
      <c r="C864" s="13">
        <v>80474.19</v>
      </c>
      <c r="D864" s="54">
        <v>78</v>
      </c>
      <c r="F864" s="17">
        <v>45606</v>
      </c>
      <c r="G864" s="13">
        <v>80474.19</v>
      </c>
      <c r="H864" s="4">
        <v>80474.19</v>
      </c>
      <c r="I864" s="4">
        <v>80474.19</v>
      </c>
      <c r="J864" s="3">
        <v>78</v>
      </c>
      <c r="K864" s="3">
        <v>78</v>
      </c>
      <c r="L864" s="54">
        <v>78</v>
      </c>
    </row>
    <row r="865" spans="2:12" x14ac:dyDescent="0.25">
      <c r="B865" s="17">
        <v>45607</v>
      </c>
      <c r="C865" s="13">
        <v>88701.48</v>
      </c>
      <c r="D865" s="54">
        <v>76</v>
      </c>
      <c r="F865" s="17">
        <v>45607</v>
      </c>
      <c r="G865" s="13">
        <v>88701.48</v>
      </c>
      <c r="H865" s="4">
        <v>88701.48</v>
      </c>
      <c r="I865" s="4">
        <v>88701.48</v>
      </c>
      <c r="J865" s="3">
        <v>76</v>
      </c>
      <c r="K865" s="3">
        <v>76</v>
      </c>
      <c r="L865" s="54">
        <v>76</v>
      </c>
    </row>
    <row r="866" spans="2:12" x14ac:dyDescent="0.25">
      <c r="B866" s="17">
        <v>45608</v>
      </c>
      <c r="C866" s="13">
        <v>87955.81</v>
      </c>
      <c r="D866" s="54">
        <v>80</v>
      </c>
      <c r="F866" s="17">
        <v>45608</v>
      </c>
      <c r="G866" s="13">
        <v>87955.81</v>
      </c>
      <c r="H866" s="4">
        <v>87955.81</v>
      </c>
      <c r="I866" s="4">
        <v>87955.81</v>
      </c>
      <c r="J866" s="3">
        <v>80</v>
      </c>
      <c r="K866" s="3">
        <v>80</v>
      </c>
      <c r="L866" s="54">
        <v>80</v>
      </c>
    </row>
    <row r="867" spans="2:12" x14ac:dyDescent="0.25">
      <c r="B867" s="17">
        <v>45609</v>
      </c>
      <c r="C867" s="13">
        <v>90584.16</v>
      </c>
      <c r="D867" s="54">
        <v>84</v>
      </c>
      <c r="F867" s="17">
        <v>45609</v>
      </c>
      <c r="G867" s="13">
        <v>90584.16</v>
      </c>
      <c r="H867" s="4">
        <v>90584.16</v>
      </c>
      <c r="I867" s="4">
        <v>90584.16</v>
      </c>
      <c r="J867" s="3">
        <v>84</v>
      </c>
      <c r="K867" s="3">
        <v>84</v>
      </c>
      <c r="L867" s="54">
        <v>84</v>
      </c>
    </row>
    <row r="868" spans="2:12" x14ac:dyDescent="0.25">
      <c r="B868" s="17">
        <v>45610</v>
      </c>
      <c r="C868" s="13">
        <v>87250.43</v>
      </c>
      <c r="D868" s="54">
        <v>88</v>
      </c>
      <c r="F868" s="17">
        <v>45610</v>
      </c>
      <c r="G868" s="13">
        <v>87250.43</v>
      </c>
      <c r="H868" s="4">
        <v>87250.43</v>
      </c>
      <c r="I868" s="4">
        <v>87250.43</v>
      </c>
      <c r="J868" s="3">
        <v>88</v>
      </c>
      <c r="K868" s="3">
        <v>88</v>
      </c>
      <c r="L868" s="54">
        <v>88</v>
      </c>
    </row>
    <row r="869" spans="2:12" x14ac:dyDescent="0.25">
      <c r="B869" s="17">
        <v>45611</v>
      </c>
      <c r="C869" s="13">
        <v>91066.01</v>
      </c>
      <c r="D869" s="54">
        <v>80</v>
      </c>
      <c r="F869" s="17">
        <v>45611</v>
      </c>
      <c r="G869" s="13">
        <v>91066.01</v>
      </c>
      <c r="H869" s="4">
        <v>91066.01</v>
      </c>
      <c r="I869" s="4">
        <v>91066.01</v>
      </c>
      <c r="J869" s="3">
        <v>80</v>
      </c>
      <c r="K869" s="3">
        <v>80</v>
      </c>
      <c r="L869" s="54">
        <v>80</v>
      </c>
    </row>
    <row r="870" spans="2:12" x14ac:dyDescent="0.25">
      <c r="B870" s="17">
        <v>45612</v>
      </c>
      <c r="C870" s="13">
        <v>90558.48</v>
      </c>
      <c r="D870" s="54">
        <v>86</v>
      </c>
      <c r="F870" s="17">
        <v>45612</v>
      </c>
      <c r="G870" s="13">
        <v>90558.48</v>
      </c>
      <c r="H870" s="4">
        <v>90558.48</v>
      </c>
      <c r="I870" s="4">
        <v>90558.48</v>
      </c>
      <c r="J870" s="3">
        <v>86</v>
      </c>
      <c r="K870" s="3">
        <v>86</v>
      </c>
      <c r="L870" s="54">
        <v>86</v>
      </c>
    </row>
    <row r="871" spans="2:12" x14ac:dyDescent="0.25">
      <c r="B871" s="17">
        <v>45613</v>
      </c>
      <c r="C871" s="13">
        <v>89845.85</v>
      </c>
      <c r="D871" s="54">
        <v>90</v>
      </c>
      <c r="F871" s="17">
        <v>45613</v>
      </c>
      <c r="G871" s="13">
        <v>89845.85</v>
      </c>
      <c r="H871" s="4">
        <v>89845.85</v>
      </c>
      <c r="I871" s="4">
        <v>89845.85</v>
      </c>
      <c r="J871" s="3">
        <v>90</v>
      </c>
      <c r="K871" s="3">
        <v>90</v>
      </c>
      <c r="L871" s="54">
        <v>90</v>
      </c>
    </row>
    <row r="872" spans="2:12" x14ac:dyDescent="0.25">
      <c r="B872" s="17">
        <v>45614</v>
      </c>
      <c r="C872" s="13">
        <v>90542.64</v>
      </c>
      <c r="D872" s="54">
        <v>83</v>
      </c>
      <c r="F872" s="17">
        <v>45614</v>
      </c>
      <c r="G872" s="13">
        <v>90542.64</v>
      </c>
      <c r="H872" s="4">
        <v>90542.64</v>
      </c>
      <c r="I872" s="4">
        <v>90542.64</v>
      </c>
      <c r="J872" s="3">
        <v>83</v>
      </c>
      <c r="K872" s="3">
        <v>83</v>
      </c>
      <c r="L872" s="54">
        <v>83</v>
      </c>
    </row>
    <row r="873" spans="2:12" x14ac:dyDescent="0.25">
      <c r="B873" s="17">
        <v>45615</v>
      </c>
      <c r="C873" s="13">
        <v>92343.79</v>
      </c>
      <c r="D873" s="54">
        <v>90</v>
      </c>
      <c r="F873" s="17">
        <v>45615</v>
      </c>
      <c r="G873" s="13">
        <v>92343.79</v>
      </c>
      <c r="H873" s="4">
        <v>92343.79</v>
      </c>
      <c r="I873" s="4">
        <v>92343.79</v>
      </c>
      <c r="J873" s="3">
        <v>90</v>
      </c>
      <c r="K873" s="3">
        <v>90</v>
      </c>
      <c r="L873" s="54">
        <v>90</v>
      </c>
    </row>
    <row r="874" spans="2:12" x14ac:dyDescent="0.25">
      <c r="B874" s="17">
        <v>45616</v>
      </c>
      <c r="C874" s="13">
        <v>94339.49</v>
      </c>
      <c r="D874" s="54">
        <v>83</v>
      </c>
      <c r="F874" s="17">
        <v>45616</v>
      </c>
      <c r="G874" s="13">
        <v>94339.49</v>
      </c>
      <c r="H874" s="4">
        <v>94339.49</v>
      </c>
      <c r="I874" s="4">
        <v>94339.49</v>
      </c>
      <c r="J874" s="3">
        <v>83</v>
      </c>
      <c r="K874" s="3">
        <v>83</v>
      </c>
      <c r="L874" s="54">
        <v>83</v>
      </c>
    </row>
    <row r="875" spans="2:12" x14ac:dyDescent="0.25">
      <c r="B875" s="17">
        <v>45617</v>
      </c>
      <c r="C875" s="13">
        <v>98504.73</v>
      </c>
      <c r="D875" s="54">
        <v>82</v>
      </c>
      <c r="F875" s="17">
        <v>45617</v>
      </c>
      <c r="G875" s="13">
        <v>98504.73</v>
      </c>
      <c r="H875" s="4">
        <v>98504.73</v>
      </c>
      <c r="I875" s="4">
        <v>98504.73</v>
      </c>
      <c r="J875" s="3">
        <v>82</v>
      </c>
      <c r="K875" s="3">
        <v>82</v>
      </c>
      <c r="L875" s="54">
        <v>82</v>
      </c>
    </row>
    <row r="876" spans="2:12" x14ac:dyDescent="0.25">
      <c r="B876" s="17">
        <v>45618</v>
      </c>
      <c r="C876" s="13">
        <v>98997.66</v>
      </c>
      <c r="D876" s="54">
        <v>94</v>
      </c>
      <c r="F876" s="17">
        <v>45618</v>
      </c>
      <c r="G876" s="13">
        <v>98997.66</v>
      </c>
      <c r="H876" s="4">
        <v>98997.66</v>
      </c>
      <c r="I876" s="4">
        <v>98997.66</v>
      </c>
      <c r="J876" s="3">
        <v>94</v>
      </c>
      <c r="K876" s="3">
        <v>94</v>
      </c>
      <c r="L876" s="54">
        <v>94</v>
      </c>
    </row>
    <row r="877" spans="2:12" x14ac:dyDescent="0.25">
      <c r="B877" s="17">
        <v>45619</v>
      </c>
      <c r="C877" s="13">
        <v>97777.279999999999</v>
      </c>
      <c r="D877" s="54">
        <v>93</v>
      </c>
      <c r="F877" s="17">
        <v>45619</v>
      </c>
      <c r="G877" s="13">
        <v>97777.279999999999</v>
      </c>
      <c r="H877" s="4">
        <v>97777.279999999999</v>
      </c>
      <c r="I877" s="4">
        <v>97777.279999999999</v>
      </c>
      <c r="J877" s="3">
        <v>93</v>
      </c>
      <c r="K877" s="3">
        <v>93</v>
      </c>
      <c r="L877" s="54">
        <v>93</v>
      </c>
    </row>
    <row r="878" spans="2:12" x14ac:dyDescent="0.25">
      <c r="B878" s="17">
        <v>45620</v>
      </c>
      <c r="C878" s="13">
        <v>98013.82</v>
      </c>
      <c r="D878" s="54">
        <v>80</v>
      </c>
      <c r="F878" s="17">
        <v>45620</v>
      </c>
      <c r="G878" s="13">
        <v>98013.82</v>
      </c>
      <c r="H878" s="4">
        <v>98013.82</v>
      </c>
      <c r="I878" s="4">
        <v>98013.82</v>
      </c>
      <c r="J878" s="3">
        <v>80</v>
      </c>
      <c r="K878" s="3">
        <v>80</v>
      </c>
      <c r="L878" s="54">
        <v>80</v>
      </c>
    </row>
    <row r="879" spans="2:12" x14ac:dyDescent="0.25">
      <c r="B879" s="17">
        <v>45621</v>
      </c>
      <c r="C879" s="13">
        <v>93102.3</v>
      </c>
      <c r="D879" s="54">
        <v>82</v>
      </c>
      <c r="F879" s="17">
        <v>45621</v>
      </c>
      <c r="G879" s="13">
        <v>93102.3</v>
      </c>
      <c r="H879" s="4">
        <v>93102.3</v>
      </c>
      <c r="I879" s="4">
        <v>93102.3</v>
      </c>
      <c r="J879" s="3">
        <v>82</v>
      </c>
      <c r="K879" s="3">
        <v>82</v>
      </c>
      <c r="L879" s="54">
        <v>82</v>
      </c>
    </row>
    <row r="880" spans="2:12" x14ac:dyDescent="0.25">
      <c r="B880" s="17">
        <v>45622</v>
      </c>
      <c r="C880" s="13">
        <v>91985.32</v>
      </c>
      <c r="D880" s="54">
        <v>79</v>
      </c>
      <c r="F880" s="17">
        <v>45622</v>
      </c>
      <c r="G880" s="13">
        <v>91985.32</v>
      </c>
      <c r="H880" s="4">
        <v>91985.32</v>
      </c>
      <c r="I880" s="4">
        <v>91985.32</v>
      </c>
      <c r="J880" s="3">
        <v>79</v>
      </c>
      <c r="K880" s="3">
        <v>79</v>
      </c>
      <c r="L880" s="54">
        <v>79</v>
      </c>
    </row>
    <row r="881" spans="2:12" x14ac:dyDescent="0.25">
      <c r="B881" s="17">
        <v>45623</v>
      </c>
      <c r="C881" s="13">
        <v>95962.53</v>
      </c>
      <c r="D881" s="54">
        <v>75</v>
      </c>
      <c r="F881" s="17">
        <v>45623</v>
      </c>
      <c r="G881" s="13">
        <v>95962.53</v>
      </c>
      <c r="H881" s="4">
        <v>95962.53</v>
      </c>
      <c r="I881" s="4">
        <v>95962.53</v>
      </c>
      <c r="J881" s="3">
        <v>75</v>
      </c>
      <c r="K881" s="3">
        <v>75</v>
      </c>
      <c r="L881" s="54">
        <v>75</v>
      </c>
    </row>
    <row r="882" spans="2:12" x14ac:dyDescent="0.25">
      <c r="B882" s="17">
        <v>45624</v>
      </c>
      <c r="C882" s="13">
        <v>95652.47</v>
      </c>
      <c r="D882" s="54">
        <v>77</v>
      </c>
      <c r="F882" s="17">
        <v>45624</v>
      </c>
      <c r="G882" s="13">
        <v>95652.47</v>
      </c>
      <c r="H882" s="4">
        <v>95652.47</v>
      </c>
      <c r="I882" s="4">
        <v>95652.47</v>
      </c>
      <c r="J882" s="3">
        <v>77</v>
      </c>
      <c r="K882" s="3">
        <v>77</v>
      </c>
      <c r="L882" s="54">
        <v>77</v>
      </c>
    </row>
    <row r="883" spans="2:12" x14ac:dyDescent="0.25">
      <c r="B883" s="17">
        <v>45625</v>
      </c>
      <c r="C883" s="13">
        <v>97461.52</v>
      </c>
      <c r="D883" s="54">
        <v>78</v>
      </c>
      <c r="F883" s="17">
        <v>45625</v>
      </c>
      <c r="G883" s="13">
        <v>97461.52</v>
      </c>
      <c r="H883" s="4">
        <v>97461.52</v>
      </c>
      <c r="I883" s="4">
        <v>97461.52</v>
      </c>
      <c r="J883" s="3">
        <v>78</v>
      </c>
      <c r="K883" s="3">
        <v>78</v>
      </c>
      <c r="L883" s="54">
        <v>78</v>
      </c>
    </row>
    <row r="884" spans="2:12" x14ac:dyDescent="0.25">
      <c r="B884" s="17">
        <v>45626</v>
      </c>
      <c r="C884" s="13">
        <v>96449.05</v>
      </c>
      <c r="D884" s="54">
        <v>84</v>
      </c>
      <c r="F884" s="17">
        <v>45626</v>
      </c>
      <c r="G884" s="13">
        <v>96449.05</v>
      </c>
      <c r="H884" s="4">
        <v>96449.05</v>
      </c>
      <c r="I884" s="4">
        <v>96449.05</v>
      </c>
      <c r="J884" s="3">
        <v>84</v>
      </c>
      <c r="K884" s="3">
        <v>84</v>
      </c>
      <c r="L884" s="54">
        <v>84</v>
      </c>
    </row>
    <row r="885" spans="2:12" x14ac:dyDescent="0.25">
      <c r="B885" s="17">
        <v>45627</v>
      </c>
      <c r="C885" s="13">
        <v>97279.79</v>
      </c>
      <c r="D885" s="54">
        <v>81</v>
      </c>
      <c r="F885" s="17">
        <v>45627</v>
      </c>
      <c r="G885" s="13">
        <v>97279.79</v>
      </c>
      <c r="H885" s="4">
        <v>97279.79</v>
      </c>
      <c r="I885" s="4">
        <v>97279.79</v>
      </c>
      <c r="J885" s="3">
        <v>81</v>
      </c>
      <c r="K885" s="3">
        <v>81</v>
      </c>
      <c r="L885" s="54">
        <v>81</v>
      </c>
    </row>
    <row r="886" spans="2:12" x14ac:dyDescent="0.25">
      <c r="B886" s="17">
        <v>45628</v>
      </c>
      <c r="C886" s="13">
        <v>95865.3</v>
      </c>
      <c r="D886" s="54">
        <v>80</v>
      </c>
      <c r="F886" s="17">
        <v>45628</v>
      </c>
      <c r="G886" s="13">
        <v>95865.3</v>
      </c>
      <c r="H886" s="4">
        <v>95865.3</v>
      </c>
      <c r="I886" s="4">
        <v>95865.3</v>
      </c>
      <c r="J886" s="3">
        <v>80</v>
      </c>
      <c r="K886" s="3">
        <v>80</v>
      </c>
      <c r="L886" s="54">
        <v>80</v>
      </c>
    </row>
    <row r="887" spans="2:12" x14ac:dyDescent="0.25">
      <c r="B887" s="17">
        <v>45629</v>
      </c>
      <c r="C887" s="13">
        <v>96002.16</v>
      </c>
      <c r="D887" s="54">
        <v>76</v>
      </c>
      <c r="F887" s="17">
        <v>45629</v>
      </c>
      <c r="G887" s="13">
        <v>96002.16</v>
      </c>
      <c r="H887" s="4">
        <v>96002.16</v>
      </c>
      <c r="I887" s="4">
        <v>96002.16</v>
      </c>
      <c r="J887" s="3">
        <v>76</v>
      </c>
      <c r="K887" s="3">
        <v>76</v>
      </c>
      <c r="L887" s="54">
        <v>76</v>
      </c>
    </row>
    <row r="888" spans="2:12" x14ac:dyDescent="0.25">
      <c r="B888" s="17">
        <v>45630</v>
      </c>
      <c r="C888" s="13">
        <v>98768.53</v>
      </c>
      <c r="D888" s="54">
        <v>78</v>
      </c>
      <c r="F888" s="17">
        <v>45630</v>
      </c>
      <c r="G888" s="13">
        <v>98768.53</v>
      </c>
      <c r="H888" s="4">
        <v>98768.53</v>
      </c>
      <c r="I888" s="4">
        <v>98768.53</v>
      </c>
      <c r="J888" s="3">
        <v>78</v>
      </c>
      <c r="K888" s="3">
        <v>78</v>
      </c>
      <c r="L888" s="54">
        <v>78</v>
      </c>
    </row>
    <row r="889" spans="2:12" x14ac:dyDescent="0.25">
      <c r="B889" s="17">
        <v>45631</v>
      </c>
      <c r="C889" s="13">
        <v>96593.57</v>
      </c>
      <c r="D889" s="54">
        <v>84</v>
      </c>
      <c r="F889" s="17">
        <v>45631</v>
      </c>
      <c r="G889" s="13">
        <v>96593.57</v>
      </c>
      <c r="H889" s="4">
        <v>96593.57</v>
      </c>
      <c r="I889" s="4">
        <v>96593.57</v>
      </c>
      <c r="J889" s="3">
        <v>84</v>
      </c>
      <c r="K889" s="3">
        <v>84</v>
      </c>
      <c r="L889" s="54">
        <v>84</v>
      </c>
    </row>
    <row r="890" spans="2:12" x14ac:dyDescent="0.25">
      <c r="B890" s="17">
        <v>45632</v>
      </c>
      <c r="C890" s="13">
        <v>99920.71</v>
      </c>
      <c r="D890" s="54">
        <v>72</v>
      </c>
      <c r="F890" s="17">
        <v>45632</v>
      </c>
      <c r="G890" s="13">
        <v>99920.71</v>
      </c>
      <c r="H890" s="4">
        <v>99920.71</v>
      </c>
      <c r="I890" s="4">
        <v>99920.71</v>
      </c>
      <c r="J890" s="3">
        <v>72</v>
      </c>
      <c r="K890" s="3">
        <v>72</v>
      </c>
      <c r="L890" s="54">
        <v>72</v>
      </c>
    </row>
    <row r="891" spans="2:12" x14ac:dyDescent="0.25">
      <c r="B891" s="17">
        <v>45633</v>
      </c>
      <c r="C891" s="13">
        <v>99923.34</v>
      </c>
      <c r="D891" s="54">
        <v>75</v>
      </c>
      <c r="F891" s="17">
        <v>45633</v>
      </c>
      <c r="G891" s="13">
        <v>99923.34</v>
      </c>
      <c r="H891" s="4">
        <v>99923.34</v>
      </c>
      <c r="I891" s="4">
        <v>99923.34</v>
      </c>
      <c r="J891" s="3">
        <v>75</v>
      </c>
      <c r="K891" s="3">
        <v>75</v>
      </c>
      <c r="L891" s="54">
        <v>75</v>
      </c>
    </row>
    <row r="892" spans="2:12" x14ac:dyDescent="0.25">
      <c r="B892" s="17">
        <v>45634</v>
      </c>
      <c r="C892" s="13">
        <v>101236.02</v>
      </c>
      <c r="D892" s="54">
        <v>79</v>
      </c>
      <c r="F892" s="17">
        <v>45634</v>
      </c>
      <c r="G892" s="13">
        <v>101236.02</v>
      </c>
      <c r="H892" s="4">
        <v>101236.02</v>
      </c>
      <c r="I892" s="4">
        <v>101236.02</v>
      </c>
      <c r="J892" s="3">
        <v>79</v>
      </c>
      <c r="K892" s="3">
        <v>79</v>
      </c>
      <c r="L892" s="54">
        <v>79</v>
      </c>
    </row>
    <row r="893" spans="2:12" x14ac:dyDescent="0.25">
      <c r="B893" s="17">
        <v>45635</v>
      </c>
      <c r="C893" s="13">
        <v>97432.72</v>
      </c>
      <c r="D893" s="54">
        <v>78</v>
      </c>
      <c r="F893" s="17">
        <v>45635</v>
      </c>
      <c r="G893" s="13">
        <v>97432.72</v>
      </c>
      <c r="H893" s="4">
        <v>97432.72</v>
      </c>
      <c r="I893" s="4">
        <v>97432.72</v>
      </c>
      <c r="J893" s="3">
        <v>78</v>
      </c>
      <c r="K893" s="3">
        <v>78</v>
      </c>
      <c r="L893" s="54">
        <v>78</v>
      </c>
    </row>
    <row r="894" spans="2:12" x14ac:dyDescent="0.25">
      <c r="B894" s="17">
        <v>45636</v>
      </c>
      <c r="C894" s="13">
        <v>96675.43</v>
      </c>
      <c r="D894" s="54">
        <v>78</v>
      </c>
      <c r="F894" s="17">
        <v>45636</v>
      </c>
      <c r="G894" s="13">
        <v>96675.43</v>
      </c>
      <c r="H894" s="4">
        <v>96675.43</v>
      </c>
      <c r="I894" s="4">
        <v>96675.43</v>
      </c>
      <c r="J894" s="3">
        <v>78</v>
      </c>
      <c r="K894" s="3">
        <v>78</v>
      </c>
      <c r="L894" s="54">
        <v>78</v>
      </c>
    </row>
    <row r="895" spans="2:12" x14ac:dyDescent="0.25">
      <c r="B895" s="17">
        <v>45637</v>
      </c>
      <c r="C895" s="13">
        <v>101173.03</v>
      </c>
      <c r="D895" s="54">
        <v>74</v>
      </c>
      <c r="F895" s="17">
        <v>45637</v>
      </c>
      <c r="G895" s="13">
        <v>101173.03</v>
      </c>
      <c r="H895" s="4">
        <v>101173.03</v>
      </c>
      <c r="I895" s="4">
        <v>101173.03</v>
      </c>
      <c r="J895" s="3">
        <v>74</v>
      </c>
      <c r="K895" s="3">
        <v>74</v>
      </c>
      <c r="L895" s="54">
        <v>74</v>
      </c>
    </row>
    <row r="896" spans="2:12" x14ac:dyDescent="0.25">
      <c r="B896" s="17">
        <v>45638</v>
      </c>
      <c r="C896" s="13">
        <v>100043</v>
      </c>
      <c r="D896" s="54">
        <v>83</v>
      </c>
      <c r="F896" s="17">
        <v>45638</v>
      </c>
      <c r="G896" s="13">
        <v>100043</v>
      </c>
      <c r="H896" s="4">
        <v>100043</v>
      </c>
      <c r="I896" s="4">
        <v>100043</v>
      </c>
      <c r="J896" s="3">
        <v>83</v>
      </c>
      <c r="K896" s="3">
        <v>83</v>
      </c>
      <c r="L896" s="54">
        <v>83</v>
      </c>
    </row>
    <row r="897" spans="2:12" x14ac:dyDescent="0.25">
      <c r="B897" s="17">
        <v>45639</v>
      </c>
      <c r="C897" s="13">
        <v>101459.26</v>
      </c>
      <c r="D897" s="54">
        <v>76</v>
      </c>
      <c r="F897" s="17">
        <v>45639</v>
      </c>
      <c r="G897" s="13">
        <v>101459.26</v>
      </c>
      <c r="H897" s="4">
        <v>101459.26</v>
      </c>
      <c r="I897" s="4">
        <v>101459.26</v>
      </c>
      <c r="J897" s="3">
        <v>76</v>
      </c>
      <c r="K897" s="3">
        <v>76</v>
      </c>
      <c r="L897" s="54">
        <v>76</v>
      </c>
    </row>
    <row r="898" spans="2:12" x14ac:dyDescent="0.25">
      <c r="B898" s="17">
        <v>45640</v>
      </c>
      <c r="C898" s="13">
        <v>101372.97</v>
      </c>
      <c r="D898" s="54">
        <v>83</v>
      </c>
      <c r="F898" s="17">
        <v>45640</v>
      </c>
      <c r="G898" s="13">
        <v>101372.97</v>
      </c>
      <c r="H898" s="4">
        <v>101372.97</v>
      </c>
      <c r="I898" s="4">
        <v>101372.97</v>
      </c>
      <c r="J898" s="3">
        <v>83</v>
      </c>
      <c r="K898" s="3">
        <v>83</v>
      </c>
      <c r="L898" s="54">
        <v>83</v>
      </c>
    </row>
    <row r="899" spans="2:12" x14ac:dyDescent="0.25">
      <c r="B899" s="17">
        <v>45641</v>
      </c>
      <c r="C899" s="13">
        <v>104298.7</v>
      </c>
      <c r="D899" s="54">
        <v>80</v>
      </c>
      <c r="F899" s="17">
        <v>45641</v>
      </c>
      <c r="G899" s="13">
        <v>104298.7</v>
      </c>
      <c r="H899" s="4">
        <v>104298.7</v>
      </c>
      <c r="I899" s="4">
        <v>104298.7</v>
      </c>
      <c r="J899" s="3">
        <v>80</v>
      </c>
      <c r="K899" s="3">
        <v>80</v>
      </c>
      <c r="L899" s="54">
        <v>80</v>
      </c>
    </row>
    <row r="900" spans="2:12" x14ac:dyDescent="0.25">
      <c r="B900" s="17">
        <v>45642</v>
      </c>
      <c r="C900" s="13">
        <v>106029.72</v>
      </c>
      <c r="D900" s="54">
        <v>83</v>
      </c>
      <c r="F900" s="17">
        <v>45642</v>
      </c>
      <c r="G900" s="13">
        <v>106029.72</v>
      </c>
      <c r="H900" s="4">
        <v>106029.72</v>
      </c>
      <c r="I900" s="4">
        <v>106029.72</v>
      </c>
      <c r="J900" s="3">
        <v>83</v>
      </c>
      <c r="K900" s="3">
        <v>83</v>
      </c>
      <c r="L900" s="54">
        <v>83</v>
      </c>
    </row>
    <row r="901" spans="2:12" x14ac:dyDescent="0.25">
      <c r="B901" s="17">
        <v>45643</v>
      </c>
      <c r="C901" s="13">
        <v>106140.6</v>
      </c>
      <c r="D901" s="54">
        <v>87</v>
      </c>
      <c r="F901" s="17">
        <v>45643</v>
      </c>
      <c r="G901" s="13">
        <v>106140.6</v>
      </c>
      <c r="H901" s="4">
        <v>106140.6</v>
      </c>
      <c r="I901" s="4">
        <v>106140.6</v>
      </c>
      <c r="J901" s="3">
        <v>87</v>
      </c>
      <c r="K901" s="3">
        <v>87</v>
      </c>
      <c r="L901" s="54">
        <v>87</v>
      </c>
    </row>
    <row r="902" spans="2:12" x14ac:dyDescent="0.25">
      <c r="B902" s="17">
        <v>45644</v>
      </c>
      <c r="C902" s="13">
        <v>100041.54</v>
      </c>
      <c r="D902" s="54">
        <v>81</v>
      </c>
      <c r="F902" s="17">
        <v>45644</v>
      </c>
      <c r="G902" s="13">
        <v>100041.54</v>
      </c>
      <c r="H902" s="4">
        <v>100041.54</v>
      </c>
      <c r="I902" s="4">
        <v>100041.54</v>
      </c>
      <c r="J902" s="3">
        <v>81</v>
      </c>
      <c r="K902" s="3">
        <v>81</v>
      </c>
      <c r="L902" s="54">
        <v>81</v>
      </c>
    </row>
    <row r="903" spans="2:12" ht="15.75" thickBot="1" x14ac:dyDescent="0.3">
      <c r="B903" s="18">
        <v>45645</v>
      </c>
      <c r="C903" s="13">
        <v>97490.95</v>
      </c>
      <c r="D903" s="54">
        <v>75</v>
      </c>
      <c r="F903" s="18">
        <v>45645</v>
      </c>
      <c r="G903" s="13">
        <v>97490.95</v>
      </c>
      <c r="H903" s="4">
        <v>97490.95</v>
      </c>
      <c r="I903" s="4">
        <v>97490.95</v>
      </c>
      <c r="J903" s="3">
        <v>75</v>
      </c>
      <c r="K903" s="3">
        <v>75</v>
      </c>
      <c r="L903" s="54">
        <v>75</v>
      </c>
    </row>
    <row r="904" spans="2:12" x14ac:dyDescent="0.25">
      <c r="B904" s="16">
        <v>45646</v>
      </c>
      <c r="C904" s="13">
        <v>97755.93</v>
      </c>
      <c r="D904" s="54">
        <v>74</v>
      </c>
      <c r="F904" s="16">
        <v>45646</v>
      </c>
      <c r="G904" s="13">
        <v>97755.93</v>
      </c>
      <c r="H904" s="4">
        <v>97755.93</v>
      </c>
      <c r="I904" s="4">
        <v>97755.93</v>
      </c>
      <c r="J904" s="3">
        <v>74</v>
      </c>
      <c r="K904" s="3">
        <v>74</v>
      </c>
      <c r="L904" s="54">
        <v>74</v>
      </c>
    </row>
    <row r="905" spans="2:12" x14ac:dyDescent="0.25">
      <c r="B905" s="17">
        <v>45647</v>
      </c>
      <c r="C905" s="13">
        <v>97224.73</v>
      </c>
      <c r="D905" s="54">
        <v>73</v>
      </c>
      <c r="F905" s="17">
        <v>45647</v>
      </c>
      <c r="G905" s="13">
        <v>97224.73</v>
      </c>
      <c r="H905" s="4">
        <v>97224.73</v>
      </c>
      <c r="I905" s="4">
        <v>97224.73</v>
      </c>
      <c r="J905" s="3">
        <v>73</v>
      </c>
      <c r="K905" s="3">
        <v>73</v>
      </c>
      <c r="L905" s="54">
        <v>73</v>
      </c>
    </row>
    <row r="906" spans="2:12" x14ac:dyDescent="0.25">
      <c r="B906" s="17">
        <v>45648</v>
      </c>
      <c r="C906" s="13">
        <v>95104.94</v>
      </c>
      <c r="D906" s="54">
        <v>73</v>
      </c>
      <c r="F906" s="17">
        <v>45648</v>
      </c>
      <c r="G906" s="13">
        <v>95104.94</v>
      </c>
      <c r="H906" s="4">
        <v>95104.94</v>
      </c>
      <c r="I906" s="4">
        <v>95104.94</v>
      </c>
      <c r="J906" s="3">
        <v>73</v>
      </c>
      <c r="K906" s="3">
        <v>73</v>
      </c>
      <c r="L906" s="54">
        <v>73</v>
      </c>
    </row>
    <row r="907" spans="2:12" x14ac:dyDescent="0.25">
      <c r="B907" s="17">
        <v>45649</v>
      </c>
      <c r="C907" s="13">
        <v>94686.24</v>
      </c>
      <c r="D907" s="54">
        <v>70</v>
      </c>
      <c r="F907" s="17">
        <v>45649</v>
      </c>
      <c r="G907" s="13">
        <v>94686.24</v>
      </c>
      <c r="H907" s="4">
        <v>94686.24</v>
      </c>
      <c r="I907" s="4">
        <v>94686.24</v>
      </c>
      <c r="J907" s="3">
        <v>70</v>
      </c>
      <c r="K907" s="3">
        <v>70</v>
      </c>
      <c r="L907" s="54">
        <v>70</v>
      </c>
    </row>
    <row r="908" spans="2:12" x14ac:dyDescent="0.25">
      <c r="B908" s="17">
        <v>45650</v>
      </c>
      <c r="C908" s="13">
        <v>98676.09</v>
      </c>
      <c r="D908" s="54">
        <v>73</v>
      </c>
      <c r="F908" s="17">
        <v>45650</v>
      </c>
      <c r="G908" s="13">
        <v>98676.09</v>
      </c>
      <c r="H908" s="4">
        <v>98676.09</v>
      </c>
      <c r="I908" s="4">
        <v>98676.09</v>
      </c>
      <c r="J908" s="3">
        <v>73</v>
      </c>
      <c r="K908" s="3">
        <v>73</v>
      </c>
      <c r="L908" s="54">
        <v>73</v>
      </c>
    </row>
    <row r="909" spans="2:12" x14ac:dyDescent="0.25">
      <c r="B909" s="17">
        <v>45651</v>
      </c>
      <c r="C909" s="13">
        <v>99299.199999999997</v>
      </c>
      <c r="D909" s="54">
        <v>73</v>
      </c>
      <c r="F909" s="17">
        <v>45651</v>
      </c>
      <c r="G909" s="13">
        <v>99299.199999999997</v>
      </c>
      <c r="H909" s="4">
        <v>99299.199999999997</v>
      </c>
      <c r="I909" s="4">
        <v>99299.199999999997</v>
      </c>
      <c r="J909" s="3">
        <v>73</v>
      </c>
      <c r="K909" s="3">
        <v>73</v>
      </c>
      <c r="L909" s="54">
        <v>73</v>
      </c>
    </row>
    <row r="910" spans="2:12" x14ac:dyDescent="0.25">
      <c r="B910" s="17">
        <v>45652</v>
      </c>
      <c r="C910" s="13">
        <v>95795.520000000004</v>
      </c>
      <c r="D910" s="54">
        <v>79</v>
      </c>
      <c r="F910" s="17">
        <v>45652</v>
      </c>
      <c r="G910" s="13">
        <v>95795.520000000004</v>
      </c>
      <c r="H910" s="4">
        <v>95795.520000000004</v>
      </c>
      <c r="I910" s="4">
        <v>95795.520000000004</v>
      </c>
      <c r="J910" s="3">
        <v>79</v>
      </c>
      <c r="K910" s="3">
        <v>79</v>
      </c>
      <c r="L910" s="54">
        <v>79</v>
      </c>
    </row>
    <row r="911" spans="2:12" x14ac:dyDescent="0.25">
      <c r="B911" s="17">
        <v>45653</v>
      </c>
      <c r="C911" s="13">
        <v>94164.86</v>
      </c>
      <c r="D911" s="54">
        <v>74</v>
      </c>
      <c r="F911" s="17">
        <v>45653</v>
      </c>
      <c r="G911" s="13">
        <v>94164.86</v>
      </c>
      <c r="H911" s="4">
        <v>94164.86</v>
      </c>
      <c r="I911" s="4">
        <v>94164.86</v>
      </c>
      <c r="J911" s="3">
        <v>74</v>
      </c>
      <c r="K911" s="3">
        <v>74</v>
      </c>
      <c r="L911" s="54">
        <v>74</v>
      </c>
    </row>
    <row r="912" spans="2:12" x14ac:dyDescent="0.25">
      <c r="B912" s="17">
        <v>45654</v>
      </c>
      <c r="C912" s="13">
        <v>95163.93</v>
      </c>
      <c r="D912" s="54">
        <v>72</v>
      </c>
      <c r="F912" s="17">
        <v>45654</v>
      </c>
      <c r="G912" s="13">
        <v>95163.93</v>
      </c>
      <c r="H912" s="4">
        <v>95163.93</v>
      </c>
      <c r="I912" s="4">
        <v>95163.93</v>
      </c>
      <c r="J912" s="3">
        <v>72</v>
      </c>
      <c r="K912" s="3">
        <v>72</v>
      </c>
      <c r="L912" s="54">
        <v>72</v>
      </c>
    </row>
    <row r="913" spans="2:12" x14ac:dyDescent="0.25">
      <c r="B913" s="17">
        <v>45655</v>
      </c>
      <c r="C913" s="13">
        <v>93530.23</v>
      </c>
      <c r="D913" s="54">
        <v>73</v>
      </c>
      <c r="F913" s="17">
        <v>45655</v>
      </c>
      <c r="G913" s="13">
        <v>93530.23</v>
      </c>
      <c r="H913" s="4">
        <v>93530.23</v>
      </c>
      <c r="I913" s="4">
        <v>93530.23</v>
      </c>
      <c r="J913" s="3">
        <v>73</v>
      </c>
      <c r="K913" s="3">
        <v>73</v>
      </c>
      <c r="L913" s="54">
        <v>73</v>
      </c>
    </row>
    <row r="914" spans="2:12" x14ac:dyDescent="0.25">
      <c r="B914" s="17">
        <v>45656</v>
      </c>
      <c r="C914" s="13">
        <v>92643.21</v>
      </c>
      <c r="D914" s="54">
        <v>65</v>
      </c>
      <c r="F914" s="17">
        <v>45656</v>
      </c>
      <c r="G914" s="13">
        <v>92643.21</v>
      </c>
      <c r="H914" s="4">
        <v>92643.21</v>
      </c>
      <c r="I914" s="4">
        <v>92643.21</v>
      </c>
      <c r="J914" s="3">
        <v>65</v>
      </c>
      <c r="K914" s="3">
        <v>65</v>
      </c>
      <c r="L914" s="54">
        <v>65</v>
      </c>
    </row>
    <row r="915" spans="2:12" x14ac:dyDescent="0.25">
      <c r="B915" s="17">
        <v>45657</v>
      </c>
      <c r="C915" s="13">
        <v>93429.2</v>
      </c>
      <c r="D915" s="54">
        <v>64</v>
      </c>
      <c r="F915" s="17">
        <v>45657</v>
      </c>
      <c r="G915" s="13">
        <v>93429.2</v>
      </c>
      <c r="H915" s="4">
        <v>93429.2</v>
      </c>
      <c r="I915" s="4">
        <v>93429.2</v>
      </c>
      <c r="J915" s="3">
        <v>64</v>
      </c>
      <c r="K915" s="3">
        <v>64</v>
      </c>
      <c r="L915" s="54">
        <v>64</v>
      </c>
    </row>
    <row r="916" spans="2:12" x14ac:dyDescent="0.25">
      <c r="B916" s="17">
        <v>45658</v>
      </c>
      <c r="C916" s="13">
        <v>94419.76</v>
      </c>
      <c r="D916" s="54">
        <v>66</v>
      </c>
      <c r="F916" s="17">
        <v>45658</v>
      </c>
      <c r="G916" s="13">
        <v>94419.76</v>
      </c>
      <c r="H916" s="4">
        <v>94419.76</v>
      </c>
      <c r="I916" s="4">
        <v>94419.76</v>
      </c>
      <c r="J916" s="3">
        <v>66</v>
      </c>
      <c r="K916" s="3">
        <v>66</v>
      </c>
      <c r="L916" s="54">
        <v>66</v>
      </c>
    </row>
    <row r="917" spans="2:12" x14ac:dyDescent="0.25">
      <c r="B917" s="17">
        <v>45659</v>
      </c>
      <c r="C917" s="13">
        <v>96886.88</v>
      </c>
      <c r="D917" s="54">
        <v>70</v>
      </c>
      <c r="F917" s="17">
        <v>45659</v>
      </c>
      <c r="G917" s="13">
        <v>96886.88</v>
      </c>
      <c r="H917" s="4">
        <v>96886.88</v>
      </c>
      <c r="I917" s="4">
        <v>96886.88</v>
      </c>
      <c r="J917" s="3">
        <v>70</v>
      </c>
      <c r="K917" s="3">
        <v>70</v>
      </c>
      <c r="L917" s="54">
        <v>70</v>
      </c>
    </row>
    <row r="918" spans="2:12" x14ac:dyDescent="0.25">
      <c r="B918" s="17">
        <v>45660</v>
      </c>
      <c r="C918" s="13">
        <v>98107.43</v>
      </c>
      <c r="D918" s="54">
        <v>74</v>
      </c>
      <c r="F918" s="17">
        <v>45660</v>
      </c>
      <c r="G918" s="13">
        <v>98107.43</v>
      </c>
      <c r="H918" s="4">
        <v>98107.43</v>
      </c>
      <c r="I918" s="4">
        <v>98107.43</v>
      </c>
      <c r="J918" s="3">
        <v>74</v>
      </c>
      <c r="K918" s="3">
        <v>74</v>
      </c>
      <c r="L918" s="54">
        <v>74</v>
      </c>
    </row>
    <row r="919" spans="2:12" x14ac:dyDescent="0.25">
      <c r="B919" s="17">
        <v>45661</v>
      </c>
      <c r="C919" s="13">
        <v>98236.23</v>
      </c>
      <c r="D919" s="54">
        <v>73</v>
      </c>
      <c r="F919" s="17">
        <v>45661</v>
      </c>
      <c r="G919" s="13">
        <v>98236.23</v>
      </c>
      <c r="H919" s="4">
        <v>98236.23</v>
      </c>
      <c r="I919" s="4">
        <v>98236.23</v>
      </c>
      <c r="J919" s="3">
        <v>73</v>
      </c>
      <c r="K919" s="3">
        <v>73</v>
      </c>
      <c r="L919" s="54">
        <v>73</v>
      </c>
    </row>
    <row r="920" spans="2:12" x14ac:dyDescent="0.25">
      <c r="B920" s="17">
        <v>45662</v>
      </c>
      <c r="C920" s="13">
        <v>98314.96</v>
      </c>
      <c r="D920" s="54">
        <v>72</v>
      </c>
      <c r="F920" s="17">
        <v>45662</v>
      </c>
      <c r="G920" s="13">
        <v>98314.96</v>
      </c>
      <c r="H920" s="4">
        <v>98314.96</v>
      </c>
      <c r="I920" s="4">
        <v>98314.96</v>
      </c>
      <c r="J920" s="3">
        <v>72</v>
      </c>
      <c r="K920" s="3">
        <v>72</v>
      </c>
      <c r="L920" s="54">
        <v>72</v>
      </c>
    </row>
    <row r="921" spans="2:12" x14ac:dyDescent="0.25">
      <c r="B921" s="17">
        <v>45663</v>
      </c>
      <c r="C921" s="13">
        <v>102078.09</v>
      </c>
      <c r="D921" s="54">
        <v>76</v>
      </c>
      <c r="F921" s="17">
        <v>45663</v>
      </c>
      <c r="G921" s="13">
        <v>102078.09</v>
      </c>
      <c r="H921" s="4">
        <v>102078.09</v>
      </c>
      <c r="I921" s="4">
        <v>102078.09</v>
      </c>
      <c r="J921" s="3">
        <v>76</v>
      </c>
      <c r="K921" s="3">
        <v>76</v>
      </c>
      <c r="L921" s="54">
        <v>76</v>
      </c>
    </row>
    <row r="922" spans="2:12" x14ac:dyDescent="0.25">
      <c r="B922" s="17">
        <v>45664</v>
      </c>
      <c r="C922" s="13">
        <v>96922.7</v>
      </c>
      <c r="D922" s="54">
        <v>78</v>
      </c>
      <c r="F922" s="17">
        <v>45664</v>
      </c>
      <c r="G922" s="13">
        <v>96922.7</v>
      </c>
      <c r="H922" s="4">
        <v>96922.7</v>
      </c>
      <c r="I922" s="4">
        <v>96922.7</v>
      </c>
      <c r="J922" s="3">
        <v>78</v>
      </c>
      <c r="K922" s="3">
        <v>78</v>
      </c>
      <c r="L922" s="54">
        <v>78</v>
      </c>
    </row>
    <row r="923" spans="2:12" x14ac:dyDescent="0.25">
      <c r="B923" s="17">
        <v>45665</v>
      </c>
      <c r="C923" s="13">
        <v>95043.520000000004</v>
      </c>
      <c r="D923" s="54">
        <v>70</v>
      </c>
      <c r="F923" s="17">
        <v>45665</v>
      </c>
      <c r="G923" s="13">
        <v>95043.520000000004</v>
      </c>
      <c r="H923" s="4">
        <v>95043.520000000004</v>
      </c>
      <c r="I923" s="4">
        <v>95043.520000000004</v>
      </c>
      <c r="J923" s="3">
        <v>70</v>
      </c>
      <c r="K923" s="3">
        <v>70</v>
      </c>
      <c r="L923" s="54">
        <v>70</v>
      </c>
    </row>
    <row r="924" spans="2:12" x14ac:dyDescent="0.25">
      <c r="B924" s="17">
        <v>45666</v>
      </c>
      <c r="C924" s="13">
        <v>92484.04</v>
      </c>
      <c r="D924" s="54">
        <v>69</v>
      </c>
      <c r="F924" s="17">
        <v>45666</v>
      </c>
      <c r="G924" s="13">
        <v>92484.04</v>
      </c>
      <c r="H924" s="4">
        <v>92484.04</v>
      </c>
      <c r="I924" s="4">
        <v>92484.04</v>
      </c>
      <c r="J924" s="3">
        <v>69</v>
      </c>
      <c r="K924" s="3">
        <v>69</v>
      </c>
      <c r="L924" s="54">
        <v>69</v>
      </c>
    </row>
    <row r="925" spans="2:12" x14ac:dyDescent="0.25">
      <c r="B925" s="17">
        <v>45667</v>
      </c>
      <c r="C925" s="13">
        <v>94701.45</v>
      </c>
      <c r="D925" s="54">
        <v>50</v>
      </c>
      <c r="F925" s="17">
        <v>45667</v>
      </c>
      <c r="G925" s="13">
        <v>94701.45</v>
      </c>
      <c r="H925" s="4">
        <v>94701.45</v>
      </c>
      <c r="I925" s="4">
        <v>94701.45</v>
      </c>
      <c r="J925" s="3">
        <v>50</v>
      </c>
      <c r="K925" s="3">
        <v>50</v>
      </c>
      <c r="L925" s="54">
        <v>50</v>
      </c>
    </row>
    <row r="926" spans="2:12" x14ac:dyDescent="0.25">
      <c r="B926" s="17">
        <v>45668</v>
      </c>
      <c r="C926" s="13">
        <v>94566.59</v>
      </c>
      <c r="D926" s="54">
        <v>69</v>
      </c>
      <c r="F926" s="17">
        <v>45668</v>
      </c>
      <c r="G926" s="13">
        <v>94566.59</v>
      </c>
      <c r="H926" s="4">
        <v>94566.59</v>
      </c>
      <c r="I926" s="4">
        <v>94566.59</v>
      </c>
      <c r="J926" s="3">
        <v>69</v>
      </c>
      <c r="K926" s="3">
        <v>69</v>
      </c>
      <c r="L926" s="54">
        <v>69</v>
      </c>
    </row>
    <row r="927" spans="2:12" x14ac:dyDescent="0.25">
      <c r="B927" s="17">
        <v>45669</v>
      </c>
      <c r="C927" s="13">
        <v>94488.44</v>
      </c>
      <c r="D927" s="54">
        <v>62</v>
      </c>
      <c r="F927" s="17">
        <v>45669</v>
      </c>
      <c r="G927" s="13">
        <v>94488.44</v>
      </c>
      <c r="H927" s="4">
        <v>94488.44</v>
      </c>
      <c r="I927" s="4">
        <v>94488.44</v>
      </c>
      <c r="J927" s="3">
        <v>62</v>
      </c>
      <c r="K927" s="3">
        <v>62</v>
      </c>
      <c r="L927" s="54">
        <v>62</v>
      </c>
    </row>
    <row r="928" spans="2:12" x14ac:dyDescent="0.25">
      <c r="B928" s="17">
        <v>45670</v>
      </c>
      <c r="C928" s="13">
        <v>94516.52</v>
      </c>
      <c r="D928" s="54">
        <v>61</v>
      </c>
      <c r="F928" s="17">
        <v>45670</v>
      </c>
      <c r="G928" s="13">
        <v>94516.52</v>
      </c>
      <c r="H928" s="4">
        <v>94516.52</v>
      </c>
      <c r="I928" s="4">
        <v>94516.52</v>
      </c>
      <c r="J928" s="3">
        <v>61</v>
      </c>
      <c r="K928" s="3">
        <v>61</v>
      </c>
      <c r="L928" s="54">
        <v>61</v>
      </c>
    </row>
    <row r="929" spans="2:12" x14ac:dyDescent="0.25">
      <c r="B929" s="17">
        <v>45671</v>
      </c>
      <c r="C929" s="13">
        <v>96534.05</v>
      </c>
      <c r="D929" s="54">
        <v>63</v>
      </c>
      <c r="F929" s="17">
        <v>45671</v>
      </c>
      <c r="G929" s="13">
        <v>96534.05</v>
      </c>
      <c r="H929" s="4">
        <v>96534.05</v>
      </c>
      <c r="I929" s="4">
        <v>96534.05</v>
      </c>
      <c r="J929" s="3">
        <v>63</v>
      </c>
      <c r="K929" s="3">
        <v>63</v>
      </c>
      <c r="L929" s="54">
        <v>63</v>
      </c>
    </row>
    <row r="930" spans="2:12" x14ac:dyDescent="0.25">
      <c r="B930" s="17">
        <v>45672</v>
      </c>
      <c r="C930" s="13">
        <v>100504.49</v>
      </c>
      <c r="D930" s="54">
        <v>70</v>
      </c>
      <c r="F930" s="17">
        <v>45672</v>
      </c>
      <c r="G930" s="13">
        <v>100504.49</v>
      </c>
      <c r="H930" s="4">
        <v>100504.49</v>
      </c>
      <c r="I930" s="4">
        <v>100504.49</v>
      </c>
      <c r="J930" s="3">
        <v>70</v>
      </c>
      <c r="K930" s="3">
        <v>70</v>
      </c>
      <c r="L930" s="54">
        <v>70</v>
      </c>
    </row>
    <row r="931" spans="2:12" x14ac:dyDescent="0.25">
      <c r="B931" s="17">
        <v>45673</v>
      </c>
      <c r="C931" s="13">
        <v>99756.91</v>
      </c>
      <c r="D931" s="54">
        <v>75</v>
      </c>
      <c r="F931" s="17">
        <v>45673</v>
      </c>
      <c r="G931" s="13">
        <v>99756.91</v>
      </c>
      <c r="H931" s="4">
        <v>99756.91</v>
      </c>
      <c r="I931" s="4">
        <v>99756.91</v>
      </c>
      <c r="J931" s="3">
        <v>75</v>
      </c>
      <c r="K931" s="3">
        <v>75</v>
      </c>
      <c r="L931" s="54">
        <v>75</v>
      </c>
    </row>
    <row r="932" spans="2:12" x14ac:dyDescent="0.25">
      <c r="B932" s="17">
        <v>45674</v>
      </c>
      <c r="C932" s="13">
        <v>104462.04</v>
      </c>
      <c r="D932" s="54">
        <v>75</v>
      </c>
      <c r="F932" s="17">
        <v>45674</v>
      </c>
      <c r="G932" s="13">
        <v>104462.04</v>
      </c>
      <c r="H932" s="4">
        <v>104462.04</v>
      </c>
      <c r="I932" s="4">
        <v>104462.04</v>
      </c>
      <c r="J932" s="3">
        <v>75</v>
      </c>
      <c r="K932" s="3">
        <v>75</v>
      </c>
      <c r="L932" s="54">
        <v>75</v>
      </c>
    </row>
    <row r="933" spans="2:12" x14ac:dyDescent="0.25">
      <c r="B933" s="17">
        <v>45675</v>
      </c>
      <c r="C933" s="13">
        <v>104408.07</v>
      </c>
      <c r="D933" s="54">
        <v>77</v>
      </c>
      <c r="F933" s="17">
        <v>45675</v>
      </c>
      <c r="G933" s="13">
        <v>104408.07</v>
      </c>
      <c r="H933" s="4">
        <v>104408.07</v>
      </c>
      <c r="I933" s="4">
        <v>104408.07</v>
      </c>
      <c r="J933" s="3">
        <v>77</v>
      </c>
      <c r="K933" s="3">
        <v>77</v>
      </c>
      <c r="L933" s="54">
        <v>77</v>
      </c>
    </row>
    <row r="934" spans="2:12" x14ac:dyDescent="0.25">
      <c r="B934" s="17">
        <v>45676</v>
      </c>
      <c r="C934" s="13">
        <v>101089.61</v>
      </c>
      <c r="D934" s="54">
        <v>77</v>
      </c>
      <c r="F934" s="17">
        <v>45676</v>
      </c>
      <c r="G934" s="13">
        <v>101089.61</v>
      </c>
      <c r="H934" s="4">
        <v>101089.61</v>
      </c>
      <c r="I934" s="4">
        <v>101089.61</v>
      </c>
      <c r="J934" s="3">
        <v>77</v>
      </c>
      <c r="K934" s="3">
        <v>77</v>
      </c>
      <c r="L934" s="54">
        <v>77</v>
      </c>
    </row>
    <row r="935" spans="2:12" x14ac:dyDescent="0.25">
      <c r="B935" s="17">
        <v>45677</v>
      </c>
      <c r="C935" s="13">
        <v>102016.66</v>
      </c>
      <c r="D935" s="54">
        <v>76</v>
      </c>
      <c r="F935" s="17">
        <v>45677</v>
      </c>
      <c r="G935" s="13">
        <v>102016.66</v>
      </c>
      <c r="H935" s="4">
        <v>102016.66</v>
      </c>
      <c r="I935" s="4">
        <v>102016.66</v>
      </c>
      <c r="J935" s="3">
        <v>76</v>
      </c>
      <c r="K935" s="3">
        <v>76</v>
      </c>
      <c r="L935" s="54">
        <v>76</v>
      </c>
    </row>
    <row r="936" spans="2:12" x14ac:dyDescent="0.25">
      <c r="B936" s="17">
        <v>45678</v>
      </c>
      <c r="C936" s="13">
        <v>106146.27</v>
      </c>
      <c r="D936" s="54">
        <v>76</v>
      </c>
      <c r="F936" s="17">
        <v>45678</v>
      </c>
      <c r="G936" s="13">
        <v>106146.27</v>
      </c>
      <c r="H936" s="4">
        <v>106146.27</v>
      </c>
      <c r="I936" s="4">
        <v>106146.27</v>
      </c>
      <c r="J936" s="3">
        <v>76</v>
      </c>
      <c r="K936" s="3">
        <v>76</v>
      </c>
      <c r="L936" s="54">
        <v>76</v>
      </c>
    </row>
    <row r="937" spans="2:12" x14ac:dyDescent="0.25">
      <c r="B937" s="17">
        <v>45679</v>
      </c>
      <c r="C937" s="13">
        <v>103653.07</v>
      </c>
      <c r="D937" s="54">
        <v>84</v>
      </c>
      <c r="F937" s="17">
        <v>45679</v>
      </c>
      <c r="G937" s="13">
        <v>103653.07</v>
      </c>
      <c r="H937" s="4">
        <v>103653.07</v>
      </c>
      <c r="I937" s="4">
        <v>103653.07</v>
      </c>
      <c r="J937" s="3">
        <v>84</v>
      </c>
      <c r="K937" s="3">
        <v>84</v>
      </c>
      <c r="L937" s="54">
        <v>84</v>
      </c>
    </row>
    <row r="938" spans="2:12" x14ac:dyDescent="0.25">
      <c r="B938" s="17">
        <v>45680</v>
      </c>
      <c r="C938" s="13">
        <v>103960.17</v>
      </c>
      <c r="D938" s="54">
        <v>75</v>
      </c>
      <c r="F938" s="17">
        <v>45680</v>
      </c>
      <c r="G938" s="13">
        <v>103960.17</v>
      </c>
      <c r="H938" s="4">
        <v>103960.17</v>
      </c>
      <c r="I938" s="4">
        <v>103960.17</v>
      </c>
      <c r="J938" s="3">
        <v>75</v>
      </c>
      <c r="K938" s="3">
        <v>75</v>
      </c>
      <c r="L938" s="54">
        <v>75</v>
      </c>
    </row>
    <row r="939" spans="2:12" x14ac:dyDescent="0.25">
      <c r="B939" s="17">
        <v>45681</v>
      </c>
      <c r="C939" s="13">
        <v>104819.48</v>
      </c>
      <c r="D939" s="54">
        <v>75</v>
      </c>
      <c r="F939" s="17">
        <v>45681</v>
      </c>
      <c r="G939" s="13">
        <v>104819.48</v>
      </c>
      <c r="H939" s="4">
        <v>104819.48</v>
      </c>
      <c r="I939" s="4">
        <v>104819.48</v>
      </c>
      <c r="J939" s="3">
        <v>75</v>
      </c>
      <c r="K939" s="3">
        <v>75</v>
      </c>
      <c r="L939" s="54">
        <v>75</v>
      </c>
    </row>
    <row r="940" spans="2:12" x14ac:dyDescent="0.25">
      <c r="B940" s="17">
        <v>45682</v>
      </c>
      <c r="C940" s="13">
        <v>104714.65</v>
      </c>
      <c r="D940" s="54">
        <v>75</v>
      </c>
      <c r="F940" s="17">
        <v>45682</v>
      </c>
      <c r="G940" s="13">
        <v>104714.65</v>
      </c>
      <c r="H940" s="4">
        <v>104714.65</v>
      </c>
      <c r="I940" s="4">
        <v>104714.65</v>
      </c>
      <c r="J940" s="3">
        <v>75</v>
      </c>
      <c r="K940" s="3">
        <v>75</v>
      </c>
      <c r="L940" s="54">
        <v>75</v>
      </c>
    </row>
    <row r="941" spans="2:12" x14ac:dyDescent="0.25">
      <c r="B941" s="17">
        <v>45683</v>
      </c>
      <c r="C941" s="13">
        <v>102682.5</v>
      </c>
      <c r="D941" s="54">
        <v>73</v>
      </c>
      <c r="F941" s="17">
        <v>45683</v>
      </c>
      <c r="G941" s="13">
        <v>102682.5</v>
      </c>
      <c r="H941" s="4">
        <v>102682.5</v>
      </c>
      <c r="I941" s="4">
        <v>102682.5</v>
      </c>
      <c r="J941" s="3">
        <v>73</v>
      </c>
      <c r="K941" s="3">
        <v>73</v>
      </c>
      <c r="L941" s="54">
        <v>73</v>
      </c>
    </row>
    <row r="942" spans="2:12" x14ac:dyDescent="0.25">
      <c r="B942" s="17">
        <v>45684</v>
      </c>
      <c r="C942" s="13">
        <v>102087.69</v>
      </c>
      <c r="D942" s="54">
        <v>71</v>
      </c>
      <c r="F942" s="17">
        <v>45684</v>
      </c>
      <c r="G942" s="13">
        <v>102087.69</v>
      </c>
      <c r="H942" s="4">
        <v>102087.69</v>
      </c>
      <c r="I942" s="4">
        <v>102087.69</v>
      </c>
      <c r="J942" s="3">
        <v>71</v>
      </c>
      <c r="K942" s="3">
        <v>71</v>
      </c>
      <c r="L942" s="54">
        <v>71</v>
      </c>
    </row>
    <row r="943" spans="2:12" x14ac:dyDescent="0.25">
      <c r="B943" s="17">
        <v>45685</v>
      </c>
      <c r="C943" s="13">
        <v>101332.48</v>
      </c>
      <c r="D943" s="54">
        <v>72</v>
      </c>
      <c r="F943" s="17">
        <v>45685</v>
      </c>
      <c r="G943" s="13">
        <v>101332.48</v>
      </c>
      <c r="H943" s="4">
        <v>101332.48</v>
      </c>
      <c r="I943" s="4">
        <v>101332.48</v>
      </c>
      <c r="J943" s="3">
        <v>72</v>
      </c>
      <c r="K943" s="3">
        <v>72</v>
      </c>
      <c r="L943" s="54">
        <v>72</v>
      </c>
    </row>
    <row r="944" spans="2:12" x14ac:dyDescent="0.25">
      <c r="B944" s="17">
        <v>45686</v>
      </c>
      <c r="C944" s="13">
        <v>103703.21</v>
      </c>
      <c r="D944" s="54">
        <v>72</v>
      </c>
      <c r="F944" s="17">
        <v>45686</v>
      </c>
      <c r="G944" s="13">
        <v>103703.21</v>
      </c>
      <c r="H944" s="4">
        <v>103703.21</v>
      </c>
      <c r="I944" s="4">
        <v>103703.21</v>
      </c>
      <c r="J944" s="3">
        <v>72</v>
      </c>
      <c r="K944" s="3">
        <v>72</v>
      </c>
      <c r="L944" s="54">
        <v>72</v>
      </c>
    </row>
    <row r="945" spans="2:12" x14ac:dyDescent="0.25">
      <c r="B945" s="17">
        <v>45687</v>
      </c>
      <c r="C945" s="13">
        <v>104735.3</v>
      </c>
      <c r="D945" s="54">
        <v>70</v>
      </c>
      <c r="F945" s="17">
        <v>45687</v>
      </c>
      <c r="G945" s="13">
        <v>104735.3</v>
      </c>
      <c r="H945" s="4">
        <v>104735.3</v>
      </c>
      <c r="I945" s="4">
        <v>104735.3</v>
      </c>
      <c r="J945" s="3">
        <v>70</v>
      </c>
      <c r="K945" s="3">
        <v>70</v>
      </c>
      <c r="L945" s="54">
        <v>70</v>
      </c>
    </row>
    <row r="946" spans="2:12" x14ac:dyDescent="0.25">
      <c r="B946" s="17">
        <v>45688</v>
      </c>
      <c r="C946" s="13">
        <v>102405.02</v>
      </c>
      <c r="D946" s="54">
        <v>76</v>
      </c>
      <c r="F946" s="17">
        <v>45688</v>
      </c>
      <c r="G946" s="13">
        <v>102405.02</v>
      </c>
      <c r="H946" s="4">
        <v>102405.02</v>
      </c>
      <c r="I946" s="4">
        <v>102405.02</v>
      </c>
      <c r="J946" s="3">
        <v>76</v>
      </c>
      <c r="K946" s="3">
        <v>76</v>
      </c>
      <c r="L946" s="54">
        <v>76</v>
      </c>
    </row>
    <row r="947" spans="2:12" x14ac:dyDescent="0.25">
      <c r="B947" s="17">
        <v>45689</v>
      </c>
      <c r="C947" s="13">
        <v>100655.91</v>
      </c>
      <c r="D947" s="54">
        <v>68</v>
      </c>
      <c r="F947" s="17">
        <v>45689</v>
      </c>
      <c r="G947" s="13">
        <v>100655.91</v>
      </c>
      <c r="H947" s="4">
        <v>100655.91</v>
      </c>
      <c r="I947" s="4">
        <v>100655.91</v>
      </c>
      <c r="J947" s="3">
        <v>68</v>
      </c>
      <c r="K947" s="3">
        <v>68</v>
      </c>
      <c r="L947" s="54">
        <v>68</v>
      </c>
    </row>
    <row r="948" spans="2:12" x14ac:dyDescent="0.25">
      <c r="B948" s="17">
        <v>45690</v>
      </c>
      <c r="C948" s="13">
        <v>97688.98</v>
      </c>
      <c r="D948" s="54">
        <v>60</v>
      </c>
      <c r="F948" s="17">
        <v>45690</v>
      </c>
      <c r="G948" s="13">
        <v>97688.98</v>
      </c>
      <c r="H948" s="4">
        <v>97688.98</v>
      </c>
      <c r="I948" s="4">
        <v>97688.98</v>
      </c>
      <c r="J948" s="3">
        <v>60</v>
      </c>
      <c r="K948" s="3">
        <v>60</v>
      </c>
      <c r="L948" s="54">
        <v>60</v>
      </c>
    </row>
    <row r="949" spans="2:12" x14ac:dyDescent="0.25">
      <c r="B949" s="17">
        <v>45691</v>
      </c>
      <c r="C949" s="13">
        <v>101405.42</v>
      </c>
      <c r="D949" s="54">
        <v>44</v>
      </c>
      <c r="F949" s="17">
        <v>45691</v>
      </c>
      <c r="G949" s="13">
        <v>101405.42</v>
      </c>
      <c r="H949" s="4">
        <v>101405.42</v>
      </c>
      <c r="I949" s="4">
        <v>101405.42</v>
      </c>
      <c r="J949" s="3">
        <v>44</v>
      </c>
      <c r="K949" s="3">
        <v>44</v>
      </c>
      <c r="L949" s="54">
        <v>44</v>
      </c>
    </row>
    <row r="950" spans="2:12" x14ac:dyDescent="0.25">
      <c r="B950" s="17">
        <v>45692</v>
      </c>
      <c r="C950" s="13">
        <v>97871.82</v>
      </c>
      <c r="D950" s="54">
        <v>72</v>
      </c>
      <c r="F950" s="17">
        <v>45692</v>
      </c>
      <c r="G950" s="13">
        <v>97871.82</v>
      </c>
      <c r="H950" s="4">
        <v>97871.82</v>
      </c>
      <c r="I950" s="4">
        <v>97871.82</v>
      </c>
      <c r="J950" s="3">
        <v>72</v>
      </c>
      <c r="K950" s="3">
        <v>72</v>
      </c>
      <c r="L950" s="54">
        <v>72</v>
      </c>
    </row>
    <row r="951" spans="2:12" x14ac:dyDescent="0.25">
      <c r="B951" s="17">
        <v>45693</v>
      </c>
      <c r="C951" s="13">
        <v>96615.45</v>
      </c>
      <c r="D951" s="54">
        <v>54</v>
      </c>
      <c r="F951" s="17">
        <v>45693</v>
      </c>
      <c r="G951" s="13">
        <v>96615.45</v>
      </c>
      <c r="H951" s="4">
        <v>96615.45</v>
      </c>
      <c r="I951" s="4">
        <v>96615.45</v>
      </c>
      <c r="J951" s="3">
        <v>54</v>
      </c>
      <c r="K951" s="3">
        <v>54</v>
      </c>
      <c r="L951" s="54">
        <v>54</v>
      </c>
    </row>
    <row r="952" spans="2:12" x14ac:dyDescent="0.25">
      <c r="B952" s="17">
        <v>45694</v>
      </c>
      <c r="C952" s="13">
        <v>96593.3</v>
      </c>
      <c r="D952" s="54">
        <v>49</v>
      </c>
      <c r="F952" s="17">
        <v>45694</v>
      </c>
      <c r="G952" s="13">
        <v>96593.3</v>
      </c>
      <c r="H952" s="4">
        <v>96593.3</v>
      </c>
      <c r="I952" s="4">
        <v>96593.3</v>
      </c>
      <c r="J952" s="3">
        <v>49</v>
      </c>
      <c r="K952" s="3">
        <v>49</v>
      </c>
      <c r="L952" s="54">
        <v>49</v>
      </c>
    </row>
    <row r="953" spans="2:12" ht="15.75" thickBot="1" x14ac:dyDescent="0.3">
      <c r="B953" s="18">
        <v>45695</v>
      </c>
      <c r="C953" s="13">
        <v>96529.09</v>
      </c>
      <c r="D953" s="54">
        <v>44</v>
      </c>
      <c r="F953" s="18">
        <v>45695</v>
      </c>
      <c r="G953" s="13">
        <v>96529.09</v>
      </c>
      <c r="H953" s="4">
        <v>96529.09</v>
      </c>
      <c r="I953" s="4">
        <v>96529.09</v>
      </c>
      <c r="J953" s="3">
        <v>44</v>
      </c>
      <c r="K953" s="3">
        <v>44</v>
      </c>
      <c r="L953" s="54">
        <v>44</v>
      </c>
    </row>
    <row r="954" spans="2:12" x14ac:dyDescent="0.25">
      <c r="B954" s="16">
        <v>45696</v>
      </c>
      <c r="C954" s="13">
        <v>96482.45</v>
      </c>
      <c r="D954" s="54">
        <v>44</v>
      </c>
      <c r="F954" s="16">
        <v>45696</v>
      </c>
      <c r="G954" s="13">
        <v>96482.45</v>
      </c>
      <c r="H954" s="4">
        <v>96482.45</v>
      </c>
      <c r="I954" s="4">
        <v>96482.45</v>
      </c>
      <c r="J954" s="3">
        <v>44</v>
      </c>
      <c r="K954" s="3">
        <v>44</v>
      </c>
      <c r="L954" s="54">
        <v>44</v>
      </c>
    </row>
    <row r="955" spans="2:12" x14ac:dyDescent="0.25">
      <c r="B955" s="17">
        <v>45697</v>
      </c>
      <c r="C955" s="13">
        <v>96500.09</v>
      </c>
      <c r="D955" s="54">
        <v>46</v>
      </c>
      <c r="F955" s="17">
        <v>45697</v>
      </c>
      <c r="G955" s="13">
        <v>96500.09</v>
      </c>
      <c r="H955" s="4">
        <v>96500.09</v>
      </c>
      <c r="I955" s="4">
        <v>96500.09</v>
      </c>
      <c r="J955" s="3">
        <v>46</v>
      </c>
      <c r="K955" s="3">
        <v>46</v>
      </c>
      <c r="L955" s="54">
        <v>46</v>
      </c>
    </row>
    <row r="956" spans="2:12" x14ac:dyDescent="0.25">
      <c r="B956" s="17">
        <v>45698</v>
      </c>
      <c r="C956" s="13">
        <v>97437.55</v>
      </c>
      <c r="D956" s="54">
        <v>43</v>
      </c>
      <c r="F956" s="17">
        <v>45698</v>
      </c>
      <c r="G956" s="13">
        <v>97437.55</v>
      </c>
      <c r="H956" s="4">
        <v>97437.55</v>
      </c>
      <c r="I956" s="4">
        <v>97437.55</v>
      </c>
      <c r="J956" s="3">
        <v>43</v>
      </c>
      <c r="K956" s="3">
        <v>43</v>
      </c>
      <c r="L956" s="54">
        <v>43</v>
      </c>
    </row>
    <row r="957" spans="2:12" x14ac:dyDescent="0.25">
      <c r="B957" s="17">
        <v>45699</v>
      </c>
      <c r="C957" s="13">
        <v>95747.43</v>
      </c>
      <c r="D957" s="54">
        <v>47</v>
      </c>
      <c r="F957" s="17">
        <v>45699</v>
      </c>
      <c r="G957" s="13">
        <v>95747.43</v>
      </c>
      <c r="H957" s="4">
        <v>95747.43</v>
      </c>
      <c r="I957" s="4">
        <v>95747.43</v>
      </c>
      <c r="J957" s="3">
        <v>47</v>
      </c>
      <c r="K957" s="3">
        <v>47</v>
      </c>
      <c r="L957" s="54">
        <v>47</v>
      </c>
    </row>
    <row r="958" spans="2:12" x14ac:dyDescent="0.25">
      <c r="B958" s="17">
        <v>45700</v>
      </c>
      <c r="C958" s="13">
        <v>97885.86</v>
      </c>
      <c r="D958" s="54">
        <v>46</v>
      </c>
      <c r="F958" s="17">
        <v>45700</v>
      </c>
      <c r="G958" s="13">
        <v>97885.86</v>
      </c>
      <c r="H958" s="4">
        <v>97885.86</v>
      </c>
      <c r="I958" s="4">
        <v>97885.86</v>
      </c>
      <c r="J958" s="3">
        <v>46</v>
      </c>
      <c r="K958" s="3">
        <v>46</v>
      </c>
      <c r="L958" s="54">
        <v>46</v>
      </c>
    </row>
    <row r="959" spans="2:12" x14ac:dyDescent="0.25">
      <c r="B959" s="17">
        <v>45701</v>
      </c>
      <c r="C959" s="13">
        <v>96623.87</v>
      </c>
      <c r="D959" s="54">
        <v>50</v>
      </c>
      <c r="F959" s="17">
        <v>45701</v>
      </c>
      <c r="G959" s="13">
        <v>96623.87</v>
      </c>
      <c r="H959" s="4">
        <v>96623.87</v>
      </c>
      <c r="I959" s="4">
        <v>96623.87</v>
      </c>
      <c r="J959" s="3">
        <v>50</v>
      </c>
      <c r="K959" s="3">
        <v>50</v>
      </c>
      <c r="L959" s="54">
        <v>50</v>
      </c>
    </row>
    <row r="960" spans="2:12" x14ac:dyDescent="0.25">
      <c r="B960" s="17">
        <v>45702</v>
      </c>
      <c r="C960" s="13">
        <v>97508.97</v>
      </c>
      <c r="D960" s="54">
        <v>48</v>
      </c>
      <c r="F960" s="17">
        <v>45702</v>
      </c>
      <c r="G960" s="13">
        <v>97508.97</v>
      </c>
      <c r="H960" s="4">
        <v>97508.97</v>
      </c>
      <c r="I960" s="4">
        <v>97508.97</v>
      </c>
      <c r="J960" s="3">
        <v>48</v>
      </c>
      <c r="K960" s="3">
        <v>48</v>
      </c>
      <c r="L960" s="54">
        <v>48</v>
      </c>
    </row>
    <row r="961" spans="2:12" x14ac:dyDescent="0.25">
      <c r="B961" s="17">
        <v>45703</v>
      </c>
      <c r="C961" s="13">
        <v>97580.35</v>
      </c>
      <c r="D961" s="54">
        <v>50</v>
      </c>
      <c r="F961" s="17">
        <v>45703</v>
      </c>
      <c r="G961" s="13">
        <v>97580.35</v>
      </c>
      <c r="H961" s="4">
        <v>97580.35</v>
      </c>
      <c r="I961" s="4">
        <v>97580.35</v>
      </c>
      <c r="J961" s="3">
        <v>50</v>
      </c>
      <c r="K961" s="3">
        <v>50</v>
      </c>
      <c r="L961" s="54">
        <v>50</v>
      </c>
    </row>
    <row r="962" spans="2:12" x14ac:dyDescent="0.25">
      <c r="B962" s="17">
        <v>45704</v>
      </c>
      <c r="C962" s="13">
        <v>96175.03</v>
      </c>
      <c r="D962" s="54">
        <v>54</v>
      </c>
      <c r="F962" s="17">
        <v>45704</v>
      </c>
      <c r="G962" s="13">
        <v>96175.03</v>
      </c>
      <c r="H962" s="4">
        <v>96175.03</v>
      </c>
      <c r="I962" s="4">
        <v>96175.03</v>
      </c>
      <c r="J962" s="3">
        <v>54</v>
      </c>
      <c r="K962" s="3">
        <v>54</v>
      </c>
      <c r="L962" s="54">
        <v>54</v>
      </c>
    </row>
    <row r="963" spans="2:12" x14ac:dyDescent="0.25">
      <c r="B963" s="17">
        <v>45705</v>
      </c>
      <c r="C963" s="13">
        <v>95773.38</v>
      </c>
      <c r="D963" s="54">
        <v>51</v>
      </c>
      <c r="F963" s="17">
        <v>45705</v>
      </c>
      <c r="G963" s="13">
        <v>95773.38</v>
      </c>
      <c r="H963" s="4">
        <v>95773.38</v>
      </c>
      <c r="I963" s="4">
        <v>95773.38</v>
      </c>
      <c r="J963" s="3">
        <v>51</v>
      </c>
      <c r="K963" s="3">
        <v>51</v>
      </c>
      <c r="L963" s="54">
        <v>51</v>
      </c>
    </row>
    <row r="964" spans="2:12" x14ac:dyDescent="0.25">
      <c r="B964" s="17">
        <v>45706</v>
      </c>
      <c r="C964" s="13">
        <v>95539.55</v>
      </c>
      <c r="D964" s="54">
        <v>47</v>
      </c>
      <c r="F964" s="17">
        <v>45706</v>
      </c>
      <c r="G964" s="13">
        <v>95539.55</v>
      </c>
      <c r="H964" s="4">
        <v>95539.55</v>
      </c>
      <c r="I964" s="4">
        <v>95539.55</v>
      </c>
      <c r="J964" s="3">
        <v>47</v>
      </c>
      <c r="K964" s="3">
        <v>47</v>
      </c>
      <c r="L964" s="54">
        <v>47</v>
      </c>
    </row>
    <row r="965" spans="2:12" x14ac:dyDescent="0.25">
      <c r="B965" s="17">
        <v>45707</v>
      </c>
      <c r="C965" s="13">
        <v>96635.61</v>
      </c>
      <c r="D965" s="54">
        <v>44</v>
      </c>
      <c r="F965" s="17">
        <v>45707</v>
      </c>
      <c r="G965" s="13">
        <v>96635.61</v>
      </c>
      <c r="H965" s="4">
        <v>96635.61</v>
      </c>
      <c r="I965" s="4">
        <v>96635.61</v>
      </c>
      <c r="J965" s="3">
        <v>44</v>
      </c>
      <c r="K965" s="3">
        <v>44</v>
      </c>
      <c r="L965" s="54">
        <v>44</v>
      </c>
    </row>
    <row r="966" spans="2:12" x14ac:dyDescent="0.25">
      <c r="B966" s="17">
        <v>45708</v>
      </c>
      <c r="C966" s="13">
        <v>98333.94</v>
      </c>
      <c r="D966" s="54">
        <v>49</v>
      </c>
      <c r="F966" s="17">
        <v>45708</v>
      </c>
      <c r="G966" s="13">
        <v>98333.94</v>
      </c>
      <c r="H966" s="4">
        <v>98333.94</v>
      </c>
      <c r="I966" s="4">
        <v>98333.94</v>
      </c>
      <c r="J966" s="3">
        <v>49</v>
      </c>
      <c r="K966" s="3">
        <v>49</v>
      </c>
      <c r="L966" s="54">
        <v>49</v>
      </c>
    </row>
    <row r="967" spans="2:12" x14ac:dyDescent="0.25">
      <c r="B967" s="17">
        <v>45709</v>
      </c>
      <c r="C967" s="13">
        <v>96125.55</v>
      </c>
      <c r="D967" s="54">
        <v>55</v>
      </c>
      <c r="F967" s="17">
        <v>45709</v>
      </c>
      <c r="G967" s="13">
        <v>96125.55</v>
      </c>
      <c r="H967" s="4">
        <v>96125.55</v>
      </c>
      <c r="I967" s="4">
        <v>96125.55</v>
      </c>
      <c r="J967" s="3">
        <v>55</v>
      </c>
      <c r="K967" s="3">
        <v>55</v>
      </c>
      <c r="L967" s="54">
        <v>55</v>
      </c>
    </row>
    <row r="968" spans="2:12" x14ac:dyDescent="0.25">
      <c r="B968" s="17">
        <v>45710</v>
      </c>
      <c r="C968" s="13">
        <v>96577.76</v>
      </c>
      <c r="D968" s="54">
        <v>49</v>
      </c>
      <c r="F968" s="17">
        <v>45710</v>
      </c>
      <c r="G968" s="13">
        <v>96577.76</v>
      </c>
      <c r="H968" s="4">
        <v>96577.76</v>
      </c>
      <c r="I968" s="4">
        <v>96577.76</v>
      </c>
      <c r="J968" s="3">
        <v>49</v>
      </c>
      <c r="K968" s="3">
        <v>49</v>
      </c>
      <c r="L968" s="54">
        <v>49</v>
      </c>
    </row>
    <row r="969" spans="2:12" x14ac:dyDescent="0.25">
      <c r="B969" s="17">
        <v>45711</v>
      </c>
      <c r="C969" s="13">
        <v>96273.919999999998</v>
      </c>
      <c r="D969" s="54">
        <v>50</v>
      </c>
      <c r="F969" s="17">
        <v>45711</v>
      </c>
      <c r="G969" s="13">
        <v>96273.919999999998</v>
      </c>
      <c r="H969" s="4">
        <v>96273.919999999998</v>
      </c>
      <c r="I969" s="4">
        <v>96273.919999999998</v>
      </c>
      <c r="J969" s="3">
        <v>50</v>
      </c>
      <c r="K969" s="3">
        <v>50</v>
      </c>
      <c r="L969" s="54">
        <v>50</v>
      </c>
    </row>
    <row r="970" spans="2:12" x14ac:dyDescent="0.25">
      <c r="B970" s="17">
        <v>45712</v>
      </c>
      <c r="C970" s="13">
        <v>91418.17</v>
      </c>
      <c r="D970" s="54">
        <v>49</v>
      </c>
      <c r="F970" s="17">
        <v>45712</v>
      </c>
      <c r="G970" s="13">
        <v>91418.17</v>
      </c>
      <c r="H970" s="4">
        <v>91418.17</v>
      </c>
      <c r="I970" s="4">
        <v>91418.17</v>
      </c>
      <c r="J970" s="3">
        <v>49</v>
      </c>
      <c r="K970" s="3">
        <v>49</v>
      </c>
      <c r="L970" s="54">
        <v>49</v>
      </c>
    </row>
    <row r="971" spans="2:12" x14ac:dyDescent="0.25">
      <c r="B971" s="17">
        <v>45713</v>
      </c>
      <c r="C971" s="13">
        <v>88736.17</v>
      </c>
      <c r="D971" s="54">
        <v>25</v>
      </c>
      <c r="F971" s="17">
        <v>45713</v>
      </c>
      <c r="G971" s="13">
        <v>88736.17</v>
      </c>
      <c r="H971" s="4">
        <v>88736.17</v>
      </c>
      <c r="I971" s="4">
        <v>88736.17</v>
      </c>
      <c r="J971" s="3">
        <v>25</v>
      </c>
      <c r="K971" s="3">
        <v>25</v>
      </c>
      <c r="L971" s="54">
        <v>25</v>
      </c>
    </row>
    <row r="972" spans="2:12" x14ac:dyDescent="0.25">
      <c r="B972" s="17">
        <v>45714</v>
      </c>
      <c r="C972" s="13">
        <v>84347.02</v>
      </c>
      <c r="D972" s="54">
        <v>21</v>
      </c>
      <c r="F972" s="17">
        <v>45714</v>
      </c>
      <c r="G972" s="13">
        <v>84347.02</v>
      </c>
      <c r="H972" s="4">
        <v>84347.02</v>
      </c>
      <c r="I972" s="4">
        <v>84347.02</v>
      </c>
      <c r="J972" s="3">
        <v>21</v>
      </c>
      <c r="K972" s="3">
        <v>21</v>
      </c>
      <c r="L972" s="54">
        <v>21</v>
      </c>
    </row>
    <row r="973" spans="2:12" x14ac:dyDescent="0.25">
      <c r="B973" s="17">
        <v>45715</v>
      </c>
      <c r="C973" s="13">
        <v>84704.23</v>
      </c>
      <c r="D973" s="54">
        <v>10</v>
      </c>
      <c r="F973" s="17">
        <v>45715</v>
      </c>
      <c r="G973" s="13">
        <v>84704.23</v>
      </c>
      <c r="H973" s="4">
        <v>84704.23</v>
      </c>
      <c r="I973" s="4">
        <v>84704.23</v>
      </c>
      <c r="J973" s="3">
        <v>10</v>
      </c>
      <c r="K973" s="3">
        <v>10</v>
      </c>
      <c r="L973" s="54">
        <v>10</v>
      </c>
    </row>
    <row r="974" spans="2:12" x14ac:dyDescent="0.25">
      <c r="B974" s="17">
        <v>45716</v>
      </c>
      <c r="C974" s="13">
        <v>84373.01</v>
      </c>
      <c r="D974" s="54">
        <v>16</v>
      </c>
      <c r="F974" s="17">
        <v>45716</v>
      </c>
      <c r="G974" s="13">
        <v>84373.01</v>
      </c>
      <c r="H974" s="4">
        <v>84373.01</v>
      </c>
      <c r="I974" s="4">
        <v>84373.01</v>
      </c>
      <c r="J974" s="3">
        <v>16</v>
      </c>
      <c r="K974" s="3">
        <v>16</v>
      </c>
      <c r="L974" s="54">
        <v>16</v>
      </c>
    </row>
    <row r="975" spans="2:12" x14ac:dyDescent="0.25">
      <c r="B975" s="17">
        <v>45717</v>
      </c>
      <c r="C975" s="13">
        <v>86031.91</v>
      </c>
      <c r="D975" s="54">
        <v>20</v>
      </c>
      <c r="F975" s="17">
        <v>45717</v>
      </c>
      <c r="G975" s="13">
        <v>86031.91</v>
      </c>
      <c r="H975" s="4">
        <v>86031.91</v>
      </c>
      <c r="I975" s="4">
        <v>86031.91</v>
      </c>
      <c r="J975" s="3">
        <v>20</v>
      </c>
      <c r="K975" s="3">
        <v>20</v>
      </c>
      <c r="L975" s="54">
        <v>20</v>
      </c>
    </row>
    <row r="976" spans="2:12" x14ac:dyDescent="0.25">
      <c r="B976" s="17">
        <v>45718</v>
      </c>
      <c r="C976" s="13">
        <v>94248.35</v>
      </c>
      <c r="D976" s="54">
        <v>26</v>
      </c>
      <c r="F976" s="17">
        <v>45718</v>
      </c>
      <c r="G976" s="13">
        <v>94248.35</v>
      </c>
      <c r="H976" s="4">
        <v>94248.35</v>
      </c>
      <c r="I976" s="4">
        <v>94248.35</v>
      </c>
      <c r="J976" s="3">
        <v>26</v>
      </c>
      <c r="K976" s="3">
        <v>26</v>
      </c>
      <c r="L976" s="54">
        <v>26</v>
      </c>
    </row>
    <row r="977" spans="2:12" x14ac:dyDescent="0.25">
      <c r="B977" s="17">
        <v>45719</v>
      </c>
      <c r="C977" s="13">
        <v>86065.67</v>
      </c>
      <c r="D977" s="54">
        <v>33</v>
      </c>
      <c r="F977" s="17">
        <v>45719</v>
      </c>
      <c r="G977" s="13">
        <v>86065.67</v>
      </c>
      <c r="H977" s="4">
        <v>86065.67</v>
      </c>
      <c r="I977" s="4">
        <v>86065.67</v>
      </c>
      <c r="J977" s="3">
        <v>33</v>
      </c>
      <c r="K977" s="3">
        <v>33</v>
      </c>
      <c r="L977" s="54">
        <v>33</v>
      </c>
    </row>
    <row r="978" spans="2:12" x14ac:dyDescent="0.25">
      <c r="B978" s="17">
        <v>45720</v>
      </c>
      <c r="C978" s="13">
        <v>87222.2</v>
      </c>
      <c r="D978" s="54">
        <v>15</v>
      </c>
      <c r="F978" s="17">
        <v>45720</v>
      </c>
      <c r="G978" s="13">
        <v>87222.2</v>
      </c>
      <c r="H978" s="4">
        <v>87222.2</v>
      </c>
      <c r="I978" s="4">
        <v>87222.2</v>
      </c>
      <c r="J978" s="3">
        <v>15</v>
      </c>
      <c r="K978" s="3">
        <v>15</v>
      </c>
      <c r="L978" s="54">
        <v>15</v>
      </c>
    </row>
    <row r="979" spans="2:12" x14ac:dyDescent="0.25">
      <c r="B979" s="17">
        <v>45721</v>
      </c>
      <c r="C979" s="13">
        <v>90623.56</v>
      </c>
      <c r="D979" s="54">
        <v>20</v>
      </c>
      <c r="F979" s="17">
        <v>45721</v>
      </c>
      <c r="G979" s="13">
        <v>90623.56</v>
      </c>
      <c r="H979" s="4">
        <v>90623.56</v>
      </c>
      <c r="I979" s="4">
        <v>90623.56</v>
      </c>
      <c r="J979" s="3">
        <v>20</v>
      </c>
      <c r="K979" s="3">
        <v>20</v>
      </c>
      <c r="L979" s="54">
        <v>20</v>
      </c>
    </row>
    <row r="980" spans="2:12" x14ac:dyDescent="0.25">
      <c r="B980" s="17">
        <v>45722</v>
      </c>
      <c r="C980" s="13">
        <v>89961.73</v>
      </c>
      <c r="D980" s="54">
        <v>25</v>
      </c>
      <c r="F980" s="17">
        <v>45722</v>
      </c>
      <c r="G980" s="13">
        <v>89961.73</v>
      </c>
      <c r="H980" s="4">
        <v>89961.73</v>
      </c>
      <c r="I980" s="4">
        <v>89961.73</v>
      </c>
      <c r="J980" s="3">
        <v>25</v>
      </c>
      <c r="K980" s="3">
        <v>25</v>
      </c>
      <c r="L980" s="54">
        <v>25</v>
      </c>
    </row>
    <row r="981" spans="2:12" x14ac:dyDescent="0.25">
      <c r="B981" s="17">
        <v>45723</v>
      </c>
      <c r="C981" s="13">
        <v>86742.67</v>
      </c>
      <c r="D981" s="54">
        <v>34</v>
      </c>
      <c r="F981" s="17">
        <v>45723</v>
      </c>
      <c r="G981" s="13">
        <v>86742.67</v>
      </c>
      <c r="H981" s="4">
        <v>86742.67</v>
      </c>
      <c r="I981" s="4">
        <v>86742.67</v>
      </c>
      <c r="J981" s="3">
        <v>34</v>
      </c>
      <c r="K981" s="3">
        <v>34</v>
      </c>
      <c r="L981" s="54">
        <v>34</v>
      </c>
    </row>
    <row r="982" spans="2:12" x14ac:dyDescent="0.25">
      <c r="B982" s="17">
        <v>45724</v>
      </c>
      <c r="C982" s="13">
        <v>86154.59</v>
      </c>
      <c r="D982" s="54">
        <v>28</v>
      </c>
      <c r="F982" s="17">
        <v>45724</v>
      </c>
      <c r="G982" s="13">
        <v>86154.59</v>
      </c>
      <c r="H982" s="4">
        <v>86154.59</v>
      </c>
      <c r="I982" s="4">
        <v>86154.59</v>
      </c>
      <c r="J982" s="3">
        <v>28</v>
      </c>
      <c r="K982" s="3">
        <v>28</v>
      </c>
      <c r="L982" s="54">
        <v>28</v>
      </c>
    </row>
    <row r="983" spans="2:12" x14ac:dyDescent="0.25">
      <c r="B983" s="17">
        <v>45725</v>
      </c>
      <c r="C983" s="13">
        <v>80601.039999999994</v>
      </c>
      <c r="D983" s="54">
        <v>27</v>
      </c>
      <c r="F983" s="17">
        <v>45725</v>
      </c>
      <c r="G983" s="13">
        <v>80601.039999999994</v>
      </c>
      <c r="H983" s="4">
        <v>80601.039999999994</v>
      </c>
      <c r="I983" s="4">
        <v>80601.039999999994</v>
      </c>
      <c r="J983" s="3">
        <v>27</v>
      </c>
      <c r="K983" s="3">
        <v>27</v>
      </c>
      <c r="L983" s="54">
        <v>27</v>
      </c>
    </row>
    <row r="984" spans="2:12" x14ac:dyDescent="0.25">
      <c r="B984" s="17">
        <v>45726</v>
      </c>
      <c r="C984" s="13">
        <v>78532</v>
      </c>
      <c r="D984" s="54">
        <v>20</v>
      </c>
      <c r="F984" s="17">
        <v>45726</v>
      </c>
      <c r="G984" s="13">
        <v>78532</v>
      </c>
      <c r="H984" s="4">
        <v>78532</v>
      </c>
      <c r="I984" s="4">
        <v>78532</v>
      </c>
      <c r="J984" s="3">
        <v>20</v>
      </c>
      <c r="K984" s="3">
        <v>20</v>
      </c>
      <c r="L984" s="54">
        <v>20</v>
      </c>
    </row>
    <row r="985" spans="2:12" x14ac:dyDescent="0.25">
      <c r="B985" s="17">
        <v>45727</v>
      </c>
      <c r="C985" s="13">
        <v>82862.210000000006</v>
      </c>
      <c r="D985" s="54">
        <v>24</v>
      </c>
      <c r="F985" s="17">
        <v>45727</v>
      </c>
      <c r="G985" s="13">
        <v>82862.210000000006</v>
      </c>
      <c r="H985" s="4">
        <v>82862.210000000006</v>
      </c>
      <c r="I985" s="4">
        <v>82862.210000000006</v>
      </c>
      <c r="J985" s="3">
        <v>24</v>
      </c>
      <c r="K985" s="3">
        <v>24</v>
      </c>
      <c r="L985" s="54">
        <v>24</v>
      </c>
    </row>
    <row r="986" spans="2:12" x14ac:dyDescent="0.25">
      <c r="B986" s="17">
        <v>45728</v>
      </c>
      <c r="C986" s="13">
        <v>83722.36</v>
      </c>
      <c r="D986" s="54">
        <v>34</v>
      </c>
      <c r="F986" s="17">
        <v>45728</v>
      </c>
      <c r="G986" s="13">
        <v>83722.36</v>
      </c>
      <c r="H986" s="4">
        <v>83722.36</v>
      </c>
      <c r="I986" s="4">
        <v>83722.36</v>
      </c>
      <c r="J986" s="3">
        <v>34</v>
      </c>
      <c r="K986" s="3">
        <v>34</v>
      </c>
      <c r="L986" s="54">
        <v>34</v>
      </c>
    </row>
    <row r="987" spans="2:12" x14ac:dyDescent="0.25">
      <c r="B987" s="17">
        <v>45729</v>
      </c>
      <c r="C987" s="13">
        <v>81066.7</v>
      </c>
      <c r="D987" s="54">
        <v>45</v>
      </c>
      <c r="F987" s="17">
        <v>45729</v>
      </c>
      <c r="G987" s="13">
        <v>81066.7</v>
      </c>
      <c r="H987" s="4">
        <v>81066.7</v>
      </c>
      <c r="I987" s="4">
        <v>81066.7</v>
      </c>
      <c r="J987" s="3">
        <v>45</v>
      </c>
      <c r="K987" s="3">
        <v>45</v>
      </c>
      <c r="L987" s="54">
        <v>45</v>
      </c>
    </row>
    <row r="988" spans="2:12" x14ac:dyDescent="0.25">
      <c r="B988" s="17">
        <v>45730</v>
      </c>
      <c r="C988" s="13">
        <v>83969.1</v>
      </c>
      <c r="D988" s="54">
        <v>27</v>
      </c>
      <c r="F988" s="17">
        <v>45730</v>
      </c>
      <c r="G988" s="13">
        <v>83969.1</v>
      </c>
      <c r="H988" s="4">
        <v>83969.1</v>
      </c>
      <c r="I988" s="4">
        <v>83969.1</v>
      </c>
      <c r="J988" s="3">
        <v>27</v>
      </c>
      <c r="K988" s="3">
        <v>27</v>
      </c>
      <c r="L988" s="54">
        <v>27</v>
      </c>
    </row>
    <row r="989" spans="2:12" x14ac:dyDescent="0.25">
      <c r="B989" s="17">
        <v>45731</v>
      </c>
      <c r="C989" s="13">
        <v>84343.11</v>
      </c>
      <c r="D989" s="54">
        <v>46</v>
      </c>
      <c r="F989" s="17">
        <v>45731</v>
      </c>
      <c r="G989" s="13">
        <v>84343.11</v>
      </c>
      <c r="H989" s="4">
        <v>84343.11</v>
      </c>
      <c r="I989" s="4">
        <v>84343.11</v>
      </c>
      <c r="J989" s="3">
        <v>46</v>
      </c>
      <c r="K989" s="3">
        <v>46</v>
      </c>
      <c r="L989" s="54">
        <v>46</v>
      </c>
    </row>
    <row r="990" spans="2:12" x14ac:dyDescent="0.25">
      <c r="B990" s="17">
        <v>45732</v>
      </c>
      <c r="C990" s="13">
        <v>82579.69</v>
      </c>
      <c r="D990" s="54">
        <v>30</v>
      </c>
      <c r="F990" s="17">
        <v>45732</v>
      </c>
      <c r="G990" s="13">
        <v>82579.69</v>
      </c>
      <c r="H990" s="4">
        <v>82579.69</v>
      </c>
      <c r="I990" s="4">
        <v>82579.69</v>
      </c>
      <c r="J990" s="3">
        <v>30</v>
      </c>
      <c r="K990" s="3">
        <v>30</v>
      </c>
      <c r="L990" s="54">
        <v>30</v>
      </c>
    </row>
    <row r="991" spans="2:12" x14ac:dyDescent="0.25">
      <c r="B991" s="17">
        <v>45733</v>
      </c>
      <c r="C991" s="13">
        <v>84075.69</v>
      </c>
      <c r="D991" s="54">
        <v>32</v>
      </c>
      <c r="F991" s="17">
        <v>45733</v>
      </c>
      <c r="G991" s="13">
        <v>84075.69</v>
      </c>
      <c r="H991" s="4">
        <v>84075.69</v>
      </c>
      <c r="I991" s="4">
        <v>84075.69</v>
      </c>
      <c r="J991" s="3">
        <v>32</v>
      </c>
      <c r="K991" s="3">
        <v>32</v>
      </c>
      <c r="L991" s="54">
        <v>32</v>
      </c>
    </row>
    <row r="992" spans="2:12" x14ac:dyDescent="0.25">
      <c r="B992" s="17">
        <v>45734</v>
      </c>
      <c r="C992" s="13">
        <v>82718.5</v>
      </c>
      <c r="D992" s="54">
        <v>34</v>
      </c>
      <c r="F992" s="17">
        <v>45734</v>
      </c>
      <c r="G992" s="13">
        <v>82718.5</v>
      </c>
      <c r="H992" s="4">
        <v>82718.5</v>
      </c>
      <c r="I992" s="4">
        <v>82718.5</v>
      </c>
      <c r="J992" s="3">
        <v>34</v>
      </c>
      <c r="K992" s="3">
        <v>34</v>
      </c>
      <c r="L992" s="54">
        <v>34</v>
      </c>
    </row>
    <row r="993" spans="2:12" x14ac:dyDescent="0.25">
      <c r="B993" s="17">
        <v>45735</v>
      </c>
      <c r="C993" s="13">
        <v>86854.23</v>
      </c>
      <c r="D993" s="54">
        <v>32</v>
      </c>
      <c r="F993" s="17">
        <v>45735</v>
      </c>
      <c r="G993" s="13">
        <v>86854.23</v>
      </c>
      <c r="H993" s="4">
        <v>86854.23</v>
      </c>
      <c r="I993" s="4">
        <v>86854.23</v>
      </c>
      <c r="J993" s="3">
        <v>32</v>
      </c>
      <c r="K993" s="3">
        <v>32</v>
      </c>
      <c r="L993" s="54">
        <v>32</v>
      </c>
    </row>
    <row r="994" spans="2:12" x14ac:dyDescent="0.25">
      <c r="B994" s="17">
        <v>45736</v>
      </c>
      <c r="C994" s="13">
        <v>84167.2</v>
      </c>
      <c r="D994" s="54">
        <v>49</v>
      </c>
      <c r="F994" s="17">
        <v>45736</v>
      </c>
      <c r="G994" s="13">
        <v>84167.2</v>
      </c>
      <c r="H994" s="4">
        <v>84167.2</v>
      </c>
      <c r="I994" s="4">
        <v>84167.2</v>
      </c>
      <c r="J994" s="3">
        <v>49</v>
      </c>
      <c r="K994" s="3">
        <v>49</v>
      </c>
      <c r="L994" s="54">
        <v>49</v>
      </c>
    </row>
    <row r="995" spans="2:12" x14ac:dyDescent="0.25">
      <c r="B995" s="17">
        <v>45737</v>
      </c>
      <c r="C995" s="13">
        <v>84043.24</v>
      </c>
      <c r="D995" s="54">
        <v>31</v>
      </c>
      <c r="F995" s="17">
        <v>45737</v>
      </c>
      <c r="G995" s="13">
        <v>84043.24</v>
      </c>
      <c r="H995" s="4">
        <v>84043.24</v>
      </c>
      <c r="I995" s="4">
        <v>84043.24</v>
      </c>
      <c r="J995" s="3">
        <v>31</v>
      </c>
      <c r="K995" s="3">
        <v>31</v>
      </c>
      <c r="L995" s="54">
        <v>31</v>
      </c>
    </row>
    <row r="996" spans="2:12" x14ac:dyDescent="0.25">
      <c r="B996" s="17">
        <v>45738</v>
      </c>
      <c r="C996" s="13">
        <v>83832.479999999996</v>
      </c>
      <c r="D996" s="54">
        <v>32</v>
      </c>
      <c r="F996" s="17">
        <v>45738</v>
      </c>
      <c r="G996" s="13">
        <v>83832.479999999996</v>
      </c>
      <c r="H996" s="4">
        <v>83832.479999999996</v>
      </c>
      <c r="I996" s="4">
        <v>83832.479999999996</v>
      </c>
      <c r="J996" s="3">
        <v>32</v>
      </c>
      <c r="K996" s="3">
        <v>32</v>
      </c>
      <c r="L996" s="54">
        <v>32</v>
      </c>
    </row>
    <row r="997" spans="2:12" x14ac:dyDescent="0.25">
      <c r="B997" s="17">
        <v>45739</v>
      </c>
      <c r="C997" s="13">
        <v>86054.38</v>
      </c>
      <c r="D997" s="54">
        <v>30</v>
      </c>
      <c r="F997" s="17">
        <v>45739</v>
      </c>
      <c r="G997" s="13">
        <v>86054.38</v>
      </c>
      <c r="H997" s="4">
        <v>86054.38</v>
      </c>
      <c r="I997" s="4">
        <v>86054.38</v>
      </c>
      <c r="J997" s="3">
        <v>30</v>
      </c>
      <c r="K997" s="3">
        <v>30</v>
      </c>
      <c r="L997" s="54">
        <v>30</v>
      </c>
    </row>
    <row r="998" spans="2:12" x14ac:dyDescent="0.25">
      <c r="B998" s="17">
        <v>45740</v>
      </c>
      <c r="C998" s="13">
        <v>87498.91</v>
      </c>
      <c r="D998" s="54">
        <v>45</v>
      </c>
      <c r="F998" s="17">
        <v>45740</v>
      </c>
      <c r="G998" s="13">
        <v>87498.91</v>
      </c>
      <c r="H998" s="4">
        <v>87498.91</v>
      </c>
      <c r="I998" s="4">
        <v>87498.91</v>
      </c>
      <c r="J998" s="3">
        <v>45</v>
      </c>
      <c r="K998" s="3">
        <v>45</v>
      </c>
      <c r="L998" s="54">
        <v>45</v>
      </c>
    </row>
    <row r="999" spans="2:12" x14ac:dyDescent="0.25">
      <c r="B999" s="17">
        <v>45741</v>
      </c>
      <c r="C999" s="13">
        <v>87471.7</v>
      </c>
      <c r="D999" s="54">
        <v>46</v>
      </c>
      <c r="F999" s="17">
        <v>45741</v>
      </c>
      <c r="G999" s="13">
        <v>87471.7</v>
      </c>
      <c r="H999" s="4">
        <v>87471.7</v>
      </c>
      <c r="I999" s="4">
        <v>87471.7</v>
      </c>
      <c r="J999" s="3">
        <v>46</v>
      </c>
      <c r="K999" s="3">
        <v>46</v>
      </c>
      <c r="L999" s="54">
        <v>46</v>
      </c>
    </row>
    <row r="1000" spans="2:12" x14ac:dyDescent="0.25">
      <c r="B1000" s="17">
        <v>45742</v>
      </c>
      <c r="C1000" s="13">
        <v>86900.88</v>
      </c>
      <c r="D1000" s="54">
        <v>47</v>
      </c>
      <c r="F1000" s="17">
        <v>45742</v>
      </c>
      <c r="G1000" s="13">
        <v>86900.88</v>
      </c>
      <c r="H1000" s="4">
        <v>86900.88</v>
      </c>
      <c r="I1000" s="4">
        <v>86900.88</v>
      </c>
      <c r="J1000" s="3">
        <v>47</v>
      </c>
      <c r="K1000" s="3">
        <v>47</v>
      </c>
      <c r="L1000" s="54">
        <v>47</v>
      </c>
    </row>
    <row r="1001" spans="2:12" x14ac:dyDescent="0.25">
      <c r="B1001" s="17">
        <v>45743</v>
      </c>
      <c r="C1001" s="13">
        <v>87177.1</v>
      </c>
      <c r="D1001" s="54">
        <v>40</v>
      </c>
      <c r="F1001" s="17">
        <v>45743</v>
      </c>
      <c r="G1001" s="13">
        <v>87177.1</v>
      </c>
      <c r="H1001" s="4">
        <v>87177.1</v>
      </c>
      <c r="I1001" s="4">
        <v>87177.1</v>
      </c>
      <c r="J1001" s="3">
        <v>40</v>
      </c>
      <c r="K1001" s="3">
        <v>40</v>
      </c>
      <c r="L1001" s="54">
        <v>40</v>
      </c>
    </row>
    <row r="1002" spans="2:12" x14ac:dyDescent="0.25">
      <c r="B1002" s="17">
        <v>45744</v>
      </c>
      <c r="C1002" s="13">
        <v>84353.15</v>
      </c>
      <c r="D1002" s="54">
        <v>44</v>
      </c>
      <c r="F1002" s="17">
        <v>45744</v>
      </c>
      <c r="G1002" s="13">
        <v>84353.15</v>
      </c>
      <c r="H1002" s="4">
        <v>84353.15</v>
      </c>
      <c r="I1002" s="4">
        <v>84353.15</v>
      </c>
      <c r="J1002" s="3">
        <v>44</v>
      </c>
      <c r="K1002" s="3">
        <v>44</v>
      </c>
      <c r="L1002" s="54">
        <v>44</v>
      </c>
    </row>
    <row r="1003" spans="2:12" ht="15.75" thickBot="1" x14ac:dyDescent="0.3">
      <c r="B1003" s="18">
        <v>45745</v>
      </c>
      <c r="C1003" s="13">
        <v>82597.59</v>
      </c>
      <c r="D1003" s="54">
        <v>26</v>
      </c>
      <c r="F1003" s="18">
        <v>45745</v>
      </c>
      <c r="G1003" s="13">
        <v>82597.59</v>
      </c>
      <c r="H1003" s="4">
        <v>82597.59</v>
      </c>
      <c r="I1003" s="4">
        <v>82597.59</v>
      </c>
      <c r="J1003" s="3">
        <v>26</v>
      </c>
      <c r="K1003" s="3">
        <v>26</v>
      </c>
      <c r="L1003" s="54">
        <v>26</v>
      </c>
    </row>
    <row r="1004" spans="2:12" ht="15.75" thickBot="1" x14ac:dyDescent="0.3">
      <c r="B1004" s="19">
        <v>45746</v>
      </c>
      <c r="C1004" s="13">
        <v>81817.41</v>
      </c>
      <c r="D1004" s="54">
        <v>32</v>
      </c>
      <c r="F1004" s="19">
        <v>45746</v>
      </c>
      <c r="G1004" s="13">
        <v>81817.41</v>
      </c>
      <c r="H1004" s="4">
        <v>81817.41</v>
      </c>
      <c r="I1004" s="4">
        <v>81817.41</v>
      </c>
      <c r="J1004" s="3">
        <v>32</v>
      </c>
      <c r="K1004" s="3">
        <v>32</v>
      </c>
      <c r="L1004" s="54">
        <v>32</v>
      </c>
    </row>
    <row r="1005" spans="2:12" ht="15.75" thickBot="1" x14ac:dyDescent="0.3">
      <c r="B1005" s="19" t="s">
        <v>61</v>
      </c>
      <c r="C1005" s="14">
        <v>46512.294425574415</v>
      </c>
      <c r="D1005" s="56">
        <v>52.378621378621382</v>
      </c>
      <c r="F1005" s="19" t="s">
        <v>61</v>
      </c>
      <c r="G1005" s="14">
        <v>15787.28</v>
      </c>
      <c r="H1005" s="9">
        <v>46512.294425574415</v>
      </c>
      <c r="I1005" s="9">
        <v>106146.27</v>
      </c>
      <c r="J1005" s="55">
        <v>10</v>
      </c>
      <c r="K1005" s="55">
        <v>52.378621378621382</v>
      </c>
      <c r="L1005" s="56">
        <v>94</v>
      </c>
    </row>
  </sheetData>
  <mergeCells count="2">
    <mergeCell ref="B2:D2"/>
    <mergeCell ref="F2:L2"/>
  </mergeCells>
  <conditionalFormatting pivot="1" sqref="C4:C1004">
    <cfRule type="colorScale" priority="2">
      <colorScale>
        <cfvo type="min"/>
        <cfvo type="percentile" val="50"/>
        <cfvo type="max"/>
        <color rgb="FF63BE7B"/>
        <color rgb="FFFFEB84"/>
        <color rgb="FFF8696B"/>
      </colorScale>
    </cfRule>
  </conditionalFormatting>
  <conditionalFormatting pivot="1" sqref="D4:D1004">
    <cfRule type="colorScale" priority="1">
      <colorScale>
        <cfvo type="min"/>
        <cfvo type="percentile" val="50"/>
        <cfvo type="max"/>
        <color rgb="FF63BE7B"/>
        <color rgb="FFFFEB84"/>
        <color rgb="FFF8696B"/>
      </colorScale>
    </cfRule>
  </conditionalFormatting>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52A7D-9FB3-4B3C-B4AC-AF45D6D128EC}">
  <sheetPr>
    <tabColor theme="3" tint="9.9978637043366805E-2"/>
  </sheetPr>
  <dimension ref="B1:O1005"/>
  <sheetViews>
    <sheetView workbookViewId="0"/>
  </sheetViews>
  <sheetFormatPr baseColWidth="10" defaultRowHeight="15" x14ac:dyDescent="0.25"/>
  <cols>
    <col min="1" max="1" width="3.28515625" style="3" customWidth="1"/>
    <col min="2" max="2" width="12.5703125" style="3" bestFit="1" customWidth="1"/>
    <col min="3" max="3" width="22.42578125" style="3" bestFit="1" customWidth="1"/>
    <col min="4" max="4" width="24.140625" style="3" bestFit="1" customWidth="1"/>
    <col min="5" max="5" width="3.28515625" style="3" customWidth="1"/>
    <col min="6" max="6" width="12.5703125" style="3" bestFit="1" customWidth="1"/>
    <col min="7" max="7" width="17.42578125" style="3" bestFit="1" customWidth="1"/>
    <col min="8" max="8" width="22.42578125" style="3" bestFit="1" customWidth="1"/>
    <col min="9" max="9" width="17.7109375" style="3" bestFit="1" customWidth="1"/>
    <col min="10" max="10" width="19.140625" style="3" bestFit="1" customWidth="1"/>
    <col min="11" max="11" width="24.140625" style="3" bestFit="1" customWidth="1"/>
    <col min="12" max="12" width="19.42578125" style="3" bestFit="1" customWidth="1"/>
    <col min="13" max="13" width="13" style="3" bestFit="1" customWidth="1"/>
    <col min="14" max="14" width="18" style="3" bestFit="1" customWidth="1"/>
    <col min="15" max="15" width="13.28515625" style="3" bestFit="1" customWidth="1"/>
    <col min="16" max="16384" width="11.42578125" style="3"/>
  </cols>
  <sheetData>
    <row r="1" spans="2:15" ht="15.75" thickBot="1" x14ac:dyDescent="0.3"/>
    <row r="2" spans="2:15" ht="15.75" thickBot="1" x14ac:dyDescent="0.3">
      <c r="B2" s="135" t="s">
        <v>73</v>
      </c>
      <c r="C2" s="136"/>
      <c r="D2" s="137"/>
      <c r="F2" s="135" t="s">
        <v>74</v>
      </c>
      <c r="G2" s="136"/>
      <c r="H2" s="136"/>
      <c r="I2" s="136"/>
      <c r="J2" s="136"/>
      <c r="K2" s="136"/>
      <c r="L2" s="136"/>
      <c r="M2" s="136"/>
      <c r="N2" s="136"/>
      <c r="O2" s="137"/>
    </row>
    <row r="3" spans="2:15" ht="15.75" thickBot="1" x14ac:dyDescent="0.3">
      <c r="B3" s="15" t="s">
        <v>66</v>
      </c>
      <c r="C3" s="20" t="s">
        <v>62</v>
      </c>
      <c r="D3" s="21" t="s">
        <v>64</v>
      </c>
      <c r="F3" s="15" t="s">
        <v>66</v>
      </c>
      <c r="G3" s="15" t="s">
        <v>67</v>
      </c>
      <c r="H3" s="5" t="s">
        <v>62</v>
      </c>
      <c r="I3" s="5" t="s">
        <v>69</v>
      </c>
      <c r="J3" s="15" t="s">
        <v>68</v>
      </c>
      <c r="K3" s="5" t="s">
        <v>64</v>
      </c>
      <c r="L3" s="5" t="s">
        <v>70</v>
      </c>
      <c r="M3" s="5" t="s">
        <v>71</v>
      </c>
      <c r="N3" s="5" t="s">
        <v>63</v>
      </c>
      <c r="O3" s="6" t="s">
        <v>72</v>
      </c>
    </row>
    <row r="4" spans="2:15" x14ac:dyDescent="0.25">
      <c r="B4" s="7">
        <v>44746</v>
      </c>
      <c r="C4" s="11">
        <v>20231.259999999998</v>
      </c>
      <c r="D4" s="12">
        <v>1761.80004882812</v>
      </c>
      <c r="F4" s="7">
        <v>44746</v>
      </c>
      <c r="G4" s="11">
        <v>20231.259999999998</v>
      </c>
      <c r="H4" s="22">
        <v>20231.259999999998</v>
      </c>
      <c r="I4" s="22">
        <v>20231.259999999998</v>
      </c>
      <c r="J4" s="22">
        <v>1761.80004882812</v>
      </c>
      <c r="K4" s="22">
        <v>1761.80004882812</v>
      </c>
      <c r="L4" s="22">
        <v>1761.80004882812</v>
      </c>
      <c r="M4" s="5">
        <v>14</v>
      </c>
      <c r="N4" s="5">
        <v>14</v>
      </c>
      <c r="O4" s="6">
        <v>14</v>
      </c>
    </row>
    <row r="5" spans="2:15" x14ac:dyDescent="0.25">
      <c r="B5" s="7">
        <v>44747</v>
      </c>
      <c r="C5" s="13">
        <v>20190.12</v>
      </c>
      <c r="D5" s="8">
        <v>1761.80004882812</v>
      </c>
      <c r="F5" s="7">
        <v>44747</v>
      </c>
      <c r="G5" s="13">
        <v>20190.12</v>
      </c>
      <c r="H5" s="4">
        <v>20190.12</v>
      </c>
      <c r="I5" s="4">
        <v>20190.12</v>
      </c>
      <c r="J5" s="4">
        <v>1761.80004882812</v>
      </c>
      <c r="K5" s="4">
        <v>1761.80004882812</v>
      </c>
      <c r="L5" s="4">
        <v>1761.80004882812</v>
      </c>
      <c r="M5" s="3">
        <v>19</v>
      </c>
      <c r="N5" s="3">
        <v>19</v>
      </c>
      <c r="O5" s="54">
        <v>19</v>
      </c>
    </row>
    <row r="6" spans="2:15" x14ac:dyDescent="0.25">
      <c r="B6" s="7">
        <v>44748</v>
      </c>
      <c r="C6" s="13">
        <v>20548.25</v>
      </c>
      <c r="D6" s="8">
        <v>1761.80004882812</v>
      </c>
      <c r="F6" s="7">
        <v>44748</v>
      </c>
      <c r="G6" s="13">
        <v>20548.25</v>
      </c>
      <c r="H6" s="4">
        <v>20548.25</v>
      </c>
      <c r="I6" s="4">
        <v>20548.25</v>
      </c>
      <c r="J6" s="4">
        <v>1761.80004882812</v>
      </c>
      <c r="K6" s="4">
        <v>1761.80004882812</v>
      </c>
      <c r="L6" s="4">
        <v>1761.80004882812</v>
      </c>
      <c r="M6" s="3">
        <v>18</v>
      </c>
      <c r="N6" s="3">
        <v>18</v>
      </c>
      <c r="O6" s="54">
        <v>18</v>
      </c>
    </row>
    <row r="7" spans="2:15" x14ac:dyDescent="0.25">
      <c r="B7" s="7">
        <v>44749</v>
      </c>
      <c r="C7" s="13">
        <v>21637.59</v>
      </c>
      <c r="D7" s="8">
        <v>1734.90002441406</v>
      </c>
      <c r="F7" s="7">
        <v>44749</v>
      </c>
      <c r="G7" s="13">
        <v>21637.59</v>
      </c>
      <c r="H7" s="4">
        <v>21637.59</v>
      </c>
      <c r="I7" s="4">
        <v>21637.59</v>
      </c>
      <c r="J7" s="4">
        <v>1734.90002441406</v>
      </c>
      <c r="K7" s="4">
        <v>1734.90002441406</v>
      </c>
      <c r="L7" s="4">
        <v>1734.90002441406</v>
      </c>
      <c r="M7" s="3">
        <v>18</v>
      </c>
      <c r="N7" s="3">
        <v>18</v>
      </c>
      <c r="O7" s="54">
        <v>18</v>
      </c>
    </row>
    <row r="8" spans="2:15" x14ac:dyDescent="0.25">
      <c r="B8" s="7">
        <v>44750</v>
      </c>
      <c r="C8" s="13">
        <v>21731.119999999999</v>
      </c>
      <c r="D8" s="8">
        <v>1737.90002441406</v>
      </c>
      <c r="F8" s="7">
        <v>44750</v>
      </c>
      <c r="G8" s="13">
        <v>21731.119999999999</v>
      </c>
      <c r="H8" s="4">
        <v>21731.119999999999</v>
      </c>
      <c r="I8" s="4">
        <v>21731.119999999999</v>
      </c>
      <c r="J8" s="4">
        <v>1737.90002441406</v>
      </c>
      <c r="K8" s="4">
        <v>1737.90002441406</v>
      </c>
      <c r="L8" s="4">
        <v>1737.90002441406</v>
      </c>
      <c r="M8" s="3">
        <v>20</v>
      </c>
      <c r="N8" s="3">
        <v>20</v>
      </c>
      <c r="O8" s="54">
        <v>20</v>
      </c>
    </row>
    <row r="9" spans="2:15" x14ac:dyDescent="0.25">
      <c r="B9" s="7">
        <v>44751</v>
      </c>
      <c r="C9" s="13">
        <v>21592.21</v>
      </c>
      <c r="D9" s="8">
        <v>1740.59997558593</v>
      </c>
      <c r="F9" s="7">
        <v>44751</v>
      </c>
      <c r="G9" s="13">
        <v>21592.21</v>
      </c>
      <c r="H9" s="4">
        <v>21592.21</v>
      </c>
      <c r="I9" s="4">
        <v>21592.21</v>
      </c>
      <c r="J9" s="4">
        <v>1740.59997558593</v>
      </c>
      <c r="K9" s="4">
        <v>1740.59997558593</v>
      </c>
      <c r="L9" s="4">
        <v>1740.59997558593</v>
      </c>
      <c r="M9" s="3">
        <v>24</v>
      </c>
      <c r="N9" s="3">
        <v>24</v>
      </c>
      <c r="O9" s="54">
        <v>24</v>
      </c>
    </row>
    <row r="10" spans="2:15" x14ac:dyDescent="0.25">
      <c r="B10" s="7">
        <v>44752</v>
      </c>
      <c r="C10" s="13">
        <v>20860.45</v>
      </c>
      <c r="D10" s="8">
        <v>1737.90002441406</v>
      </c>
      <c r="F10" s="7">
        <v>44752</v>
      </c>
      <c r="G10" s="13">
        <v>20860.45</v>
      </c>
      <c r="H10" s="4">
        <v>20860.45</v>
      </c>
      <c r="I10" s="4">
        <v>20860.45</v>
      </c>
      <c r="J10" s="4">
        <v>1737.90002441406</v>
      </c>
      <c r="K10" s="4">
        <v>1737.90002441406</v>
      </c>
      <c r="L10" s="4">
        <v>1737.90002441406</v>
      </c>
      <c r="M10" s="3">
        <v>24</v>
      </c>
      <c r="N10" s="3">
        <v>24</v>
      </c>
      <c r="O10" s="54">
        <v>24</v>
      </c>
    </row>
    <row r="11" spans="2:15" x14ac:dyDescent="0.25">
      <c r="B11" s="7">
        <v>44753</v>
      </c>
      <c r="C11" s="13">
        <v>19970.560000000001</v>
      </c>
      <c r="D11" s="8">
        <v>1740.59997558593</v>
      </c>
      <c r="F11" s="7">
        <v>44753</v>
      </c>
      <c r="G11" s="13">
        <v>19970.560000000001</v>
      </c>
      <c r="H11" s="4">
        <v>19970.560000000001</v>
      </c>
      <c r="I11" s="4">
        <v>19970.560000000001</v>
      </c>
      <c r="J11" s="4">
        <v>1740.59997558593</v>
      </c>
      <c r="K11" s="4">
        <v>1740.59997558593</v>
      </c>
      <c r="L11" s="4">
        <v>1740.59997558593</v>
      </c>
      <c r="M11" s="3">
        <v>22</v>
      </c>
      <c r="N11" s="3">
        <v>22</v>
      </c>
      <c r="O11" s="54">
        <v>22</v>
      </c>
    </row>
    <row r="12" spans="2:15" x14ac:dyDescent="0.25">
      <c r="B12" s="7">
        <v>44754</v>
      </c>
      <c r="C12" s="13">
        <v>19323.91</v>
      </c>
      <c r="D12" s="8">
        <v>1730</v>
      </c>
      <c r="F12" s="7">
        <v>44754</v>
      </c>
      <c r="G12" s="13">
        <v>19323.91</v>
      </c>
      <c r="H12" s="4">
        <v>19323.91</v>
      </c>
      <c r="I12" s="4">
        <v>19323.91</v>
      </c>
      <c r="J12" s="4">
        <v>1730</v>
      </c>
      <c r="K12" s="4">
        <v>1730</v>
      </c>
      <c r="L12" s="4">
        <v>1730</v>
      </c>
      <c r="M12" s="3">
        <v>16</v>
      </c>
      <c r="N12" s="3">
        <v>16</v>
      </c>
      <c r="O12" s="54">
        <v>16</v>
      </c>
    </row>
    <row r="13" spans="2:15" x14ac:dyDescent="0.25">
      <c r="B13" s="7">
        <v>44755</v>
      </c>
      <c r="C13" s="13">
        <v>20212.07</v>
      </c>
      <c r="D13" s="8">
        <v>1723.30004882812</v>
      </c>
      <c r="F13" s="7">
        <v>44755</v>
      </c>
      <c r="G13" s="13">
        <v>20212.07</v>
      </c>
      <c r="H13" s="4">
        <v>20212.07</v>
      </c>
      <c r="I13" s="4">
        <v>20212.07</v>
      </c>
      <c r="J13" s="4">
        <v>1723.30004882812</v>
      </c>
      <c r="K13" s="4">
        <v>1723.30004882812</v>
      </c>
      <c r="L13" s="4">
        <v>1723.30004882812</v>
      </c>
      <c r="M13" s="3">
        <v>15</v>
      </c>
      <c r="N13" s="3">
        <v>15</v>
      </c>
      <c r="O13" s="54">
        <v>15</v>
      </c>
    </row>
    <row r="14" spans="2:15" x14ac:dyDescent="0.25">
      <c r="B14" s="7">
        <v>44756</v>
      </c>
      <c r="C14" s="13">
        <v>20569.919999999998</v>
      </c>
      <c r="D14" s="8">
        <v>1734.19995117187</v>
      </c>
      <c r="F14" s="7">
        <v>44756</v>
      </c>
      <c r="G14" s="13">
        <v>20569.919999999998</v>
      </c>
      <c r="H14" s="4">
        <v>20569.919999999998</v>
      </c>
      <c r="I14" s="4">
        <v>20569.919999999998</v>
      </c>
      <c r="J14" s="4">
        <v>1734.19995117187</v>
      </c>
      <c r="K14" s="4">
        <v>1734.19995117187</v>
      </c>
      <c r="L14" s="4">
        <v>1734.19995117187</v>
      </c>
      <c r="M14" s="3">
        <v>18</v>
      </c>
      <c r="N14" s="3">
        <v>18</v>
      </c>
      <c r="O14" s="54">
        <v>18</v>
      </c>
    </row>
    <row r="15" spans="2:15" x14ac:dyDescent="0.25">
      <c r="B15" s="7">
        <v>44757</v>
      </c>
      <c r="C15" s="13">
        <v>20836.330000000002</v>
      </c>
      <c r="D15" s="8">
        <v>1704.5</v>
      </c>
      <c r="F15" s="7">
        <v>44757</v>
      </c>
      <c r="G15" s="13">
        <v>20836.330000000002</v>
      </c>
      <c r="H15" s="4">
        <v>20836.330000000002</v>
      </c>
      <c r="I15" s="4">
        <v>20836.330000000002</v>
      </c>
      <c r="J15" s="4">
        <v>1704.5</v>
      </c>
      <c r="K15" s="4">
        <v>1704.5</v>
      </c>
      <c r="L15" s="4">
        <v>1704.5</v>
      </c>
      <c r="M15" s="3">
        <v>15</v>
      </c>
      <c r="N15" s="3">
        <v>15</v>
      </c>
      <c r="O15" s="54">
        <v>15</v>
      </c>
    </row>
    <row r="16" spans="2:15" x14ac:dyDescent="0.25">
      <c r="B16" s="7">
        <v>44758</v>
      </c>
      <c r="C16" s="13">
        <v>21190.32</v>
      </c>
      <c r="D16" s="8">
        <v>1702.40002441406</v>
      </c>
      <c r="F16" s="7">
        <v>44758</v>
      </c>
      <c r="G16" s="13">
        <v>21190.32</v>
      </c>
      <c r="H16" s="4">
        <v>21190.32</v>
      </c>
      <c r="I16" s="4">
        <v>21190.32</v>
      </c>
      <c r="J16" s="4">
        <v>1702.40002441406</v>
      </c>
      <c r="K16" s="4">
        <v>1702.40002441406</v>
      </c>
      <c r="L16" s="4">
        <v>1702.40002441406</v>
      </c>
      <c r="M16" s="3">
        <v>21</v>
      </c>
      <c r="N16" s="3">
        <v>21</v>
      </c>
      <c r="O16" s="54">
        <v>21</v>
      </c>
    </row>
    <row r="17" spans="2:15" x14ac:dyDescent="0.25">
      <c r="B17" s="7">
        <v>44759</v>
      </c>
      <c r="C17" s="13">
        <v>20779.34</v>
      </c>
      <c r="D17" s="8">
        <v>1704.5</v>
      </c>
      <c r="F17" s="7">
        <v>44759</v>
      </c>
      <c r="G17" s="13">
        <v>20779.34</v>
      </c>
      <c r="H17" s="4">
        <v>20779.34</v>
      </c>
      <c r="I17" s="4">
        <v>20779.34</v>
      </c>
      <c r="J17" s="4">
        <v>1704.5</v>
      </c>
      <c r="K17" s="4">
        <v>1704.5</v>
      </c>
      <c r="L17" s="4">
        <v>1704.5</v>
      </c>
      <c r="M17" s="3">
        <v>24</v>
      </c>
      <c r="N17" s="3">
        <v>24</v>
      </c>
      <c r="O17" s="54">
        <v>24</v>
      </c>
    </row>
    <row r="18" spans="2:15" x14ac:dyDescent="0.25">
      <c r="B18" s="7">
        <v>44760</v>
      </c>
      <c r="C18" s="13">
        <v>22485.69</v>
      </c>
      <c r="D18" s="8">
        <v>1702.40002441406</v>
      </c>
      <c r="F18" s="7">
        <v>44760</v>
      </c>
      <c r="G18" s="13">
        <v>22485.69</v>
      </c>
      <c r="H18" s="4">
        <v>22485.69</v>
      </c>
      <c r="I18" s="4">
        <v>22485.69</v>
      </c>
      <c r="J18" s="4">
        <v>1702.40002441406</v>
      </c>
      <c r="K18" s="4">
        <v>1702.40002441406</v>
      </c>
      <c r="L18" s="4">
        <v>1702.40002441406</v>
      </c>
      <c r="M18" s="3">
        <v>20</v>
      </c>
      <c r="N18" s="3">
        <v>20</v>
      </c>
      <c r="O18" s="54">
        <v>20</v>
      </c>
    </row>
    <row r="19" spans="2:15" x14ac:dyDescent="0.25">
      <c r="B19" s="7">
        <v>44761</v>
      </c>
      <c r="C19" s="13">
        <v>23389.43</v>
      </c>
      <c r="D19" s="8">
        <v>1709.19995117187</v>
      </c>
      <c r="F19" s="7">
        <v>44761</v>
      </c>
      <c r="G19" s="13">
        <v>23389.43</v>
      </c>
      <c r="H19" s="4">
        <v>23389.43</v>
      </c>
      <c r="I19" s="4">
        <v>23389.43</v>
      </c>
      <c r="J19" s="4">
        <v>1709.19995117187</v>
      </c>
      <c r="K19" s="4">
        <v>1709.19995117187</v>
      </c>
      <c r="L19" s="4">
        <v>1709.19995117187</v>
      </c>
      <c r="M19" s="3">
        <v>30</v>
      </c>
      <c r="N19" s="3">
        <v>30</v>
      </c>
      <c r="O19" s="54">
        <v>30</v>
      </c>
    </row>
    <row r="20" spans="2:15" x14ac:dyDescent="0.25">
      <c r="B20" s="7">
        <v>44762</v>
      </c>
      <c r="C20" s="13">
        <v>23231.73</v>
      </c>
      <c r="D20" s="8">
        <v>1710</v>
      </c>
      <c r="F20" s="7">
        <v>44762</v>
      </c>
      <c r="G20" s="13">
        <v>23231.73</v>
      </c>
      <c r="H20" s="4">
        <v>23231.73</v>
      </c>
      <c r="I20" s="4">
        <v>23231.73</v>
      </c>
      <c r="J20" s="4">
        <v>1710</v>
      </c>
      <c r="K20" s="4">
        <v>1710</v>
      </c>
      <c r="L20" s="4">
        <v>1710</v>
      </c>
      <c r="M20" s="3">
        <v>31</v>
      </c>
      <c r="N20" s="3">
        <v>31</v>
      </c>
      <c r="O20" s="54">
        <v>31</v>
      </c>
    </row>
    <row r="21" spans="2:15" x14ac:dyDescent="0.25">
      <c r="B21" s="7">
        <v>44763</v>
      </c>
      <c r="C21" s="13">
        <v>23164.63</v>
      </c>
      <c r="D21" s="8">
        <v>1699.5</v>
      </c>
      <c r="F21" s="7">
        <v>44763</v>
      </c>
      <c r="G21" s="13">
        <v>23164.63</v>
      </c>
      <c r="H21" s="4">
        <v>23164.63</v>
      </c>
      <c r="I21" s="4">
        <v>23164.63</v>
      </c>
      <c r="J21" s="4">
        <v>1699.5</v>
      </c>
      <c r="K21" s="4">
        <v>1699.5</v>
      </c>
      <c r="L21" s="4">
        <v>1699.5</v>
      </c>
      <c r="M21" s="3">
        <v>34</v>
      </c>
      <c r="N21" s="3">
        <v>34</v>
      </c>
      <c r="O21" s="54">
        <v>34</v>
      </c>
    </row>
    <row r="22" spans="2:15" x14ac:dyDescent="0.25">
      <c r="B22" s="7">
        <v>44764</v>
      </c>
      <c r="C22" s="13">
        <v>22714.98</v>
      </c>
      <c r="D22" s="8">
        <v>1712.69995117187</v>
      </c>
      <c r="F22" s="7">
        <v>44764</v>
      </c>
      <c r="G22" s="13">
        <v>22714.98</v>
      </c>
      <c r="H22" s="4">
        <v>22714.98</v>
      </c>
      <c r="I22" s="4">
        <v>22714.98</v>
      </c>
      <c r="J22" s="4">
        <v>1712.69995117187</v>
      </c>
      <c r="K22" s="4">
        <v>1712.69995117187</v>
      </c>
      <c r="L22" s="4">
        <v>1712.69995117187</v>
      </c>
      <c r="M22" s="3">
        <v>33</v>
      </c>
      <c r="N22" s="3">
        <v>33</v>
      </c>
      <c r="O22" s="54">
        <v>33</v>
      </c>
    </row>
    <row r="23" spans="2:15" x14ac:dyDescent="0.25">
      <c r="B23" s="7">
        <v>44765</v>
      </c>
      <c r="C23" s="13">
        <v>22465.48</v>
      </c>
      <c r="D23" s="8">
        <v>1727.09997558593</v>
      </c>
      <c r="F23" s="7">
        <v>44765</v>
      </c>
      <c r="G23" s="13">
        <v>22465.48</v>
      </c>
      <c r="H23" s="4">
        <v>22465.48</v>
      </c>
      <c r="I23" s="4">
        <v>22465.48</v>
      </c>
      <c r="J23" s="4">
        <v>1727.09997558593</v>
      </c>
      <c r="K23" s="4">
        <v>1727.09997558593</v>
      </c>
      <c r="L23" s="4">
        <v>1727.09997558593</v>
      </c>
      <c r="M23" s="3">
        <v>31</v>
      </c>
      <c r="N23" s="3">
        <v>31</v>
      </c>
      <c r="O23" s="54">
        <v>31</v>
      </c>
    </row>
    <row r="24" spans="2:15" x14ac:dyDescent="0.25">
      <c r="B24" s="7">
        <v>44766</v>
      </c>
      <c r="C24" s="13">
        <v>22609.16</v>
      </c>
      <c r="D24" s="8">
        <v>1712.69995117187</v>
      </c>
      <c r="F24" s="7">
        <v>44766</v>
      </c>
      <c r="G24" s="13">
        <v>22609.16</v>
      </c>
      <c r="H24" s="4">
        <v>22609.16</v>
      </c>
      <c r="I24" s="4">
        <v>22609.16</v>
      </c>
      <c r="J24" s="4">
        <v>1712.69995117187</v>
      </c>
      <c r="K24" s="4">
        <v>1712.69995117187</v>
      </c>
      <c r="L24" s="4">
        <v>1712.69995117187</v>
      </c>
      <c r="M24" s="3">
        <v>30</v>
      </c>
      <c r="N24" s="3">
        <v>30</v>
      </c>
      <c r="O24" s="54">
        <v>30</v>
      </c>
    </row>
    <row r="25" spans="2:15" x14ac:dyDescent="0.25">
      <c r="B25" s="7">
        <v>44767</v>
      </c>
      <c r="C25" s="13">
        <v>21361.7</v>
      </c>
      <c r="D25" s="8">
        <v>1727.09997558593</v>
      </c>
      <c r="F25" s="7">
        <v>44767</v>
      </c>
      <c r="G25" s="13">
        <v>21361.7</v>
      </c>
      <c r="H25" s="4">
        <v>21361.7</v>
      </c>
      <c r="I25" s="4">
        <v>21361.7</v>
      </c>
      <c r="J25" s="4">
        <v>1727.09997558593</v>
      </c>
      <c r="K25" s="4">
        <v>1727.09997558593</v>
      </c>
      <c r="L25" s="4">
        <v>1727.09997558593</v>
      </c>
      <c r="M25" s="3">
        <v>30</v>
      </c>
      <c r="N25" s="3">
        <v>30</v>
      </c>
      <c r="O25" s="54">
        <v>30</v>
      </c>
    </row>
    <row r="26" spans="2:15" x14ac:dyDescent="0.25">
      <c r="B26" s="7">
        <v>44768</v>
      </c>
      <c r="C26" s="13">
        <v>21239.75</v>
      </c>
      <c r="D26" s="8">
        <v>1719</v>
      </c>
      <c r="F26" s="7">
        <v>44768</v>
      </c>
      <c r="G26" s="13">
        <v>21239.75</v>
      </c>
      <c r="H26" s="4">
        <v>21239.75</v>
      </c>
      <c r="I26" s="4">
        <v>21239.75</v>
      </c>
      <c r="J26" s="4">
        <v>1719</v>
      </c>
      <c r="K26" s="4">
        <v>1719</v>
      </c>
      <c r="L26" s="4">
        <v>1719</v>
      </c>
      <c r="M26" s="3">
        <v>26</v>
      </c>
      <c r="N26" s="3">
        <v>26</v>
      </c>
      <c r="O26" s="54">
        <v>26</v>
      </c>
    </row>
    <row r="27" spans="2:15" x14ac:dyDescent="0.25">
      <c r="B27" s="7">
        <v>44769</v>
      </c>
      <c r="C27" s="13">
        <v>22930.55</v>
      </c>
      <c r="D27" s="8">
        <v>1717.69995117187</v>
      </c>
      <c r="F27" s="7">
        <v>44769</v>
      </c>
      <c r="G27" s="13">
        <v>22930.55</v>
      </c>
      <c r="H27" s="4">
        <v>22930.55</v>
      </c>
      <c r="I27" s="4">
        <v>22930.55</v>
      </c>
      <c r="J27" s="4">
        <v>1717.69995117187</v>
      </c>
      <c r="K27" s="4">
        <v>1717.69995117187</v>
      </c>
      <c r="L27" s="4">
        <v>1717.69995117187</v>
      </c>
      <c r="M27" s="3">
        <v>28</v>
      </c>
      <c r="N27" s="3">
        <v>28</v>
      </c>
      <c r="O27" s="54">
        <v>28</v>
      </c>
    </row>
    <row r="28" spans="2:15" x14ac:dyDescent="0.25">
      <c r="B28" s="7">
        <v>44770</v>
      </c>
      <c r="C28" s="13">
        <v>23843.89</v>
      </c>
      <c r="D28" s="8">
        <v>1719.09997558593</v>
      </c>
      <c r="F28" s="7">
        <v>44770</v>
      </c>
      <c r="G28" s="13">
        <v>23843.89</v>
      </c>
      <c r="H28" s="4">
        <v>23843.89</v>
      </c>
      <c r="I28" s="4">
        <v>23843.89</v>
      </c>
      <c r="J28" s="4">
        <v>1719.09997558593</v>
      </c>
      <c r="K28" s="4">
        <v>1719.09997558593</v>
      </c>
      <c r="L28" s="4">
        <v>1719.09997558593</v>
      </c>
      <c r="M28" s="3">
        <v>32</v>
      </c>
      <c r="N28" s="3">
        <v>32</v>
      </c>
      <c r="O28" s="54">
        <v>32</v>
      </c>
    </row>
    <row r="29" spans="2:15" x14ac:dyDescent="0.25">
      <c r="B29" s="7">
        <v>44771</v>
      </c>
      <c r="C29" s="13">
        <v>23804.63</v>
      </c>
      <c r="D29" s="8">
        <v>1750.30004882812</v>
      </c>
      <c r="F29" s="7">
        <v>44771</v>
      </c>
      <c r="G29" s="13">
        <v>23804.63</v>
      </c>
      <c r="H29" s="4">
        <v>23804.63</v>
      </c>
      <c r="I29" s="4">
        <v>23804.63</v>
      </c>
      <c r="J29" s="4">
        <v>1750.30004882812</v>
      </c>
      <c r="K29" s="4">
        <v>1750.30004882812</v>
      </c>
      <c r="L29" s="4">
        <v>1750.30004882812</v>
      </c>
      <c r="M29" s="3">
        <v>39</v>
      </c>
      <c r="N29" s="3">
        <v>39</v>
      </c>
      <c r="O29" s="54">
        <v>39</v>
      </c>
    </row>
    <row r="30" spans="2:15" x14ac:dyDescent="0.25">
      <c r="B30" s="7">
        <v>44772</v>
      </c>
      <c r="C30" s="13">
        <v>23656.21</v>
      </c>
      <c r="D30" s="8">
        <v>1762.90002441406</v>
      </c>
      <c r="F30" s="7">
        <v>44772</v>
      </c>
      <c r="G30" s="13">
        <v>23656.21</v>
      </c>
      <c r="H30" s="4">
        <v>23656.21</v>
      </c>
      <c r="I30" s="4">
        <v>23656.21</v>
      </c>
      <c r="J30" s="4">
        <v>1762.90002441406</v>
      </c>
      <c r="K30" s="4">
        <v>1762.90002441406</v>
      </c>
      <c r="L30" s="4">
        <v>1762.90002441406</v>
      </c>
      <c r="M30" s="3">
        <v>42</v>
      </c>
      <c r="N30" s="3">
        <v>42</v>
      </c>
      <c r="O30" s="54">
        <v>42</v>
      </c>
    </row>
    <row r="31" spans="2:15" x14ac:dyDescent="0.25">
      <c r="B31" s="7">
        <v>44773</v>
      </c>
      <c r="C31" s="13">
        <v>23336.9</v>
      </c>
      <c r="D31" s="8">
        <v>1750.30004882812</v>
      </c>
      <c r="F31" s="7">
        <v>44773</v>
      </c>
      <c r="G31" s="13">
        <v>23336.9</v>
      </c>
      <c r="H31" s="4">
        <v>23336.9</v>
      </c>
      <c r="I31" s="4">
        <v>23336.9</v>
      </c>
      <c r="J31" s="4">
        <v>1750.30004882812</v>
      </c>
      <c r="K31" s="4">
        <v>1750.30004882812</v>
      </c>
      <c r="L31" s="4">
        <v>1750.30004882812</v>
      </c>
      <c r="M31" s="3">
        <v>39</v>
      </c>
      <c r="N31" s="3">
        <v>39</v>
      </c>
      <c r="O31" s="54">
        <v>39</v>
      </c>
    </row>
    <row r="32" spans="2:15" x14ac:dyDescent="0.25">
      <c r="B32" s="7">
        <v>44774</v>
      </c>
      <c r="C32" s="13">
        <v>23314.2</v>
      </c>
      <c r="D32" s="8">
        <v>1762.90002441406</v>
      </c>
      <c r="F32" s="7">
        <v>44774</v>
      </c>
      <c r="G32" s="13">
        <v>23314.2</v>
      </c>
      <c r="H32" s="4">
        <v>23314.2</v>
      </c>
      <c r="I32" s="4">
        <v>23314.2</v>
      </c>
      <c r="J32" s="4">
        <v>1762.90002441406</v>
      </c>
      <c r="K32" s="4">
        <v>1762.90002441406</v>
      </c>
      <c r="L32" s="4">
        <v>1762.90002441406</v>
      </c>
      <c r="M32" s="3">
        <v>33</v>
      </c>
      <c r="N32" s="3">
        <v>33</v>
      </c>
      <c r="O32" s="54">
        <v>33</v>
      </c>
    </row>
    <row r="33" spans="2:15" x14ac:dyDescent="0.25">
      <c r="B33" s="7">
        <v>44775</v>
      </c>
      <c r="C33" s="13">
        <v>22978.12</v>
      </c>
      <c r="D33" s="8">
        <v>1769</v>
      </c>
      <c r="F33" s="7">
        <v>44775</v>
      </c>
      <c r="G33" s="13">
        <v>22978.12</v>
      </c>
      <c r="H33" s="4">
        <v>22978.12</v>
      </c>
      <c r="I33" s="4">
        <v>22978.12</v>
      </c>
      <c r="J33" s="4">
        <v>1769</v>
      </c>
      <c r="K33" s="4">
        <v>1769</v>
      </c>
      <c r="L33" s="4">
        <v>1769</v>
      </c>
      <c r="M33" s="3">
        <v>31</v>
      </c>
      <c r="N33" s="3">
        <v>31</v>
      </c>
      <c r="O33" s="54">
        <v>31</v>
      </c>
    </row>
    <row r="34" spans="2:15" x14ac:dyDescent="0.25">
      <c r="B34" s="7">
        <v>44776</v>
      </c>
      <c r="C34" s="13">
        <v>22846.51</v>
      </c>
      <c r="D34" s="8">
        <v>1771.09997558593</v>
      </c>
      <c r="F34" s="7">
        <v>44776</v>
      </c>
      <c r="G34" s="13">
        <v>22846.51</v>
      </c>
      <c r="H34" s="4">
        <v>22846.51</v>
      </c>
      <c r="I34" s="4">
        <v>22846.51</v>
      </c>
      <c r="J34" s="4">
        <v>1771.09997558593</v>
      </c>
      <c r="K34" s="4">
        <v>1771.09997558593</v>
      </c>
      <c r="L34" s="4">
        <v>1771.09997558593</v>
      </c>
      <c r="M34" s="3">
        <v>34</v>
      </c>
      <c r="N34" s="3">
        <v>34</v>
      </c>
      <c r="O34" s="54">
        <v>34</v>
      </c>
    </row>
    <row r="35" spans="2:15" x14ac:dyDescent="0.25">
      <c r="B35" s="7">
        <v>44777</v>
      </c>
      <c r="C35" s="13">
        <v>22630.959999999999</v>
      </c>
      <c r="D35" s="8">
        <v>1758</v>
      </c>
      <c r="F35" s="7">
        <v>44777</v>
      </c>
      <c r="G35" s="13">
        <v>22630.959999999999</v>
      </c>
      <c r="H35" s="4">
        <v>22630.959999999999</v>
      </c>
      <c r="I35" s="4">
        <v>22630.959999999999</v>
      </c>
      <c r="J35" s="4">
        <v>1758</v>
      </c>
      <c r="K35" s="4">
        <v>1758</v>
      </c>
      <c r="L35" s="4">
        <v>1758</v>
      </c>
      <c r="M35" s="3">
        <v>30</v>
      </c>
      <c r="N35" s="3">
        <v>30</v>
      </c>
      <c r="O35" s="54">
        <v>30</v>
      </c>
    </row>
    <row r="36" spans="2:15" x14ac:dyDescent="0.25">
      <c r="B36" s="7">
        <v>44778</v>
      </c>
      <c r="C36" s="13">
        <v>23289.31</v>
      </c>
      <c r="D36" s="8">
        <v>1788.5</v>
      </c>
      <c r="F36" s="7">
        <v>44778</v>
      </c>
      <c r="G36" s="13">
        <v>23289.31</v>
      </c>
      <c r="H36" s="4">
        <v>23289.31</v>
      </c>
      <c r="I36" s="4">
        <v>23289.31</v>
      </c>
      <c r="J36" s="4">
        <v>1788.5</v>
      </c>
      <c r="K36" s="4">
        <v>1788.5</v>
      </c>
      <c r="L36" s="4">
        <v>1788.5</v>
      </c>
      <c r="M36" s="3">
        <v>31</v>
      </c>
      <c r="N36" s="3">
        <v>31</v>
      </c>
      <c r="O36" s="54">
        <v>31</v>
      </c>
    </row>
    <row r="37" spans="2:15" x14ac:dyDescent="0.25">
      <c r="B37" s="7">
        <v>44779</v>
      </c>
      <c r="C37" s="13">
        <v>22961.279999999999</v>
      </c>
      <c r="D37" s="8">
        <v>1772.90002441406</v>
      </c>
      <c r="F37" s="7">
        <v>44779</v>
      </c>
      <c r="G37" s="13">
        <v>22961.279999999999</v>
      </c>
      <c r="H37" s="4">
        <v>22961.279999999999</v>
      </c>
      <c r="I37" s="4">
        <v>22961.279999999999</v>
      </c>
      <c r="J37" s="4">
        <v>1772.90002441406</v>
      </c>
      <c r="K37" s="4">
        <v>1772.90002441406</v>
      </c>
      <c r="L37" s="4">
        <v>1772.90002441406</v>
      </c>
      <c r="M37" s="3">
        <v>31</v>
      </c>
      <c r="N37" s="3">
        <v>31</v>
      </c>
      <c r="O37" s="54">
        <v>31</v>
      </c>
    </row>
    <row r="38" spans="2:15" x14ac:dyDescent="0.25">
      <c r="B38" s="7">
        <v>44780</v>
      </c>
      <c r="C38" s="13">
        <v>23175.89</v>
      </c>
      <c r="D38" s="8">
        <v>1788.5</v>
      </c>
      <c r="F38" s="7">
        <v>44780</v>
      </c>
      <c r="G38" s="13">
        <v>23175.89</v>
      </c>
      <c r="H38" s="4">
        <v>23175.89</v>
      </c>
      <c r="I38" s="4">
        <v>23175.89</v>
      </c>
      <c r="J38" s="4">
        <v>1788.5</v>
      </c>
      <c r="K38" s="4">
        <v>1788.5</v>
      </c>
      <c r="L38" s="4">
        <v>1788.5</v>
      </c>
      <c r="M38" s="3">
        <v>30</v>
      </c>
      <c r="N38" s="3">
        <v>30</v>
      </c>
      <c r="O38" s="54">
        <v>30</v>
      </c>
    </row>
    <row r="39" spans="2:15" x14ac:dyDescent="0.25">
      <c r="B39" s="7">
        <v>44781</v>
      </c>
      <c r="C39" s="13">
        <v>23809.49</v>
      </c>
      <c r="D39" s="8">
        <v>1772.90002441406</v>
      </c>
      <c r="F39" s="7">
        <v>44781</v>
      </c>
      <c r="G39" s="13">
        <v>23809.49</v>
      </c>
      <c r="H39" s="4">
        <v>23809.49</v>
      </c>
      <c r="I39" s="4">
        <v>23809.49</v>
      </c>
      <c r="J39" s="4">
        <v>1772.90002441406</v>
      </c>
      <c r="K39" s="4">
        <v>1772.90002441406</v>
      </c>
      <c r="L39" s="4">
        <v>1772.90002441406</v>
      </c>
      <c r="M39" s="3">
        <v>30</v>
      </c>
      <c r="N39" s="3">
        <v>30</v>
      </c>
      <c r="O39" s="54">
        <v>30</v>
      </c>
    </row>
    <row r="40" spans="2:15" x14ac:dyDescent="0.25">
      <c r="B40" s="7">
        <v>44782</v>
      </c>
      <c r="C40" s="13">
        <v>23164.32</v>
      </c>
      <c r="D40" s="8">
        <v>1786.80004882812</v>
      </c>
      <c r="F40" s="7">
        <v>44782</v>
      </c>
      <c r="G40" s="13">
        <v>23164.32</v>
      </c>
      <c r="H40" s="4">
        <v>23164.32</v>
      </c>
      <c r="I40" s="4">
        <v>23164.32</v>
      </c>
      <c r="J40" s="4">
        <v>1786.80004882812</v>
      </c>
      <c r="K40" s="4">
        <v>1786.80004882812</v>
      </c>
      <c r="L40" s="4">
        <v>1786.80004882812</v>
      </c>
      <c r="M40" s="3">
        <v>42</v>
      </c>
      <c r="N40" s="3">
        <v>42</v>
      </c>
      <c r="O40" s="54">
        <v>42</v>
      </c>
    </row>
    <row r="41" spans="2:15" x14ac:dyDescent="0.25">
      <c r="B41" s="7">
        <v>44783</v>
      </c>
      <c r="C41" s="13">
        <v>23947.64</v>
      </c>
      <c r="D41" s="8">
        <v>1794</v>
      </c>
      <c r="F41" s="7">
        <v>44783</v>
      </c>
      <c r="G41" s="13">
        <v>23947.64</v>
      </c>
      <c r="H41" s="4">
        <v>23947.64</v>
      </c>
      <c r="I41" s="4">
        <v>23947.64</v>
      </c>
      <c r="J41" s="4">
        <v>1794</v>
      </c>
      <c r="K41" s="4">
        <v>1794</v>
      </c>
      <c r="L41" s="4">
        <v>1794</v>
      </c>
      <c r="M41" s="3">
        <v>31</v>
      </c>
      <c r="N41" s="3">
        <v>31</v>
      </c>
      <c r="O41" s="54">
        <v>31</v>
      </c>
    </row>
    <row r="42" spans="2:15" x14ac:dyDescent="0.25">
      <c r="B42" s="7">
        <v>44784</v>
      </c>
      <c r="C42" s="13">
        <v>23957.53</v>
      </c>
      <c r="D42" s="8">
        <v>1795.59997558593</v>
      </c>
      <c r="F42" s="7">
        <v>44784</v>
      </c>
      <c r="G42" s="13">
        <v>23957.53</v>
      </c>
      <c r="H42" s="4">
        <v>23957.53</v>
      </c>
      <c r="I42" s="4">
        <v>23957.53</v>
      </c>
      <c r="J42" s="4">
        <v>1795.59997558593</v>
      </c>
      <c r="K42" s="4">
        <v>1795.59997558593</v>
      </c>
      <c r="L42" s="4">
        <v>1795.59997558593</v>
      </c>
      <c r="M42" s="3">
        <v>41</v>
      </c>
      <c r="N42" s="3">
        <v>41</v>
      </c>
      <c r="O42" s="54">
        <v>41</v>
      </c>
    </row>
    <row r="43" spans="2:15" x14ac:dyDescent="0.25">
      <c r="B43" s="7">
        <v>44785</v>
      </c>
      <c r="C43" s="13">
        <v>24402.82</v>
      </c>
      <c r="D43" s="8">
        <v>1789.69995117187</v>
      </c>
      <c r="F43" s="7">
        <v>44785</v>
      </c>
      <c r="G43" s="13">
        <v>24402.82</v>
      </c>
      <c r="H43" s="4">
        <v>24402.82</v>
      </c>
      <c r="I43" s="4">
        <v>24402.82</v>
      </c>
      <c r="J43" s="4">
        <v>1789.69995117187</v>
      </c>
      <c r="K43" s="4">
        <v>1789.69995117187</v>
      </c>
      <c r="L43" s="4">
        <v>1789.69995117187</v>
      </c>
      <c r="M43" s="3">
        <v>42</v>
      </c>
      <c r="N43" s="3">
        <v>42</v>
      </c>
      <c r="O43" s="54">
        <v>42</v>
      </c>
    </row>
    <row r="44" spans="2:15" x14ac:dyDescent="0.25">
      <c r="B44" s="7">
        <v>44786</v>
      </c>
      <c r="C44" s="13">
        <v>24424.07</v>
      </c>
      <c r="D44" s="8">
        <v>1798.59997558593</v>
      </c>
      <c r="F44" s="7">
        <v>44786</v>
      </c>
      <c r="G44" s="13">
        <v>24424.07</v>
      </c>
      <c r="H44" s="4">
        <v>24424.07</v>
      </c>
      <c r="I44" s="4">
        <v>24424.07</v>
      </c>
      <c r="J44" s="4">
        <v>1798.59997558593</v>
      </c>
      <c r="K44" s="4">
        <v>1798.59997558593</v>
      </c>
      <c r="L44" s="4">
        <v>1798.59997558593</v>
      </c>
      <c r="M44" s="3">
        <v>46</v>
      </c>
      <c r="N44" s="3">
        <v>46</v>
      </c>
      <c r="O44" s="54">
        <v>46</v>
      </c>
    </row>
    <row r="45" spans="2:15" x14ac:dyDescent="0.25">
      <c r="B45" s="7">
        <v>44787</v>
      </c>
      <c r="C45" s="13">
        <v>24319.33</v>
      </c>
      <c r="D45" s="8">
        <v>1789.69995117187</v>
      </c>
      <c r="F45" s="7">
        <v>44787</v>
      </c>
      <c r="G45" s="13">
        <v>24319.33</v>
      </c>
      <c r="H45" s="4">
        <v>24319.33</v>
      </c>
      <c r="I45" s="4">
        <v>24319.33</v>
      </c>
      <c r="J45" s="4">
        <v>1789.69995117187</v>
      </c>
      <c r="K45" s="4">
        <v>1789.69995117187</v>
      </c>
      <c r="L45" s="4">
        <v>1789.69995117187</v>
      </c>
      <c r="M45" s="3">
        <v>47</v>
      </c>
      <c r="N45" s="3">
        <v>47</v>
      </c>
      <c r="O45" s="54">
        <v>47</v>
      </c>
    </row>
    <row r="46" spans="2:15" x14ac:dyDescent="0.25">
      <c r="B46" s="7">
        <v>44788</v>
      </c>
      <c r="C46" s="13">
        <v>24136.97</v>
      </c>
      <c r="D46" s="8">
        <v>1798.59997558593</v>
      </c>
      <c r="F46" s="7">
        <v>44788</v>
      </c>
      <c r="G46" s="13">
        <v>24136.97</v>
      </c>
      <c r="H46" s="4">
        <v>24136.97</v>
      </c>
      <c r="I46" s="4">
        <v>24136.97</v>
      </c>
      <c r="J46" s="4">
        <v>1798.59997558593</v>
      </c>
      <c r="K46" s="4">
        <v>1798.59997558593</v>
      </c>
      <c r="L46" s="4">
        <v>1798.59997558593</v>
      </c>
      <c r="M46" s="3">
        <v>45</v>
      </c>
      <c r="N46" s="3">
        <v>45</v>
      </c>
      <c r="O46" s="54">
        <v>45</v>
      </c>
    </row>
    <row r="47" spans="2:15" x14ac:dyDescent="0.25">
      <c r="B47" s="7">
        <v>44789</v>
      </c>
      <c r="C47" s="13">
        <v>23883.29</v>
      </c>
      <c r="D47" s="8">
        <v>1781.40002441406</v>
      </c>
      <c r="F47" s="7">
        <v>44789</v>
      </c>
      <c r="G47" s="13">
        <v>23883.29</v>
      </c>
      <c r="H47" s="4">
        <v>23883.29</v>
      </c>
      <c r="I47" s="4">
        <v>23883.29</v>
      </c>
      <c r="J47" s="4">
        <v>1781.40002441406</v>
      </c>
      <c r="K47" s="4">
        <v>1781.40002441406</v>
      </c>
      <c r="L47" s="4">
        <v>1781.40002441406</v>
      </c>
      <c r="M47" s="3">
        <v>44</v>
      </c>
      <c r="N47" s="3">
        <v>44</v>
      </c>
      <c r="O47" s="54">
        <v>44</v>
      </c>
    </row>
    <row r="48" spans="2:15" x14ac:dyDescent="0.25">
      <c r="B48" s="7">
        <v>44790</v>
      </c>
      <c r="C48" s="13">
        <v>23336</v>
      </c>
      <c r="D48" s="8">
        <v>1773.19995117187</v>
      </c>
      <c r="F48" s="7">
        <v>44790</v>
      </c>
      <c r="G48" s="13">
        <v>23336</v>
      </c>
      <c r="H48" s="4">
        <v>23336</v>
      </c>
      <c r="I48" s="4">
        <v>23336</v>
      </c>
      <c r="J48" s="4">
        <v>1773.19995117187</v>
      </c>
      <c r="K48" s="4">
        <v>1773.19995117187</v>
      </c>
      <c r="L48" s="4">
        <v>1773.19995117187</v>
      </c>
      <c r="M48" s="3">
        <v>41</v>
      </c>
      <c r="N48" s="3">
        <v>41</v>
      </c>
      <c r="O48" s="54">
        <v>41</v>
      </c>
    </row>
    <row r="49" spans="2:15" x14ac:dyDescent="0.25">
      <c r="B49" s="7">
        <v>44791</v>
      </c>
      <c r="C49" s="13">
        <v>23212.74</v>
      </c>
      <c r="D49" s="8">
        <v>1760.30004882812</v>
      </c>
      <c r="F49" s="7">
        <v>44791</v>
      </c>
      <c r="G49" s="13">
        <v>23212.74</v>
      </c>
      <c r="H49" s="4">
        <v>23212.74</v>
      </c>
      <c r="I49" s="4">
        <v>23212.74</v>
      </c>
      <c r="J49" s="4">
        <v>1760.30004882812</v>
      </c>
      <c r="K49" s="4">
        <v>1760.30004882812</v>
      </c>
      <c r="L49" s="4">
        <v>1760.30004882812</v>
      </c>
      <c r="M49" s="3">
        <v>30</v>
      </c>
      <c r="N49" s="3">
        <v>30</v>
      </c>
      <c r="O49" s="54">
        <v>30</v>
      </c>
    </row>
    <row r="50" spans="2:15" x14ac:dyDescent="0.25">
      <c r="B50" s="7">
        <v>44792</v>
      </c>
      <c r="C50" s="13">
        <v>20877.55</v>
      </c>
      <c r="D50" s="8">
        <v>1755.30004882812</v>
      </c>
      <c r="F50" s="7">
        <v>44792</v>
      </c>
      <c r="G50" s="13">
        <v>20877.55</v>
      </c>
      <c r="H50" s="4">
        <v>20877.55</v>
      </c>
      <c r="I50" s="4">
        <v>20877.55</v>
      </c>
      <c r="J50" s="4">
        <v>1755.30004882812</v>
      </c>
      <c r="K50" s="4">
        <v>1755.30004882812</v>
      </c>
      <c r="L50" s="4">
        <v>1755.30004882812</v>
      </c>
      <c r="M50" s="3">
        <v>33</v>
      </c>
      <c r="N50" s="3">
        <v>33</v>
      </c>
      <c r="O50" s="54">
        <v>33</v>
      </c>
    </row>
    <row r="51" spans="2:15" x14ac:dyDescent="0.25">
      <c r="B51" s="7">
        <v>44793</v>
      </c>
      <c r="C51" s="13">
        <v>21166.06</v>
      </c>
      <c r="D51" s="8">
        <v>1747.59997558593</v>
      </c>
      <c r="F51" s="7">
        <v>44793</v>
      </c>
      <c r="G51" s="13">
        <v>21166.06</v>
      </c>
      <c r="H51" s="4">
        <v>21166.06</v>
      </c>
      <c r="I51" s="4">
        <v>21166.06</v>
      </c>
      <c r="J51" s="4">
        <v>1747.59997558593</v>
      </c>
      <c r="K51" s="4">
        <v>1747.59997558593</v>
      </c>
      <c r="L51" s="4">
        <v>1747.59997558593</v>
      </c>
      <c r="M51" s="3">
        <v>29</v>
      </c>
      <c r="N51" s="3">
        <v>29</v>
      </c>
      <c r="O51" s="54">
        <v>29</v>
      </c>
    </row>
    <row r="52" spans="2:15" x14ac:dyDescent="0.25">
      <c r="B52" s="7">
        <v>44794</v>
      </c>
      <c r="C52" s="13">
        <v>21534.12</v>
      </c>
      <c r="D52" s="8">
        <v>1755.30004882812</v>
      </c>
      <c r="F52" s="7">
        <v>44794</v>
      </c>
      <c r="G52" s="13">
        <v>21534.12</v>
      </c>
      <c r="H52" s="4">
        <v>21534.12</v>
      </c>
      <c r="I52" s="4">
        <v>21534.12</v>
      </c>
      <c r="J52" s="4">
        <v>1755.30004882812</v>
      </c>
      <c r="K52" s="4">
        <v>1755.30004882812</v>
      </c>
      <c r="L52" s="4">
        <v>1755.30004882812</v>
      </c>
      <c r="M52" s="3">
        <v>27</v>
      </c>
      <c r="N52" s="3">
        <v>27</v>
      </c>
      <c r="O52" s="54">
        <v>27</v>
      </c>
    </row>
    <row r="53" spans="2:15" x14ac:dyDescent="0.25">
      <c r="B53" s="7">
        <v>44795</v>
      </c>
      <c r="C53" s="13">
        <v>21398.91</v>
      </c>
      <c r="D53" s="8">
        <v>1747.59997558593</v>
      </c>
      <c r="F53" s="7">
        <v>44795</v>
      </c>
      <c r="G53" s="13">
        <v>21398.91</v>
      </c>
      <c r="H53" s="4">
        <v>21398.91</v>
      </c>
      <c r="I53" s="4">
        <v>21398.91</v>
      </c>
      <c r="J53" s="4">
        <v>1747.59997558593</v>
      </c>
      <c r="K53" s="4">
        <v>1747.59997558593</v>
      </c>
      <c r="L53" s="4">
        <v>1747.59997558593</v>
      </c>
      <c r="M53" s="3">
        <v>29</v>
      </c>
      <c r="N53" s="3">
        <v>29</v>
      </c>
      <c r="O53" s="54">
        <v>29</v>
      </c>
    </row>
    <row r="54" spans="2:15" ht="15.75" thickBot="1" x14ac:dyDescent="0.3">
      <c r="B54" s="7">
        <v>44796</v>
      </c>
      <c r="C54" s="13">
        <v>21528.09</v>
      </c>
      <c r="D54" s="8">
        <v>1734</v>
      </c>
      <c r="F54" s="7">
        <v>44796</v>
      </c>
      <c r="G54" s="13">
        <v>21528.09</v>
      </c>
      <c r="H54" s="4">
        <v>21528.09</v>
      </c>
      <c r="I54" s="4">
        <v>21528.09</v>
      </c>
      <c r="J54" s="4">
        <v>1734</v>
      </c>
      <c r="K54" s="4">
        <v>1734</v>
      </c>
      <c r="L54" s="4">
        <v>1734</v>
      </c>
      <c r="M54" s="3">
        <v>28</v>
      </c>
      <c r="N54" s="3">
        <v>28</v>
      </c>
      <c r="O54" s="54">
        <v>28</v>
      </c>
    </row>
    <row r="55" spans="2:15" x14ac:dyDescent="0.25">
      <c r="B55" s="16">
        <v>44797</v>
      </c>
      <c r="C55" s="13">
        <v>21395.02</v>
      </c>
      <c r="D55" s="8">
        <v>1746.80004882812</v>
      </c>
      <c r="F55" s="16">
        <v>44797</v>
      </c>
      <c r="G55" s="13">
        <v>21395.02</v>
      </c>
      <c r="H55" s="4">
        <v>21395.02</v>
      </c>
      <c r="I55" s="4">
        <v>21395.02</v>
      </c>
      <c r="J55" s="4">
        <v>1746.80004882812</v>
      </c>
      <c r="K55" s="4">
        <v>1746.80004882812</v>
      </c>
      <c r="L55" s="4">
        <v>1746.80004882812</v>
      </c>
      <c r="M55" s="3">
        <v>25</v>
      </c>
      <c r="N55" s="3">
        <v>25</v>
      </c>
      <c r="O55" s="54">
        <v>25</v>
      </c>
    </row>
    <row r="56" spans="2:15" ht="15.75" thickBot="1" x14ac:dyDescent="0.3">
      <c r="B56" s="18">
        <v>44798</v>
      </c>
      <c r="C56" s="13">
        <v>21600.9</v>
      </c>
      <c r="D56" s="8">
        <v>1747.80004882812</v>
      </c>
      <c r="F56" s="18">
        <v>44798</v>
      </c>
      <c r="G56" s="13">
        <v>21600.9</v>
      </c>
      <c r="H56" s="4">
        <v>21600.9</v>
      </c>
      <c r="I56" s="4">
        <v>21600.9</v>
      </c>
      <c r="J56" s="4">
        <v>1747.80004882812</v>
      </c>
      <c r="K56" s="4">
        <v>1747.80004882812</v>
      </c>
      <c r="L56" s="4">
        <v>1747.80004882812</v>
      </c>
      <c r="M56" s="3">
        <v>25</v>
      </c>
      <c r="N56" s="3">
        <v>25</v>
      </c>
      <c r="O56" s="54">
        <v>25</v>
      </c>
    </row>
    <row r="57" spans="2:15" x14ac:dyDescent="0.25">
      <c r="B57" s="7">
        <v>44799</v>
      </c>
      <c r="C57" s="13">
        <v>20260.02</v>
      </c>
      <c r="D57" s="8">
        <v>1757.69995117187</v>
      </c>
      <c r="F57" s="7">
        <v>44799</v>
      </c>
      <c r="G57" s="13">
        <v>20260.02</v>
      </c>
      <c r="H57" s="4">
        <v>20260.02</v>
      </c>
      <c r="I57" s="4">
        <v>20260.02</v>
      </c>
      <c r="J57" s="4">
        <v>1757.69995117187</v>
      </c>
      <c r="K57" s="4">
        <v>1757.69995117187</v>
      </c>
      <c r="L57" s="4">
        <v>1757.69995117187</v>
      </c>
      <c r="M57" s="3">
        <v>27</v>
      </c>
      <c r="N57" s="3">
        <v>27</v>
      </c>
      <c r="O57" s="54">
        <v>27</v>
      </c>
    </row>
    <row r="58" spans="2:15" x14ac:dyDescent="0.25">
      <c r="B58" s="7">
        <v>44800</v>
      </c>
      <c r="C58" s="13">
        <v>20041.740000000002</v>
      </c>
      <c r="D58" s="8">
        <v>1736.09997558593</v>
      </c>
      <c r="F58" s="7">
        <v>44800</v>
      </c>
      <c r="G58" s="13">
        <v>20041.740000000002</v>
      </c>
      <c r="H58" s="4">
        <v>20041.740000000002</v>
      </c>
      <c r="I58" s="4">
        <v>20041.740000000002</v>
      </c>
      <c r="J58" s="4">
        <v>1736.09997558593</v>
      </c>
      <c r="K58" s="4">
        <v>1736.09997558593</v>
      </c>
      <c r="L58" s="4">
        <v>1736.09997558593</v>
      </c>
      <c r="M58" s="3">
        <v>28</v>
      </c>
      <c r="N58" s="3">
        <v>28</v>
      </c>
      <c r="O58" s="54">
        <v>28</v>
      </c>
    </row>
    <row r="59" spans="2:15" x14ac:dyDescent="0.25">
      <c r="B59" s="7">
        <v>44801</v>
      </c>
      <c r="C59" s="13">
        <v>19616.810000000001</v>
      </c>
      <c r="D59" s="8">
        <v>1757.69995117187</v>
      </c>
      <c r="F59" s="7">
        <v>44801</v>
      </c>
      <c r="G59" s="13">
        <v>19616.810000000001</v>
      </c>
      <c r="H59" s="4">
        <v>19616.810000000001</v>
      </c>
      <c r="I59" s="4">
        <v>19616.810000000001</v>
      </c>
      <c r="J59" s="4">
        <v>1757.69995117187</v>
      </c>
      <c r="K59" s="4">
        <v>1757.69995117187</v>
      </c>
      <c r="L59" s="4">
        <v>1757.69995117187</v>
      </c>
      <c r="M59" s="3">
        <v>28</v>
      </c>
      <c r="N59" s="3">
        <v>28</v>
      </c>
      <c r="O59" s="54">
        <v>28</v>
      </c>
    </row>
    <row r="60" spans="2:15" x14ac:dyDescent="0.25">
      <c r="B60" s="7">
        <v>44802</v>
      </c>
      <c r="C60" s="13">
        <v>20297.990000000002</v>
      </c>
      <c r="D60" s="8">
        <v>1736.09997558593</v>
      </c>
      <c r="F60" s="7">
        <v>44802</v>
      </c>
      <c r="G60" s="13">
        <v>20297.990000000002</v>
      </c>
      <c r="H60" s="4">
        <v>20297.990000000002</v>
      </c>
      <c r="I60" s="4">
        <v>20297.990000000002</v>
      </c>
      <c r="J60" s="4">
        <v>1736.09997558593</v>
      </c>
      <c r="K60" s="4">
        <v>1736.09997558593</v>
      </c>
      <c r="L60" s="4">
        <v>1736.09997558593</v>
      </c>
      <c r="M60" s="3">
        <v>24</v>
      </c>
      <c r="N60" s="3">
        <v>24</v>
      </c>
      <c r="O60" s="54">
        <v>24</v>
      </c>
    </row>
    <row r="61" spans="2:15" x14ac:dyDescent="0.25">
      <c r="B61" s="7">
        <v>44803</v>
      </c>
      <c r="C61" s="13">
        <v>19796.810000000001</v>
      </c>
      <c r="D61" s="8">
        <v>1736.59997558593</v>
      </c>
      <c r="F61" s="7">
        <v>44803</v>
      </c>
      <c r="G61" s="13">
        <v>19796.810000000001</v>
      </c>
      <c r="H61" s="4">
        <v>19796.810000000001</v>
      </c>
      <c r="I61" s="4">
        <v>19796.810000000001</v>
      </c>
      <c r="J61" s="4">
        <v>1736.59997558593</v>
      </c>
      <c r="K61" s="4">
        <v>1736.59997558593</v>
      </c>
      <c r="L61" s="4">
        <v>1736.59997558593</v>
      </c>
      <c r="M61" s="3">
        <v>27</v>
      </c>
      <c r="N61" s="3">
        <v>27</v>
      </c>
      <c r="O61" s="54">
        <v>27</v>
      </c>
    </row>
    <row r="62" spans="2:15" x14ac:dyDescent="0.25">
      <c r="B62" s="7">
        <v>44804</v>
      </c>
      <c r="C62" s="13">
        <v>20049.759999999998</v>
      </c>
      <c r="D62" s="8">
        <v>1723.19995117187</v>
      </c>
      <c r="F62" s="7">
        <v>44804</v>
      </c>
      <c r="G62" s="13">
        <v>20049.759999999998</v>
      </c>
      <c r="H62" s="4">
        <v>20049.759999999998</v>
      </c>
      <c r="I62" s="4">
        <v>20049.759999999998</v>
      </c>
      <c r="J62" s="4">
        <v>1723.19995117187</v>
      </c>
      <c r="K62" s="4">
        <v>1723.19995117187</v>
      </c>
      <c r="L62" s="4">
        <v>1723.19995117187</v>
      </c>
      <c r="M62" s="3">
        <v>23</v>
      </c>
      <c r="N62" s="3">
        <v>23</v>
      </c>
      <c r="O62" s="54">
        <v>23</v>
      </c>
    </row>
    <row r="63" spans="2:15" ht="15.75" thickBot="1" x14ac:dyDescent="0.3">
      <c r="B63" s="7">
        <v>44805</v>
      </c>
      <c r="C63" s="13">
        <v>20127.14</v>
      </c>
      <c r="D63" s="8">
        <v>1712.80004882812</v>
      </c>
      <c r="F63" s="7">
        <v>44805</v>
      </c>
      <c r="G63" s="13">
        <v>20127.14</v>
      </c>
      <c r="H63" s="4">
        <v>20127.14</v>
      </c>
      <c r="I63" s="4">
        <v>20127.14</v>
      </c>
      <c r="J63" s="4">
        <v>1712.80004882812</v>
      </c>
      <c r="K63" s="4">
        <v>1712.80004882812</v>
      </c>
      <c r="L63" s="4">
        <v>1712.80004882812</v>
      </c>
      <c r="M63" s="3">
        <v>20</v>
      </c>
      <c r="N63" s="3">
        <v>20</v>
      </c>
      <c r="O63" s="54">
        <v>20</v>
      </c>
    </row>
    <row r="64" spans="2:15" ht="15.75" thickBot="1" x14ac:dyDescent="0.3">
      <c r="B64" s="19">
        <v>44806</v>
      </c>
      <c r="C64" s="13">
        <v>19969.77</v>
      </c>
      <c r="D64" s="8">
        <v>1696.59997558593</v>
      </c>
      <c r="F64" s="19">
        <v>44806</v>
      </c>
      <c r="G64" s="13">
        <v>19969.77</v>
      </c>
      <c r="H64" s="4">
        <v>19969.77</v>
      </c>
      <c r="I64" s="4">
        <v>19969.77</v>
      </c>
      <c r="J64" s="4">
        <v>1696.59997558593</v>
      </c>
      <c r="K64" s="4">
        <v>1696.59997558593</v>
      </c>
      <c r="L64" s="4">
        <v>1696.59997558593</v>
      </c>
      <c r="M64" s="3">
        <v>25</v>
      </c>
      <c r="N64" s="3">
        <v>25</v>
      </c>
      <c r="O64" s="54">
        <v>25</v>
      </c>
    </row>
    <row r="65" spans="2:15" x14ac:dyDescent="0.25">
      <c r="B65" s="7">
        <v>44807</v>
      </c>
      <c r="C65" s="13">
        <v>19832.09</v>
      </c>
      <c r="D65" s="8">
        <v>1709.80004882812</v>
      </c>
      <c r="F65" s="7">
        <v>44807</v>
      </c>
      <c r="G65" s="13">
        <v>19832.09</v>
      </c>
      <c r="H65" s="4">
        <v>19832.09</v>
      </c>
      <c r="I65" s="4">
        <v>19832.09</v>
      </c>
      <c r="J65" s="4">
        <v>1709.80004882812</v>
      </c>
      <c r="K65" s="4">
        <v>1709.80004882812</v>
      </c>
      <c r="L65" s="4">
        <v>1709.80004882812</v>
      </c>
      <c r="M65" s="3">
        <v>21</v>
      </c>
      <c r="N65" s="3">
        <v>21</v>
      </c>
      <c r="O65" s="54">
        <v>21</v>
      </c>
    </row>
    <row r="66" spans="2:15" x14ac:dyDescent="0.25">
      <c r="B66" s="7">
        <v>44808</v>
      </c>
      <c r="C66" s="13">
        <v>19986.71</v>
      </c>
      <c r="D66" s="8">
        <v>1696.59997558593</v>
      </c>
      <c r="F66" s="7">
        <v>44808</v>
      </c>
      <c r="G66" s="13">
        <v>19986.71</v>
      </c>
      <c r="H66" s="4">
        <v>19986.71</v>
      </c>
      <c r="I66" s="4">
        <v>19986.71</v>
      </c>
      <c r="J66" s="4">
        <v>1696.59997558593</v>
      </c>
      <c r="K66" s="4">
        <v>1696.59997558593</v>
      </c>
      <c r="L66" s="4">
        <v>1696.59997558593</v>
      </c>
      <c r="M66" s="3">
        <v>20</v>
      </c>
      <c r="N66" s="3">
        <v>20</v>
      </c>
      <c r="O66" s="54">
        <v>20</v>
      </c>
    </row>
    <row r="67" spans="2:15" x14ac:dyDescent="0.25">
      <c r="B67" s="7">
        <v>44809</v>
      </c>
      <c r="C67" s="13">
        <v>19812.37</v>
      </c>
      <c r="D67" s="8">
        <v>1709.80004882812</v>
      </c>
      <c r="F67" s="7">
        <v>44809</v>
      </c>
      <c r="G67" s="13">
        <v>19812.37</v>
      </c>
      <c r="H67" s="4">
        <v>19812.37</v>
      </c>
      <c r="I67" s="4">
        <v>19812.37</v>
      </c>
      <c r="J67" s="4">
        <v>1709.80004882812</v>
      </c>
      <c r="K67" s="4">
        <v>1709.80004882812</v>
      </c>
      <c r="L67" s="4">
        <v>1709.80004882812</v>
      </c>
      <c r="M67" s="3">
        <v>23</v>
      </c>
      <c r="N67" s="3">
        <v>23</v>
      </c>
      <c r="O67" s="54">
        <v>23</v>
      </c>
    </row>
    <row r="68" spans="2:15" x14ac:dyDescent="0.25">
      <c r="B68" s="7">
        <v>44810</v>
      </c>
      <c r="C68" s="13">
        <v>18837.669999999998</v>
      </c>
      <c r="D68" s="8">
        <v>1696.59997558593</v>
      </c>
      <c r="F68" s="7">
        <v>44810</v>
      </c>
      <c r="G68" s="13">
        <v>18837.669999999998</v>
      </c>
      <c r="H68" s="4">
        <v>18837.669999999998</v>
      </c>
      <c r="I68" s="4">
        <v>18837.669999999998</v>
      </c>
      <c r="J68" s="4">
        <v>1696.59997558593</v>
      </c>
      <c r="K68" s="4">
        <v>1696.59997558593</v>
      </c>
      <c r="L68" s="4">
        <v>1696.59997558593</v>
      </c>
      <c r="M68" s="3">
        <v>22</v>
      </c>
      <c r="N68" s="3">
        <v>22</v>
      </c>
      <c r="O68" s="54">
        <v>22</v>
      </c>
    </row>
    <row r="69" spans="2:15" x14ac:dyDescent="0.25">
      <c r="B69" s="7">
        <v>44811</v>
      </c>
      <c r="C69" s="13">
        <v>19290.32</v>
      </c>
      <c r="D69" s="8">
        <v>1700.40002441406</v>
      </c>
      <c r="F69" s="7">
        <v>44811</v>
      </c>
      <c r="G69" s="13">
        <v>19290.32</v>
      </c>
      <c r="H69" s="4">
        <v>19290.32</v>
      </c>
      <c r="I69" s="4">
        <v>19290.32</v>
      </c>
      <c r="J69" s="4">
        <v>1700.40002441406</v>
      </c>
      <c r="K69" s="4">
        <v>1700.40002441406</v>
      </c>
      <c r="L69" s="4">
        <v>1700.40002441406</v>
      </c>
      <c r="M69" s="3">
        <v>24</v>
      </c>
      <c r="N69" s="3">
        <v>24</v>
      </c>
      <c r="O69" s="54">
        <v>24</v>
      </c>
    </row>
    <row r="70" spans="2:15" x14ac:dyDescent="0.25">
      <c r="B70" s="7">
        <v>44812</v>
      </c>
      <c r="C70" s="13">
        <v>19329.830000000002</v>
      </c>
      <c r="D70" s="8">
        <v>1715.30004882812</v>
      </c>
      <c r="F70" s="7">
        <v>44812</v>
      </c>
      <c r="G70" s="13">
        <v>19329.830000000002</v>
      </c>
      <c r="H70" s="4">
        <v>19329.830000000002</v>
      </c>
      <c r="I70" s="4">
        <v>19329.830000000002</v>
      </c>
      <c r="J70" s="4">
        <v>1715.30004882812</v>
      </c>
      <c r="K70" s="4">
        <v>1715.30004882812</v>
      </c>
      <c r="L70" s="4">
        <v>1715.30004882812</v>
      </c>
      <c r="M70" s="3">
        <v>20</v>
      </c>
      <c r="N70" s="3">
        <v>20</v>
      </c>
      <c r="O70" s="54">
        <v>20</v>
      </c>
    </row>
    <row r="71" spans="2:15" x14ac:dyDescent="0.25">
      <c r="B71" s="7">
        <v>44813</v>
      </c>
      <c r="C71" s="13">
        <v>21381.15</v>
      </c>
      <c r="D71" s="8">
        <v>1708</v>
      </c>
      <c r="F71" s="7">
        <v>44813</v>
      </c>
      <c r="G71" s="13">
        <v>21381.15</v>
      </c>
      <c r="H71" s="4">
        <v>21381.15</v>
      </c>
      <c r="I71" s="4">
        <v>21381.15</v>
      </c>
      <c r="J71" s="4">
        <v>1708</v>
      </c>
      <c r="K71" s="4">
        <v>1708</v>
      </c>
      <c r="L71" s="4">
        <v>1708</v>
      </c>
      <c r="M71" s="3">
        <v>22</v>
      </c>
      <c r="N71" s="3">
        <v>22</v>
      </c>
      <c r="O71" s="54">
        <v>22</v>
      </c>
    </row>
    <row r="72" spans="2:15" x14ac:dyDescent="0.25">
      <c r="B72" s="7">
        <v>44814</v>
      </c>
      <c r="C72" s="13">
        <v>21680.54</v>
      </c>
      <c r="D72" s="8">
        <v>1716.19995117187</v>
      </c>
      <c r="F72" s="7">
        <v>44814</v>
      </c>
      <c r="G72" s="13">
        <v>21680.54</v>
      </c>
      <c r="H72" s="4">
        <v>21680.54</v>
      </c>
      <c r="I72" s="4">
        <v>21680.54</v>
      </c>
      <c r="J72" s="4">
        <v>1716.19995117187</v>
      </c>
      <c r="K72" s="4">
        <v>1716.19995117187</v>
      </c>
      <c r="L72" s="4">
        <v>1716.19995117187</v>
      </c>
      <c r="M72" s="3">
        <v>28</v>
      </c>
      <c r="N72" s="3">
        <v>28</v>
      </c>
      <c r="O72" s="54">
        <v>28</v>
      </c>
    </row>
    <row r="73" spans="2:15" ht="15.75" thickBot="1" x14ac:dyDescent="0.3">
      <c r="B73" s="7">
        <v>44815</v>
      </c>
      <c r="C73" s="13">
        <v>21769.26</v>
      </c>
      <c r="D73" s="8">
        <v>1708</v>
      </c>
      <c r="F73" s="7">
        <v>44815</v>
      </c>
      <c r="G73" s="13">
        <v>21769.26</v>
      </c>
      <c r="H73" s="4">
        <v>21769.26</v>
      </c>
      <c r="I73" s="4">
        <v>21769.26</v>
      </c>
      <c r="J73" s="4">
        <v>1708</v>
      </c>
      <c r="K73" s="4">
        <v>1708</v>
      </c>
      <c r="L73" s="4">
        <v>1708</v>
      </c>
      <c r="M73" s="3">
        <v>26</v>
      </c>
      <c r="N73" s="3">
        <v>26</v>
      </c>
      <c r="O73" s="54">
        <v>26</v>
      </c>
    </row>
    <row r="74" spans="2:15" ht="15.75" thickBot="1" x14ac:dyDescent="0.3">
      <c r="B74" s="19">
        <v>44816</v>
      </c>
      <c r="C74" s="13">
        <v>22370.45</v>
      </c>
      <c r="D74" s="8">
        <v>1716.19995117187</v>
      </c>
      <c r="F74" s="19">
        <v>44816</v>
      </c>
      <c r="G74" s="13">
        <v>22370.45</v>
      </c>
      <c r="H74" s="4">
        <v>22370.45</v>
      </c>
      <c r="I74" s="4">
        <v>22370.45</v>
      </c>
      <c r="J74" s="4">
        <v>1716.19995117187</v>
      </c>
      <c r="K74" s="4">
        <v>1716.19995117187</v>
      </c>
      <c r="L74" s="4">
        <v>1716.19995117187</v>
      </c>
      <c r="M74" s="3">
        <v>25</v>
      </c>
      <c r="N74" s="3">
        <v>25</v>
      </c>
      <c r="O74" s="54">
        <v>25</v>
      </c>
    </row>
    <row r="75" spans="2:15" x14ac:dyDescent="0.25">
      <c r="B75" s="7">
        <v>44817</v>
      </c>
      <c r="C75" s="13">
        <v>20296.71</v>
      </c>
      <c r="D75" s="8">
        <v>1728.09997558593</v>
      </c>
      <c r="F75" s="7">
        <v>44817</v>
      </c>
      <c r="G75" s="13">
        <v>20296.71</v>
      </c>
      <c r="H75" s="4">
        <v>20296.71</v>
      </c>
      <c r="I75" s="4">
        <v>20296.71</v>
      </c>
      <c r="J75" s="4">
        <v>1728.09997558593</v>
      </c>
      <c r="K75" s="4">
        <v>1728.09997558593</v>
      </c>
      <c r="L75" s="4">
        <v>1728.09997558593</v>
      </c>
      <c r="M75" s="3">
        <v>34</v>
      </c>
      <c r="N75" s="3">
        <v>34</v>
      </c>
      <c r="O75" s="54">
        <v>34</v>
      </c>
    </row>
    <row r="76" spans="2:15" x14ac:dyDescent="0.25">
      <c r="B76" s="7">
        <v>44818</v>
      </c>
      <c r="C76" s="13">
        <v>20241.09</v>
      </c>
      <c r="D76" s="8">
        <v>1705</v>
      </c>
      <c r="F76" s="7">
        <v>44818</v>
      </c>
      <c r="G76" s="13">
        <v>20241.09</v>
      </c>
      <c r="H76" s="4">
        <v>20241.09</v>
      </c>
      <c r="I76" s="4">
        <v>20241.09</v>
      </c>
      <c r="J76" s="4">
        <v>1705</v>
      </c>
      <c r="K76" s="4">
        <v>1705</v>
      </c>
      <c r="L76" s="4">
        <v>1705</v>
      </c>
      <c r="M76" s="3">
        <v>27</v>
      </c>
      <c r="N76" s="3">
        <v>27</v>
      </c>
      <c r="O76" s="54">
        <v>27</v>
      </c>
    </row>
    <row r="77" spans="2:15" x14ac:dyDescent="0.25">
      <c r="B77" s="7">
        <v>44819</v>
      </c>
      <c r="C77" s="13">
        <v>19701.21</v>
      </c>
      <c r="D77" s="8">
        <v>1696.5</v>
      </c>
      <c r="F77" s="7">
        <v>44819</v>
      </c>
      <c r="G77" s="13">
        <v>19701.21</v>
      </c>
      <c r="H77" s="4">
        <v>19701.21</v>
      </c>
      <c r="I77" s="4">
        <v>19701.21</v>
      </c>
      <c r="J77" s="4">
        <v>1696.5</v>
      </c>
      <c r="K77" s="4">
        <v>1696.5</v>
      </c>
      <c r="L77" s="4">
        <v>1696.5</v>
      </c>
      <c r="M77" s="3">
        <v>28</v>
      </c>
      <c r="N77" s="3">
        <v>28</v>
      </c>
      <c r="O77" s="54">
        <v>28</v>
      </c>
    </row>
    <row r="78" spans="2:15" x14ac:dyDescent="0.25">
      <c r="B78" s="7">
        <v>44820</v>
      </c>
      <c r="C78" s="13">
        <v>19772.580000000002</v>
      </c>
      <c r="D78" s="8">
        <v>1665.40002441406</v>
      </c>
      <c r="F78" s="7">
        <v>44820</v>
      </c>
      <c r="G78" s="13">
        <v>19772.580000000002</v>
      </c>
      <c r="H78" s="4">
        <v>19772.580000000002</v>
      </c>
      <c r="I78" s="4">
        <v>19772.580000000002</v>
      </c>
      <c r="J78" s="4">
        <v>1665.40002441406</v>
      </c>
      <c r="K78" s="4">
        <v>1665.40002441406</v>
      </c>
      <c r="L78" s="4">
        <v>1665.40002441406</v>
      </c>
      <c r="M78" s="3">
        <v>20</v>
      </c>
      <c r="N78" s="3">
        <v>20</v>
      </c>
      <c r="O78" s="54">
        <v>20</v>
      </c>
    </row>
    <row r="79" spans="2:15" x14ac:dyDescent="0.25">
      <c r="B79" s="7">
        <v>44821</v>
      </c>
      <c r="C79" s="13">
        <v>20127.580000000002</v>
      </c>
      <c r="D79" s="8">
        <v>1671.69995117187</v>
      </c>
      <c r="F79" s="7">
        <v>44821</v>
      </c>
      <c r="G79" s="13">
        <v>20127.580000000002</v>
      </c>
      <c r="H79" s="4">
        <v>20127.580000000002</v>
      </c>
      <c r="I79" s="4">
        <v>20127.580000000002</v>
      </c>
      <c r="J79" s="4">
        <v>1671.69995117187</v>
      </c>
      <c r="K79" s="4">
        <v>1671.69995117187</v>
      </c>
      <c r="L79" s="4">
        <v>1671.69995117187</v>
      </c>
      <c r="M79" s="3">
        <v>22</v>
      </c>
      <c r="N79" s="3">
        <v>22</v>
      </c>
      <c r="O79" s="54">
        <v>22</v>
      </c>
    </row>
    <row r="80" spans="2:15" x14ac:dyDescent="0.25">
      <c r="B80" s="7">
        <v>44822</v>
      </c>
      <c r="C80" s="13">
        <v>19419.509999999998</v>
      </c>
      <c r="D80" s="8">
        <v>1665.40002441406</v>
      </c>
      <c r="F80" s="7">
        <v>44822</v>
      </c>
      <c r="G80" s="13">
        <v>19419.509999999998</v>
      </c>
      <c r="H80" s="4">
        <v>19419.509999999998</v>
      </c>
      <c r="I80" s="4">
        <v>19419.509999999998</v>
      </c>
      <c r="J80" s="4">
        <v>1665.40002441406</v>
      </c>
      <c r="K80" s="4">
        <v>1665.40002441406</v>
      </c>
      <c r="L80" s="4">
        <v>1665.40002441406</v>
      </c>
      <c r="M80" s="3">
        <v>27</v>
      </c>
      <c r="N80" s="3">
        <v>27</v>
      </c>
      <c r="O80" s="54">
        <v>27</v>
      </c>
    </row>
    <row r="81" spans="2:15" x14ac:dyDescent="0.25">
      <c r="B81" s="7">
        <v>44823</v>
      </c>
      <c r="C81" s="13">
        <v>19544.13</v>
      </c>
      <c r="D81" s="8">
        <v>1671.69995117187</v>
      </c>
      <c r="F81" s="7">
        <v>44823</v>
      </c>
      <c r="G81" s="13">
        <v>19544.13</v>
      </c>
      <c r="H81" s="4">
        <v>19544.13</v>
      </c>
      <c r="I81" s="4">
        <v>19544.13</v>
      </c>
      <c r="J81" s="4">
        <v>1671.69995117187</v>
      </c>
      <c r="K81" s="4">
        <v>1671.69995117187</v>
      </c>
      <c r="L81" s="4">
        <v>1671.69995117187</v>
      </c>
      <c r="M81" s="3">
        <v>21</v>
      </c>
      <c r="N81" s="3">
        <v>21</v>
      </c>
      <c r="O81" s="54">
        <v>21</v>
      </c>
    </row>
    <row r="82" spans="2:15" x14ac:dyDescent="0.25">
      <c r="B82" s="7">
        <v>44824</v>
      </c>
      <c r="C82" s="13">
        <v>18890.79</v>
      </c>
      <c r="D82" s="8">
        <v>1666.19995117187</v>
      </c>
      <c r="F82" s="7">
        <v>44824</v>
      </c>
      <c r="G82" s="13">
        <v>18890.79</v>
      </c>
      <c r="H82" s="4">
        <v>18890.79</v>
      </c>
      <c r="I82" s="4">
        <v>18890.79</v>
      </c>
      <c r="J82" s="4">
        <v>1666.19995117187</v>
      </c>
      <c r="K82" s="4">
        <v>1666.19995117187</v>
      </c>
      <c r="L82" s="4">
        <v>1666.19995117187</v>
      </c>
      <c r="M82" s="3">
        <v>23</v>
      </c>
      <c r="N82" s="3">
        <v>23</v>
      </c>
      <c r="O82" s="54">
        <v>23</v>
      </c>
    </row>
    <row r="83" spans="2:15" x14ac:dyDescent="0.25">
      <c r="B83" s="7">
        <v>44825</v>
      </c>
      <c r="C83" s="13">
        <v>18547.400000000001</v>
      </c>
      <c r="D83" s="8">
        <v>1659.69995117187</v>
      </c>
      <c r="F83" s="7">
        <v>44825</v>
      </c>
      <c r="G83" s="13">
        <v>18547.400000000001</v>
      </c>
      <c r="H83" s="4">
        <v>18547.400000000001</v>
      </c>
      <c r="I83" s="4">
        <v>18547.400000000001</v>
      </c>
      <c r="J83" s="4">
        <v>1659.69995117187</v>
      </c>
      <c r="K83" s="4">
        <v>1659.69995117187</v>
      </c>
      <c r="L83" s="4">
        <v>1659.69995117187</v>
      </c>
      <c r="M83" s="3">
        <v>23</v>
      </c>
      <c r="N83" s="3">
        <v>23</v>
      </c>
      <c r="O83" s="54">
        <v>23</v>
      </c>
    </row>
    <row r="84" spans="2:15" x14ac:dyDescent="0.25">
      <c r="B84" s="7">
        <v>44826</v>
      </c>
      <c r="C84" s="13">
        <v>19413.55</v>
      </c>
      <c r="D84" s="8">
        <v>1664.59997558593</v>
      </c>
      <c r="F84" s="7">
        <v>44826</v>
      </c>
      <c r="G84" s="13">
        <v>19413.55</v>
      </c>
      <c r="H84" s="4">
        <v>19413.55</v>
      </c>
      <c r="I84" s="4">
        <v>19413.55</v>
      </c>
      <c r="J84" s="4">
        <v>1664.59997558593</v>
      </c>
      <c r="K84" s="4">
        <v>1664.59997558593</v>
      </c>
      <c r="L84" s="4">
        <v>1664.59997558593</v>
      </c>
      <c r="M84" s="3">
        <v>22</v>
      </c>
      <c r="N84" s="3">
        <v>22</v>
      </c>
      <c r="O84" s="54">
        <v>22</v>
      </c>
    </row>
    <row r="85" spans="2:15" x14ac:dyDescent="0.25">
      <c r="B85" s="7">
        <v>44827</v>
      </c>
      <c r="C85" s="13">
        <v>19297.64</v>
      </c>
      <c r="D85" s="8">
        <v>1670.80004882812</v>
      </c>
      <c r="F85" s="7">
        <v>44827</v>
      </c>
      <c r="G85" s="13">
        <v>19297.64</v>
      </c>
      <c r="H85" s="4">
        <v>19297.64</v>
      </c>
      <c r="I85" s="4">
        <v>19297.64</v>
      </c>
      <c r="J85" s="4">
        <v>1670.80004882812</v>
      </c>
      <c r="K85" s="4">
        <v>1670.80004882812</v>
      </c>
      <c r="L85" s="4">
        <v>1670.80004882812</v>
      </c>
      <c r="M85" s="3">
        <v>20</v>
      </c>
      <c r="N85" s="3">
        <v>20</v>
      </c>
      <c r="O85" s="54">
        <v>20</v>
      </c>
    </row>
    <row r="86" spans="2:15" x14ac:dyDescent="0.25">
      <c r="B86" s="7">
        <v>44828</v>
      </c>
      <c r="C86" s="13">
        <v>18937.009999999998</v>
      </c>
      <c r="D86" s="8">
        <v>1645.30004882812</v>
      </c>
      <c r="F86" s="7">
        <v>44828</v>
      </c>
      <c r="G86" s="13">
        <v>18937.009999999998</v>
      </c>
      <c r="H86" s="4">
        <v>18937.009999999998</v>
      </c>
      <c r="I86" s="4">
        <v>18937.009999999998</v>
      </c>
      <c r="J86" s="4">
        <v>1645.30004882812</v>
      </c>
      <c r="K86" s="4">
        <v>1645.30004882812</v>
      </c>
      <c r="L86" s="4">
        <v>1645.30004882812</v>
      </c>
      <c r="M86" s="3">
        <v>24</v>
      </c>
      <c r="N86" s="3">
        <v>24</v>
      </c>
      <c r="O86" s="54">
        <v>24</v>
      </c>
    </row>
    <row r="87" spans="2:15" x14ac:dyDescent="0.25">
      <c r="B87" s="7">
        <v>44829</v>
      </c>
      <c r="C87" s="13">
        <v>18802.099999999999</v>
      </c>
      <c r="D87" s="8">
        <v>1670.80004882812</v>
      </c>
      <c r="F87" s="7">
        <v>44829</v>
      </c>
      <c r="G87" s="13">
        <v>18802.099999999999</v>
      </c>
      <c r="H87" s="4">
        <v>18802.099999999999</v>
      </c>
      <c r="I87" s="4">
        <v>18802.099999999999</v>
      </c>
      <c r="J87" s="4">
        <v>1670.80004882812</v>
      </c>
      <c r="K87" s="4">
        <v>1670.80004882812</v>
      </c>
      <c r="L87" s="4">
        <v>1670.80004882812</v>
      </c>
      <c r="M87" s="3">
        <v>24</v>
      </c>
      <c r="N87" s="3">
        <v>24</v>
      </c>
      <c r="O87" s="54">
        <v>24</v>
      </c>
    </row>
    <row r="88" spans="2:15" x14ac:dyDescent="0.25">
      <c r="B88" s="7">
        <v>44830</v>
      </c>
      <c r="C88" s="13">
        <v>19222.669999999998</v>
      </c>
      <c r="D88" s="8">
        <v>1645.30004882812</v>
      </c>
      <c r="F88" s="7">
        <v>44830</v>
      </c>
      <c r="G88" s="13">
        <v>19222.669999999998</v>
      </c>
      <c r="H88" s="4">
        <v>19222.669999999998</v>
      </c>
      <c r="I88" s="4">
        <v>19222.669999999998</v>
      </c>
      <c r="J88" s="4">
        <v>1645.30004882812</v>
      </c>
      <c r="K88" s="4">
        <v>1645.30004882812</v>
      </c>
      <c r="L88" s="4">
        <v>1645.30004882812</v>
      </c>
      <c r="M88" s="3">
        <v>21</v>
      </c>
      <c r="N88" s="3">
        <v>21</v>
      </c>
      <c r="O88" s="54">
        <v>21</v>
      </c>
    </row>
    <row r="89" spans="2:15" x14ac:dyDescent="0.25">
      <c r="B89" s="7">
        <v>44831</v>
      </c>
      <c r="C89" s="13">
        <v>19110.55</v>
      </c>
      <c r="D89" s="8">
        <v>1623.30004882812</v>
      </c>
      <c r="F89" s="7">
        <v>44831</v>
      </c>
      <c r="G89" s="13">
        <v>19110.55</v>
      </c>
      <c r="H89" s="4">
        <v>19110.55</v>
      </c>
      <c r="I89" s="4">
        <v>19110.55</v>
      </c>
      <c r="J89" s="4">
        <v>1623.30004882812</v>
      </c>
      <c r="K89" s="4">
        <v>1623.30004882812</v>
      </c>
      <c r="L89" s="4">
        <v>1623.30004882812</v>
      </c>
      <c r="M89" s="3">
        <v>20</v>
      </c>
      <c r="N89" s="3">
        <v>20</v>
      </c>
      <c r="O89" s="54">
        <v>20</v>
      </c>
    </row>
    <row r="90" spans="2:15" x14ac:dyDescent="0.25">
      <c r="B90" s="7">
        <v>44832</v>
      </c>
      <c r="C90" s="13">
        <v>19426.72</v>
      </c>
      <c r="D90" s="8">
        <v>1626.69995117187</v>
      </c>
      <c r="F90" s="7">
        <v>44832</v>
      </c>
      <c r="G90" s="13">
        <v>19426.72</v>
      </c>
      <c r="H90" s="4">
        <v>19426.72</v>
      </c>
      <c r="I90" s="4">
        <v>19426.72</v>
      </c>
      <c r="J90" s="4">
        <v>1626.69995117187</v>
      </c>
      <c r="K90" s="4">
        <v>1626.69995117187</v>
      </c>
      <c r="L90" s="4">
        <v>1626.69995117187</v>
      </c>
      <c r="M90" s="3">
        <v>20</v>
      </c>
      <c r="N90" s="3">
        <v>20</v>
      </c>
      <c r="O90" s="54">
        <v>20</v>
      </c>
    </row>
    <row r="91" spans="2:15" x14ac:dyDescent="0.25">
      <c r="B91" s="7">
        <v>44833</v>
      </c>
      <c r="C91" s="13">
        <v>19573.05</v>
      </c>
      <c r="D91" s="8">
        <v>1660.40002441406</v>
      </c>
      <c r="F91" s="7">
        <v>44833</v>
      </c>
      <c r="G91" s="13">
        <v>19573.05</v>
      </c>
      <c r="H91" s="4">
        <v>19573.05</v>
      </c>
      <c r="I91" s="4">
        <v>19573.05</v>
      </c>
      <c r="J91" s="4">
        <v>1660.40002441406</v>
      </c>
      <c r="K91" s="4">
        <v>1660.40002441406</v>
      </c>
      <c r="L91" s="4">
        <v>1660.40002441406</v>
      </c>
      <c r="M91" s="3">
        <v>22</v>
      </c>
      <c r="N91" s="3">
        <v>22</v>
      </c>
      <c r="O91" s="54">
        <v>22</v>
      </c>
    </row>
    <row r="92" spans="2:15" x14ac:dyDescent="0.25">
      <c r="B92" s="7">
        <v>44834</v>
      </c>
      <c r="C92" s="13">
        <v>19431.79</v>
      </c>
      <c r="D92" s="8">
        <v>1658.5</v>
      </c>
      <c r="F92" s="7">
        <v>44834</v>
      </c>
      <c r="G92" s="13">
        <v>19431.79</v>
      </c>
      <c r="H92" s="4">
        <v>19431.79</v>
      </c>
      <c r="I92" s="4">
        <v>19431.79</v>
      </c>
      <c r="J92" s="4">
        <v>1658.5</v>
      </c>
      <c r="K92" s="4">
        <v>1658.5</v>
      </c>
      <c r="L92" s="4">
        <v>1658.5</v>
      </c>
      <c r="M92" s="3">
        <v>21</v>
      </c>
      <c r="N92" s="3">
        <v>21</v>
      </c>
      <c r="O92" s="54">
        <v>21</v>
      </c>
    </row>
    <row r="93" spans="2:15" x14ac:dyDescent="0.25">
      <c r="B93" s="7">
        <v>44835</v>
      </c>
      <c r="C93" s="13">
        <v>19312.099999999999</v>
      </c>
      <c r="D93" s="8">
        <v>1662.40002441406</v>
      </c>
      <c r="F93" s="7">
        <v>44835</v>
      </c>
      <c r="G93" s="13">
        <v>19312.099999999999</v>
      </c>
      <c r="H93" s="4">
        <v>19312.099999999999</v>
      </c>
      <c r="I93" s="4">
        <v>19312.099999999999</v>
      </c>
      <c r="J93" s="4">
        <v>1662.40002441406</v>
      </c>
      <c r="K93" s="4">
        <v>1662.40002441406</v>
      </c>
      <c r="L93" s="4">
        <v>1662.40002441406</v>
      </c>
      <c r="M93" s="3">
        <v>20</v>
      </c>
      <c r="N93" s="3">
        <v>20</v>
      </c>
      <c r="O93" s="54">
        <v>20</v>
      </c>
    </row>
    <row r="94" spans="2:15" x14ac:dyDescent="0.25">
      <c r="B94" s="7">
        <v>44836</v>
      </c>
      <c r="C94" s="13">
        <v>19044.11</v>
      </c>
      <c r="D94" s="8">
        <v>1658.5</v>
      </c>
      <c r="F94" s="7">
        <v>44836</v>
      </c>
      <c r="G94" s="13">
        <v>19044.11</v>
      </c>
      <c r="H94" s="4">
        <v>19044.11</v>
      </c>
      <c r="I94" s="4">
        <v>19044.11</v>
      </c>
      <c r="J94" s="4">
        <v>1658.5</v>
      </c>
      <c r="K94" s="4">
        <v>1658.5</v>
      </c>
      <c r="L94" s="4">
        <v>1658.5</v>
      </c>
      <c r="M94" s="3">
        <v>24</v>
      </c>
      <c r="N94" s="3">
        <v>24</v>
      </c>
      <c r="O94" s="54">
        <v>24</v>
      </c>
    </row>
    <row r="95" spans="2:15" x14ac:dyDescent="0.25">
      <c r="B95" s="7">
        <v>44837</v>
      </c>
      <c r="C95" s="13">
        <v>19623.580000000002</v>
      </c>
      <c r="D95" s="8">
        <v>1662.40002441406</v>
      </c>
      <c r="F95" s="7">
        <v>44837</v>
      </c>
      <c r="G95" s="13">
        <v>19623.580000000002</v>
      </c>
      <c r="H95" s="4">
        <v>19623.580000000002</v>
      </c>
      <c r="I95" s="4">
        <v>19623.580000000002</v>
      </c>
      <c r="J95" s="4">
        <v>1662.40002441406</v>
      </c>
      <c r="K95" s="4">
        <v>1662.40002441406</v>
      </c>
      <c r="L95" s="4">
        <v>1662.40002441406</v>
      </c>
      <c r="M95" s="3">
        <v>24</v>
      </c>
      <c r="N95" s="3">
        <v>24</v>
      </c>
      <c r="O95" s="54">
        <v>24</v>
      </c>
    </row>
    <row r="96" spans="2:15" ht="15.75" thickBot="1" x14ac:dyDescent="0.3">
      <c r="B96" s="7">
        <v>44838</v>
      </c>
      <c r="C96" s="13">
        <v>20336.84</v>
      </c>
      <c r="D96" s="8">
        <v>1692.90002441406</v>
      </c>
      <c r="F96" s="7">
        <v>44838</v>
      </c>
      <c r="G96" s="13">
        <v>20336.84</v>
      </c>
      <c r="H96" s="4">
        <v>20336.84</v>
      </c>
      <c r="I96" s="4">
        <v>20336.84</v>
      </c>
      <c r="J96" s="4">
        <v>1692.90002441406</v>
      </c>
      <c r="K96" s="4">
        <v>1692.90002441406</v>
      </c>
      <c r="L96" s="4">
        <v>1692.90002441406</v>
      </c>
      <c r="M96" s="3">
        <v>20</v>
      </c>
      <c r="N96" s="3">
        <v>20</v>
      </c>
      <c r="O96" s="54">
        <v>20</v>
      </c>
    </row>
    <row r="97" spans="2:15" ht="15.75" thickBot="1" x14ac:dyDescent="0.3">
      <c r="B97" s="19">
        <v>44839</v>
      </c>
      <c r="C97" s="13">
        <v>20160.72</v>
      </c>
      <c r="D97" s="8">
        <v>1721.09997558593</v>
      </c>
      <c r="F97" s="19">
        <v>44839</v>
      </c>
      <c r="G97" s="13">
        <v>20160.72</v>
      </c>
      <c r="H97" s="4">
        <v>20160.72</v>
      </c>
      <c r="I97" s="4">
        <v>20160.72</v>
      </c>
      <c r="J97" s="4">
        <v>1721.09997558593</v>
      </c>
      <c r="K97" s="4">
        <v>1721.09997558593</v>
      </c>
      <c r="L97" s="4">
        <v>1721.09997558593</v>
      </c>
      <c r="M97" s="3">
        <v>25</v>
      </c>
      <c r="N97" s="3">
        <v>25</v>
      </c>
      <c r="O97" s="54">
        <v>25</v>
      </c>
    </row>
    <row r="98" spans="2:15" x14ac:dyDescent="0.25">
      <c r="B98" s="7">
        <v>44840</v>
      </c>
      <c r="C98" s="13">
        <v>19955.439999999999</v>
      </c>
      <c r="D98" s="8">
        <v>1711.40002441406</v>
      </c>
      <c r="F98" s="7">
        <v>44840</v>
      </c>
      <c r="G98" s="13">
        <v>19955.439999999999</v>
      </c>
      <c r="H98" s="4">
        <v>19955.439999999999</v>
      </c>
      <c r="I98" s="4">
        <v>19955.439999999999</v>
      </c>
      <c r="J98" s="4">
        <v>1711.40002441406</v>
      </c>
      <c r="K98" s="4">
        <v>1711.40002441406</v>
      </c>
      <c r="L98" s="4">
        <v>1711.40002441406</v>
      </c>
      <c r="M98" s="3">
        <v>26</v>
      </c>
      <c r="N98" s="3">
        <v>26</v>
      </c>
      <c r="O98" s="54">
        <v>26</v>
      </c>
    </row>
    <row r="99" spans="2:15" x14ac:dyDescent="0.25">
      <c r="B99" s="7">
        <v>44841</v>
      </c>
      <c r="C99" s="13">
        <v>19546.849999999999</v>
      </c>
      <c r="D99" s="8">
        <v>1711.69995117187</v>
      </c>
      <c r="F99" s="7">
        <v>44841</v>
      </c>
      <c r="G99" s="13">
        <v>19546.849999999999</v>
      </c>
      <c r="H99" s="4">
        <v>19546.849999999999</v>
      </c>
      <c r="I99" s="4">
        <v>19546.849999999999</v>
      </c>
      <c r="J99" s="4">
        <v>1711.69995117187</v>
      </c>
      <c r="K99" s="4">
        <v>1711.69995117187</v>
      </c>
      <c r="L99" s="4">
        <v>1711.69995117187</v>
      </c>
      <c r="M99" s="3">
        <v>23</v>
      </c>
      <c r="N99" s="3">
        <v>23</v>
      </c>
      <c r="O99" s="54">
        <v>23</v>
      </c>
    </row>
    <row r="100" spans="2:15" x14ac:dyDescent="0.25">
      <c r="B100" s="7">
        <v>44842</v>
      </c>
      <c r="C100" s="13">
        <v>19416.57</v>
      </c>
      <c r="D100" s="8">
        <v>1700.5</v>
      </c>
      <c r="F100" s="7">
        <v>44842</v>
      </c>
      <c r="G100" s="13">
        <v>19416.57</v>
      </c>
      <c r="H100" s="4">
        <v>19416.57</v>
      </c>
      <c r="I100" s="4">
        <v>19416.57</v>
      </c>
      <c r="J100" s="4">
        <v>1700.5</v>
      </c>
      <c r="K100" s="4">
        <v>1700.5</v>
      </c>
      <c r="L100" s="4">
        <v>1700.5</v>
      </c>
      <c r="M100" s="3">
        <v>24</v>
      </c>
      <c r="N100" s="3">
        <v>24</v>
      </c>
      <c r="O100" s="54">
        <v>24</v>
      </c>
    </row>
    <row r="101" spans="2:15" x14ac:dyDescent="0.25">
      <c r="B101" s="7">
        <v>44843</v>
      </c>
      <c r="C101" s="13">
        <v>19446.43</v>
      </c>
      <c r="D101" s="8">
        <v>1711.69995117187</v>
      </c>
      <c r="F101" s="7">
        <v>44843</v>
      </c>
      <c r="G101" s="13">
        <v>19446.43</v>
      </c>
      <c r="H101" s="4">
        <v>19446.43</v>
      </c>
      <c r="I101" s="4">
        <v>19446.43</v>
      </c>
      <c r="J101" s="4">
        <v>1711.69995117187</v>
      </c>
      <c r="K101" s="4">
        <v>1711.69995117187</v>
      </c>
      <c r="L101" s="4">
        <v>1711.69995117187</v>
      </c>
      <c r="M101" s="3">
        <v>22</v>
      </c>
      <c r="N101" s="3">
        <v>22</v>
      </c>
      <c r="O101" s="54">
        <v>22</v>
      </c>
    </row>
    <row r="102" spans="2:15" x14ac:dyDescent="0.25">
      <c r="B102" s="7">
        <v>44844</v>
      </c>
      <c r="C102" s="13">
        <v>19141.48</v>
      </c>
      <c r="D102" s="8">
        <v>1700.5</v>
      </c>
      <c r="F102" s="7">
        <v>44844</v>
      </c>
      <c r="G102" s="13">
        <v>19141.48</v>
      </c>
      <c r="H102" s="4">
        <v>19141.48</v>
      </c>
      <c r="I102" s="4">
        <v>19141.48</v>
      </c>
      <c r="J102" s="4">
        <v>1700.5</v>
      </c>
      <c r="K102" s="4">
        <v>1700.5</v>
      </c>
      <c r="L102" s="4">
        <v>1700.5</v>
      </c>
      <c r="M102" s="3">
        <v>22</v>
      </c>
      <c r="N102" s="3">
        <v>22</v>
      </c>
      <c r="O102" s="54">
        <v>22</v>
      </c>
    </row>
    <row r="103" spans="2:15" x14ac:dyDescent="0.25">
      <c r="B103" s="7">
        <v>44845</v>
      </c>
      <c r="C103" s="13">
        <v>19051.419999999998</v>
      </c>
      <c r="D103" s="8">
        <v>1667.30004882812</v>
      </c>
      <c r="F103" s="7">
        <v>44845</v>
      </c>
      <c r="G103" s="13">
        <v>19051.419999999998</v>
      </c>
      <c r="H103" s="4">
        <v>19051.419999999998</v>
      </c>
      <c r="I103" s="4">
        <v>19051.419999999998</v>
      </c>
      <c r="J103" s="4">
        <v>1667.30004882812</v>
      </c>
      <c r="K103" s="4">
        <v>1667.30004882812</v>
      </c>
      <c r="L103" s="4">
        <v>1667.30004882812</v>
      </c>
      <c r="M103" s="3">
        <v>24</v>
      </c>
      <c r="N103" s="3">
        <v>24</v>
      </c>
      <c r="O103" s="54">
        <v>24</v>
      </c>
    </row>
    <row r="104" spans="2:15" x14ac:dyDescent="0.25">
      <c r="B104" s="7">
        <v>44846</v>
      </c>
      <c r="C104" s="13">
        <v>19157.45</v>
      </c>
      <c r="D104" s="8">
        <v>1678.69995117187</v>
      </c>
      <c r="F104" s="7">
        <v>44846</v>
      </c>
      <c r="G104" s="13">
        <v>19157.45</v>
      </c>
      <c r="H104" s="4">
        <v>19157.45</v>
      </c>
      <c r="I104" s="4">
        <v>19157.45</v>
      </c>
      <c r="J104" s="4">
        <v>1678.69995117187</v>
      </c>
      <c r="K104" s="4">
        <v>1678.69995117187</v>
      </c>
      <c r="L104" s="4">
        <v>1678.69995117187</v>
      </c>
      <c r="M104" s="3">
        <v>20</v>
      </c>
      <c r="N104" s="3">
        <v>20</v>
      </c>
      <c r="O104" s="54">
        <v>20</v>
      </c>
    </row>
    <row r="105" spans="2:15" x14ac:dyDescent="0.25">
      <c r="B105" s="7">
        <v>44847</v>
      </c>
      <c r="C105" s="13">
        <v>19382.900000000001</v>
      </c>
      <c r="D105" s="8">
        <v>1670.30004882812</v>
      </c>
      <c r="F105" s="7">
        <v>44847</v>
      </c>
      <c r="G105" s="13">
        <v>19382.900000000001</v>
      </c>
      <c r="H105" s="4">
        <v>19382.900000000001</v>
      </c>
      <c r="I105" s="4">
        <v>19382.900000000001</v>
      </c>
      <c r="J105" s="4">
        <v>1670.30004882812</v>
      </c>
      <c r="K105" s="4">
        <v>1670.30004882812</v>
      </c>
      <c r="L105" s="4">
        <v>1670.30004882812</v>
      </c>
      <c r="M105" s="3">
        <v>20</v>
      </c>
      <c r="N105" s="3">
        <v>20</v>
      </c>
      <c r="O105" s="54">
        <v>20</v>
      </c>
    </row>
    <row r="106" spans="2:15" x14ac:dyDescent="0.25">
      <c r="B106" s="7">
        <v>44848</v>
      </c>
      <c r="C106" s="13">
        <v>19185.66</v>
      </c>
      <c r="D106" s="8">
        <v>1670</v>
      </c>
      <c r="F106" s="7">
        <v>44848</v>
      </c>
      <c r="G106" s="13">
        <v>19185.66</v>
      </c>
      <c r="H106" s="4">
        <v>19185.66</v>
      </c>
      <c r="I106" s="4">
        <v>19185.66</v>
      </c>
      <c r="J106" s="4">
        <v>1670</v>
      </c>
      <c r="K106" s="4">
        <v>1670</v>
      </c>
      <c r="L106" s="4">
        <v>1670</v>
      </c>
      <c r="M106" s="3">
        <v>24</v>
      </c>
      <c r="N106" s="3">
        <v>24</v>
      </c>
      <c r="O106" s="54">
        <v>24</v>
      </c>
    </row>
    <row r="107" spans="2:15" x14ac:dyDescent="0.25">
      <c r="B107" s="7">
        <v>44849</v>
      </c>
      <c r="C107" s="13">
        <v>19067.63</v>
      </c>
      <c r="D107" s="8">
        <v>1641.69995117187</v>
      </c>
      <c r="F107" s="7">
        <v>44849</v>
      </c>
      <c r="G107" s="13">
        <v>19067.63</v>
      </c>
      <c r="H107" s="4">
        <v>19067.63</v>
      </c>
      <c r="I107" s="4">
        <v>19067.63</v>
      </c>
      <c r="J107" s="4">
        <v>1641.69995117187</v>
      </c>
      <c r="K107" s="4">
        <v>1641.69995117187</v>
      </c>
      <c r="L107" s="4">
        <v>1641.69995117187</v>
      </c>
      <c r="M107" s="3">
        <v>24</v>
      </c>
      <c r="N107" s="3">
        <v>24</v>
      </c>
      <c r="O107" s="54">
        <v>24</v>
      </c>
    </row>
    <row r="108" spans="2:15" x14ac:dyDescent="0.25">
      <c r="B108" s="7">
        <v>44850</v>
      </c>
      <c r="C108" s="13">
        <v>19268.09</v>
      </c>
      <c r="D108" s="8">
        <v>1670</v>
      </c>
      <c r="F108" s="7">
        <v>44850</v>
      </c>
      <c r="G108" s="13">
        <v>19268.09</v>
      </c>
      <c r="H108" s="4">
        <v>19268.09</v>
      </c>
      <c r="I108" s="4">
        <v>19268.09</v>
      </c>
      <c r="J108" s="4">
        <v>1670</v>
      </c>
      <c r="K108" s="4">
        <v>1670</v>
      </c>
      <c r="L108" s="4">
        <v>1670</v>
      </c>
      <c r="M108" s="3">
        <v>24</v>
      </c>
      <c r="N108" s="3">
        <v>24</v>
      </c>
      <c r="O108" s="54">
        <v>24</v>
      </c>
    </row>
    <row r="109" spans="2:15" x14ac:dyDescent="0.25">
      <c r="B109" s="7">
        <v>44851</v>
      </c>
      <c r="C109" s="13">
        <v>19550.759999999998</v>
      </c>
      <c r="D109" s="8">
        <v>1641.69995117187</v>
      </c>
      <c r="F109" s="7">
        <v>44851</v>
      </c>
      <c r="G109" s="13">
        <v>19550.759999999998</v>
      </c>
      <c r="H109" s="4">
        <v>19550.759999999998</v>
      </c>
      <c r="I109" s="4">
        <v>19550.759999999998</v>
      </c>
      <c r="J109" s="4">
        <v>1641.69995117187</v>
      </c>
      <c r="K109" s="4">
        <v>1641.69995117187</v>
      </c>
      <c r="L109" s="4">
        <v>1641.69995117187</v>
      </c>
      <c r="M109" s="3">
        <v>20</v>
      </c>
      <c r="N109" s="3">
        <v>20</v>
      </c>
      <c r="O109" s="54">
        <v>20</v>
      </c>
    </row>
    <row r="110" spans="2:15" x14ac:dyDescent="0.25">
      <c r="B110" s="7">
        <v>44852</v>
      </c>
      <c r="C110" s="13">
        <v>19334.419999999998</v>
      </c>
      <c r="D110" s="8">
        <v>1657</v>
      </c>
      <c r="F110" s="7">
        <v>44852</v>
      </c>
      <c r="G110" s="13">
        <v>19334.419999999998</v>
      </c>
      <c r="H110" s="4">
        <v>19334.419999999998</v>
      </c>
      <c r="I110" s="4">
        <v>19334.419999999998</v>
      </c>
      <c r="J110" s="4">
        <v>1657</v>
      </c>
      <c r="K110" s="4">
        <v>1657</v>
      </c>
      <c r="L110" s="4">
        <v>1657</v>
      </c>
      <c r="M110" s="3">
        <v>22</v>
      </c>
      <c r="N110" s="3">
        <v>22</v>
      </c>
      <c r="O110" s="54">
        <v>22</v>
      </c>
    </row>
    <row r="111" spans="2:15" x14ac:dyDescent="0.25">
      <c r="B111" s="7">
        <v>44853</v>
      </c>
      <c r="C111" s="13">
        <v>19139.54</v>
      </c>
      <c r="D111" s="8">
        <v>1649</v>
      </c>
      <c r="F111" s="7">
        <v>44853</v>
      </c>
      <c r="G111" s="13">
        <v>19139.54</v>
      </c>
      <c r="H111" s="4">
        <v>19139.54</v>
      </c>
      <c r="I111" s="4">
        <v>19139.54</v>
      </c>
      <c r="J111" s="4">
        <v>1649</v>
      </c>
      <c r="K111" s="4">
        <v>1649</v>
      </c>
      <c r="L111" s="4">
        <v>1649</v>
      </c>
      <c r="M111" s="3">
        <v>23</v>
      </c>
      <c r="N111" s="3">
        <v>23</v>
      </c>
      <c r="O111" s="54">
        <v>23</v>
      </c>
    </row>
    <row r="112" spans="2:15" x14ac:dyDescent="0.25">
      <c r="B112" s="7">
        <v>44854</v>
      </c>
      <c r="C112" s="13">
        <v>19053.740000000002</v>
      </c>
      <c r="D112" s="8">
        <v>1627.5</v>
      </c>
      <c r="F112" s="7">
        <v>44854</v>
      </c>
      <c r="G112" s="13">
        <v>19053.740000000002</v>
      </c>
      <c r="H112" s="4">
        <v>19053.740000000002</v>
      </c>
      <c r="I112" s="4">
        <v>19053.740000000002</v>
      </c>
      <c r="J112" s="4">
        <v>1627.5</v>
      </c>
      <c r="K112" s="4">
        <v>1627.5</v>
      </c>
      <c r="L112" s="4">
        <v>1627.5</v>
      </c>
      <c r="M112" s="3">
        <v>23</v>
      </c>
      <c r="N112" s="3">
        <v>23</v>
      </c>
      <c r="O112" s="54">
        <v>23</v>
      </c>
    </row>
    <row r="113" spans="2:15" x14ac:dyDescent="0.25">
      <c r="B113" s="7">
        <v>44855</v>
      </c>
      <c r="C113" s="13">
        <v>19172.47</v>
      </c>
      <c r="D113" s="8">
        <v>1630.80004882812</v>
      </c>
      <c r="F113" s="7">
        <v>44855</v>
      </c>
      <c r="G113" s="13">
        <v>19172.47</v>
      </c>
      <c r="H113" s="4">
        <v>19172.47</v>
      </c>
      <c r="I113" s="4">
        <v>19172.47</v>
      </c>
      <c r="J113" s="4">
        <v>1630.80004882812</v>
      </c>
      <c r="K113" s="4">
        <v>1630.80004882812</v>
      </c>
      <c r="L113" s="4">
        <v>1630.80004882812</v>
      </c>
      <c r="M113" s="3">
        <v>23</v>
      </c>
      <c r="N113" s="3">
        <v>23</v>
      </c>
      <c r="O113" s="54">
        <v>23</v>
      </c>
    </row>
    <row r="114" spans="2:15" x14ac:dyDescent="0.25">
      <c r="B114" s="7">
        <v>44856</v>
      </c>
      <c r="C114" s="13">
        <v>19208.189999999999</v>
      </c>
      <c r="D114" s="8">
        <v>1651</v>
      </c>
      <c r="F114" s="7">
        <v>44856</v>
      </c>
      <c r="G114" s="13">
        <v>19208.189999999999</v>
      </c>
      <c r="H114" s="4">
        <v>19208.189999999999</v>
      </c>
      <c r="I114" s="4">
        <v>19208.189999999999</v>
      </c>
      <c r="J114" s="4">
        <v>1651</v>
      </c>
      <c r="K114" s="4">
        <v>1651</v>
      </c>
      <c r="L114" s="4">
        <v>1651</v>
      </c>
      <c r="M114" s="3">
        <v>20</v>
      </c>
      <c r="N114" s="3">
        <v>20</v>
      </c>
      <c r="O114" s="54">
        <v>20</v>
      </c>
    </row>
    <row r="115" spans="2:15" x14ac:dyDescent="0.25">
      <c r="B115" s="7">
        <v>44857</v>
      </c>
      <c r="C115" s="13">
        <v>19567.009999999998</v>
      </c>
      <c r="D115" s="8">
        <v>1630.80004882812</v>
      </c>
      <c r="F115" s="7">
        <v>44857</v>
      </c>
      <c r="G115" s="13">
        <v>19567.009999999998</v>
      </c>
      <c r="H115" s="4">
        <v>19567.009999999998</v>
      </c>
      <c r="I115" s="4">
        <v>19567.009999999998</v>
      </c>
      <c r="J115" s="4">
        <v>1630.80004882812</v>
      </c>
      <c r="K115" s="4">
        <v>1630.80004882812</v>
      </c>
      <c r="L115" s="4">
        <v>1630.80004882812</v>
      </c>
      <c r="M115" s="3">
        <v>23</v>
      </c>
      <c r="N115" s="3">
        <v>23</v>
      </c>
      <c r="O115" s="54">
        <v>23</v>
      </c>
    </row>
    <row r="116" spans="2:15" x14ac:dyDescent="0.25">
      <c r="B116" s="7">
        <v>44858</v>
      </c>
      <c r="C116" s="13">
        <v>19345.57</v>
      </c>
      <c r="D116" s="8">
        <v>1651</v>
      </c>
      <c r="F116" s="7">
        <v>44858</v>
      </c>
      <c r="G116" s="13">
        <v>19345.57</v>
      </c>
      <c r="H116" s="4">
        <v>19345.57</v>
      </c>
      <c r="I116" s="4">
        <v>19345.57</v>
      </c>
      <c r="J116" s="4">
        <v>1651</v>
      </c>
      <c r="K116" s="4">
        <v>1651</v>
      </c>
      <c r="L116" s="4">
        <v>1651</v>
      </c>
      <c r="M116" s="3">
        <v>22</v>
      </c>
      <c r="N116" s="3">
        <v>22</v>
      </c>
      <c r="O116" s="54">
        <v>22</v>
      </c>
    </row>
    <row r="117" spans="2:15" x14ac:dyDescent="0.25">
      <c r="B117" s="7">
        <v>44859</v>
      </c>
      <c r="C117" s="13">
        <v>20095.86</v>
      </c>
      <c r="D117" s="8">
        <v>1648.69995117187</v>
      </c>
      <c r="F117" s="7">
        <v>44859</v>
      </c>
      <c r="G117" s="13">
        <v>20095.86</v>
      </c>
      <c r="H117" s="4">
        <v>20095.86</v>
      </c>
      <c r="I117" s="4">
        <v>20095.86</v>
      </c>
      <c r="J117" s="4">
        <v>1648.69995117187</v>
      </c>
      <c r="K117" s="4">
        <v>1648.69995117187</v>
      </c>
      <c r="L117" s="4">
        <v>1648.69995117187</v>
      </c>
      <c r="M117" s="3">
        <v>20</v>
      </c>
      <c r="N117" s="3">
        <v>20</v>
      </c>
      <c r="O117" s="54">
        <v>20</v>
      </c>
    </row>
    <row r="118" spans="2:15" x14ac:dyDescent="0.25">
      <c r="B118" s="7">
        <v>44860</v>
      </c>
      <c r="C118" s="13">
        <v>20770.439999999999</v>
      </c>
      <c r="D118" s="8">
        <v>1652.80004882812</v>
      </c>
      <c r="F118" s="7">
        <v>44860</v>
      </c>
      <c r="G118" s="13">
        <v>20770.439999999999</v>
      </c>
      <c r="H118" s="4">
        <v>20770.439999999999</v>
      </c>
      <c r="I118" s="4">
        <v>20770.439999999999</v>
      </c>
      <c r="J118" s="4">
        <v>1652.80004882812</v>
      </c>
      <c r="K118" s="4">
        <v>1652.80004882812</v>
      </c>
      <c r="L118" s="4">
        <v>1652.80004882812</v>
      </c>
      <c r="M118" s="3">
        <v>33</v>
      </c>
      <c r="N118" s="3">
        <v>33</v>
      </c>
      <c r="O118" s="54">
        <v>33</v>
      </c>
    </row>
    <row r="119" spans="2:15" x14ac:dyDescent="0.25">
      <c r="B119" s="7">
        <v>44861</v>
      </c>
      <c r="C119" s="13">
        <v>20285.84</v>
      </c>
      <c r="D119" s="8">
        <v>1664</v>
      </c>
      <c r="F119" s="7">
        <v>44861</v>
      </c>
      <c r="G119" s="13">
        <v>20285.84</v>
      </c>
      <c r="H119" s="4">
        <v>20285.84</v>
      </c>
      <c r="I119" s="4">
        <v>20285.84</v>
      </c>
      <c r="J119" s="4">
        <v>1664</v>
      </c>
      <c r="K119" s="4">
        <v>1664</v>
      </c>
      <c r="L119" s="4">
        <v>1664</v>
      </c>
      <c r="M119" s="3">
        <v>32</v>
      </c>
      <c r="N119" s="3">
        <v>32</v>
      </c>
      <c r="O119" s="54">
        <v>32</v>
      </c>
    </row>
    <row r="120" spans="2:15" x14ac:dyDescent="0.25">
      <c r="B120" s="7">
        <v>44862</v>
      </c>
      <c r="C120" s="13">
        <v>20595.349999999999</v>
      </c>
      <c r="D120" s="8">
        <v>1660.69995117187</v>
      </c>
      <c r="F120" s="7">
        <v>44862</v>
      </c>
      <c r="G120" s="13">
        <v>20595.349999999999</v>
      </c>
      <c r="H120" s="4">
        <v>20595.349999999999</v>
      </c>
      <c r="I120" s="4">
        <v>20595.349999999999</v>
      </c>
      <c r="J120" s="4">
        <v>1660.69995117187</v>
      </c>
      <c r="K120" s="4">
        <v>1660.69995117187</v>
      </c>
      <c r="L120" s="4">
        <v>1660.69995117187</v>
      </c>
      <c r="M120" s="3">
        <v>30</v>
      </c>
      <c r="N120" s="3">
        <v>30</v>
      </c>
      <c r="O120" s="54">
        <v>30</v>
      </c>
    </row>
    <row r="121" spans="2:15" x14ac:dyDescent="0.25">
      <c r="B121" s="7">
        <v>44863</v>
      </c>
      <c r="C121" s="13">
        <v>20818.48</v>
      </c>
      <c r="D121" s="8">
        <v>1639.59997558593</v>
      </c>
      <c r="F121" s="7">
        <v>44863</v>
      </c>
      <c r="G121" s="13">
        <v>20818.48</v>
      </c>
      <c r="H121" s="4">
        <v>20818.48</v>
      </c>
      <c r="I121" s="4">
        <v>20818.48</v>
      </c>
      <c r="J121" s="4">
        <v>1639.59997558593</v>
      </c>
      <c r="K121" s="4">
        <v>1639.59997558593</v>
      </c>
      <c r="L121" s="4">
        <v>1639.59997558593</v>
      </c>
      <c r="M121" s="3">
        <v>34</v>
      </c>
      <c r="N121" s="3">
        <v>34</v>
      </c>
      <c r="O121" s="54">
        <v>34</v>
      </c>
    </row>
    <row r="122" spans="2:15" x14ac:dyDescent="0.25">
      <c r="B122" s="7">
        <v>44864</v>
      </c>
      <c r="C122" s="13">
        <v>20635.599999999999</v>
      </c>
      <c r="D122" s="8">
        <v>1660.69995117187</v>
      </c>
      <c r="F122" s="7">
        <v>44864</v>
      </c>
      <c r="G122" s="13">
        <v>20635.599999999999</v>
      </c>
      <c r="H122" s="4">
        <v>20635.599999999999</v>
      </c>
      <c r="I122" s="4">
        <v>20635.599999999999</v>
      </c>
      <c r="J122" s="4">
        <v>1660.69995117187</v>
      </c>
      <c r="K122" s="4">
        <v>1660.69995117187</v>
      </c>
      <c r="L122" s="4">
        <v>1660.69995117187</v>
      </c>
      <c r="M122" s="3">
        <v>34</v>
      </c>
      <c r="N122" s="3">
        <v>34</v>
      </c>
      <c r="O122" s="54">
        <v>34</v>
      </c>
    </row>
    <row r="123" spans="2:15" x14ac:dyDescent="0.25">
      <c r="B123" s="7">
        <v>44865</v>
      </c>
      <c r="C123" s="13">
        <v>20495.77</v>
      </c>
      <c r="D123" s="8">
        <v>1639.59997558593</v>
      </c>
      <c r="F123" s="7">
        <v>44865</v>
      </c>
      <c r="G123" s="13">
        <v>20495.77</v>
      </c>
      <c r="H123" s="4">
        <v>20495.77</v>
      </c>
      <c r="I123" s="4">
        <v>20495.77</v>
      </c>
      <c r="J123" s="4">
        <v>1639.59997558593</v>
      </c>
      <c r="K123" s="4">
        <v>1639.59997558593</v>
      </c>
      <c r="L123" s="4">
        <v>1639.59997558593</v>
      </c>
      <c r="M123" s="3">
        <v>31</v>
      </c>
      <c r="N123" s="3">
        <v>31</v>
      </c>
      <c r="O123" s="54">
        <v>31</v>
      </c>
    </row>
    <row r="124" spans="2:15" x14ac:dyDescent="0.25">
      <c r="B124" s="7">
        <v>44866</v>
      </c>
      <c r="C124" s="13">
        <v>20485.27</v>
      </c>
      <c r="D124" s="8">
        <v>1635.90002441406</v>
      </c>
      <c r="F124" s="7">
        <v>44866</v>
      </c>
      <c r="G124" s="13">
        <v>20485.27</v>
      </c>
      <c r="H124" s="4">
        <v>20485.27</v>
      </c>
      <c r="I124" s="4">
        <v>20485.27</v>
      </c>
      <c r="J124" s="4">
        <v>1635.90002441406</v>
      </c>
      <c r="K124" s="4">
        <v>1635.90002441406</v>
      </c>
      <c r="L124" s="4">
        <v>1635.90002441406</v>
      </c>
      <c r="M124" s="3">
        <v>30</v>
      </c>
      <c r="N124" s="3">
        <v>30</v>
      </c>
      <c r="O124" s="54">
        <v>30</v>
      </c>
    </row>
    <row r="125" spans="2:15" x14ac:dyDescent="0.25">
      <c r="B125" s="7">
        <v>44867</v>
      </c>
      <c r="C125" s="13">
        <v>20159.5</v>
      </c>
      <c r="D125" s="8">
        <v>1645</v>
      </c>
      <c r="F125" s="7">
        <v>44867</v>
      </c>
      <c r="G125" s="13">
        <v>20159.5</v>
      </c>
      <c r="H125" s="4">
        <v>20159.5</v>
      </c>
      <c r="I125" s="4">
        <v>20159.5</v>
      </c>
      <c r="J125" s="4">
        <v>1645</v>
      </c>
      <c r="K125" s="4">
        <v>1645</v>
      </c>
      <c r="L125" s="4">
        <v>1645</v>
      </c>
      <c r="M125" s="3">
        <v>30</v>
      </c>
      <c r="N125" s="3">
        <v>30</v>
      </c>
      <c r="O125" s="54">
        <v>30</v>
      </c>
    </row>
    <row r="126" spans="2:15" x14ac:dyDescent="0.25">
      <c r="B126" s="7">
        <v>44868</v>
      </c>
      <c r="C126" s="13">
        <v>20209.990000000002</v>
      </c>
      <c r="D126" s="8">
        <v>1645.69995117187</v>
      </c>
      <c r="F126" s="7">
        <v>44868</v>
      </c>
      <c r="G126" s="13">
        <v>20209.990000000002</v>
      </c>
      <c r="H126" s="4">
        <v>20209.990000000002</v>
      </c>
      <c r="I126" s="4">
        <v>20209.990000000002</v>
      </c>
      <c r="J126" s="4">
        <v>1645.69995117187</v>
      </c>
      <c r="K126" s="4">
        <v>1645.69995117187</v>
      </c>
      <c r="L126" s="4">
        <v>1645.69995117187</v>
      </c>
      <c r="M126" s="3">
        <v>30</v>
      </c>
      <c r="N126" s="3">
        <v>30</v>
      </c>
      <c r="O126" s="54">
        <v>30</v>
      </c>
    </row>
    <row r="127" spans="2:15" x14ac:dyDescent="0.25">
      <c r="B127" s="7">
        <v>44869</v>
      </c>
      <c r="C127" s="13">
        <v>21147.23</v>
      </c>
      <c r="D127" s="8">
        <v>1627.30004882812</v>
      </c>
      <c r="F127" s="7">
        <v>44869</v>
      </c>
      <c r="G127" s="13">
        <v>21147.23</v>
      </c>
      <c r="H127" s="4">
        <v>21147.23</v>
      </c>
      <c r="I127" s="4">
        <v>21147.23</v>
      </c>
      <c r="J127" s="4">
        <v>1627.30004882812</v>
      </c>
      <c r="K127" s="4">
        <v>1627.30004882812</v>
      </c>
      <c r="L127" s="4">
        <v>1627.30004882812</v>
      </c>
      <c r="M127" s="3">
        <v>30</v>
      </c>
      <c r="N127" s="3">
        <v>30</v>
      </c>
      <c r="O127" s="54">
        <v>30</v>
      </c>
    </row>
    <row r="128" spans="2:15" x14ac:dyDescent="0.25">
      <c r="B128" s="7">
        <v>44870</v>
      </c>
      <c r="C128" s="13">
        <v>21282.69</v>
      </c>
      <c r="D128" s="8">
        <v>1672.5</v>
      </c>
      <c r="F128" s="7">
        <v>44870</v>
      </c>
      <c r="G128" s="13">
        <v>21282.69</v>
      </c>
      <c r="H128" s="4">
        <v>21282.69</v>
      </c>
      <c r="I128" s="4">
        <v>21282.69</v>
      </c>
      <c r="J128" s="4">
        <v>1672.5</v>
      </c>
      <c r="K128" s="4">
        <v>1672.5</v>
      </c>
      <c r="L128" s="4">
        <v>1672.5</v>
      </c>
      <c r="M128" s="3">
        <v>38</v>
      </c>
      <c r="N128" s="3">
        <v>38</v>
      </c>
      <c r="O128" s="54">
        <v>38</v>
      </c>
    </row>
    <row r="129" spans="2:15" x14ac:dyDescent="0.25">
      <c r="B129" s="7">
        <v>44871</v>
      </c>
      <c r="C129" s="13">
        <v>20926.490000000002</v>
      </c>
      <c r="D129" s="8">
        <v>1627.30004882812</v>
      </c>
      <c r="F129" s="7">
        <v>44871</v>
      </c>
      <c r="G129" s="13">
        <v>20926.490000000002</v>
      </c>
      <c r="H129" s="4">
        <v>20926.490000000002</v>
      </c>
      <c r="I129" s="4">
        <v>20926.490000000002</v>
      </c>
      <c r="J129" s="4">
        <v>1627.30004882812</v>
      </c>
      <c r="K129" s="4">
        <v>1627.30004882812</v>
      </c>
      <c r="L129" s="4">
        <v>1627.30004882812</v>
      </c>
      <c r="M129" s="3">
        <v>40</v>
      </c>
      <c r="N129" s="3">
        <v>40</v>
      </c>
      <c r="O129" s="54">
        <v>40</v>
      </c>
    </row>
    <row r="130" spans="2:15" x14ac:dyDescent="0.25">
      <c r="B130" s="7">
        <v>44872</v>
      </c>
      <c r="C130" s="13">
        <v>20602.82</v>
      </c>
      <c r="D130" s="8">
        <v>1672.5</v>
      </c>
      <c r="F130" s="7">
        <v>44872</v>
      </c>
      <c r="G130" s="13">
        <v>20602.82</v>
      </c>
      <c r="H130" s="4">
        <v>20602.82</v>
      </c>
      <c r="I130" s="4">
        <v>20602.82</v>
      </c>
      <c r="J130" s="4">
        <v>1672.5</v>
      </c>
      <c r="K130" s="4">
        <v>1672.5</v>
      </c>
      <c r="L130" s="4">
        <v>1672.5</v>
      </c>
      <c r="M130" s="3">
        <v>33</v>
      </c>
      <c r="N130" s="3">
        <v>33</v>
      </c>
      <c r="O130" s="54">
        <v>33</v>
      </c>
    </row>
    <row r="131" spans="2:15" x14ac:dyDescent="0.25">
      <c r="B131" s="7">
        <v>44873</v>
      </c>
      <c r="C131" s="13">
        <v>18541.27</v>
      </c>
      <c r="D131" s="8">
        <v>1676.5</v>
      </c>
      <c r="F131" s="7">
        <v>44873</v>
      </c>
      <c r="G131" s="13">
        <v>18541.27</v>
      </c>
      <c r="H131" s="4">
        <v>18541.27</v>
      </c>
      <c r="I131" s="4">
        <v>18541.27</v>
      </c>
      <c r="J131" s="4">
        <v>1676.5</v>
      </c>
      <c r="K131" s="4">
        <v>1676.5</v>
      </c>
      <c r="L131" s="4">
        <v>1676.5</v>
      </c>
      <c r="M131" s="3">
        <v>31</v>
      </c>
      <c r="N131" s="3">
        <v>31</v>
      </c>
      <c r="O131" s="54">
        <v>31</v>
      </c>
    </row>
    <row r="132" spans="2:15" x14ac:dyDescent="0.25">
      <c r="B132" s="7">
        <v>44874</v>
      </c>
      <c r="C132" s="13">
        <v>15880.78</v>
      </c>
      <c r="D132" s="8">
        <v>1712.09997558593</v>
      </c>
      <c r="F132" s="7">
        <v>44874</v>
      </c>
      <c r="G132" s="13">
        <v>15880.78</v>
      </c>
      <c r="H132" s="4">
        <v>15880.78</v>
      </c>
      <c r="I132" s="4">
        <v>15880.78</v>
      </c>
      <c r="J132" s="4">
        <v>1712.09997558593</v>
      </c>
      <c r="K132" s="4">
        <v>1712.09997558593</v>
      </c>
      <c r="L132" s="4">
        <v>1712.09997558593</v>
      </c>
      <c r="M132" s="3">
        <v>29</v>
      </c>
      <c r="N132" s="3">
        <v>29</v>
      </c>
      <c r="O132" s="54">
        <v>29</v>
      </c>
    </row>
    <row r="133" spans="2:15" ht="15.75" thickBot="1" x14ac:dyDescent="0.3">
      <c r="B133" s="7">
        <v>44875</v>
      </c>
      <c r="C133" s="13">
        <v>17586.77</v>
      </c>
      <c r="D133" s="8">
        <v>1710.09997558593</v>
      </c>
      <c r="F133" s="7">
        <v>44875</v>
      </c>
      <c r="G133" s="13">
        <v>17586.77</v>
      </c>
      <c r="H133" s="4">
        <v>17586.77</v>
      </c>
      <c r="I133" s="4">
        <v>17586.77</v>
      </c>
      <c r="J133" s="4">
        <v>1710.09997558593</v>
      </c>
      <c r="K133" s="4">
        <v>1710.09997558593</v>
      </c>
      <c r="L133" s="4">
        <v>1710.09997558593</v>
      </c>
      <c r="M133" s="3">
        <v>22</v>
      </c>
      <c r="N133" s="3">
        <v>22</v>
      </c>
      <c r="O133" s="54">
        <v>22</v>
      </c>
    </row>
    <row r="134" spans="2:15" ht="15.75" thickBot="1" x14ac:dyDescent="0.3">
      <c r="B134" s="19">
        <v>44876</v>
      </c>
      <c r="C134" s="13">
        <v>17034.29</v>
      </c>
      <c r="D134" s="8">
        <v>1750.30004882812</v>
      </c>
      <c r="F134" s="19">
        <v>44876</v>
      </c>
      <c r="G134" s="13">
        <v>17034.29</v>
      </c>
      <c r="H134" s="4">
        <v>17034.29</v>
      </c>
      <c r="I134" s="4">
        <v>17034.29</v>
      </c>
      <c r="J134" s="4">
        <v>1750.30004882812</v>
      </c>
      <c r="K134" s="4">
        <v>1750.30004882812</v>
      </c>
      <c r="L134" s="4">
        <v>1750.30004882812</v>
      </c>
      <c r="M134" s="3">
        <v>25</v>
      </c>
      <c r="N134" s="3">
        <v>25</v>
      </c>
      <c r="O134" s="54">
        <v>25</v>
      </c>
    </row>
    <row r="135" spans="2:15" x14ac:dyDescent="0.25">
      <c r="B135" s="7">
        <v>44877</v>
      </c>
      <c r="C135" s="13">
        <v>16799.189999999999</v>
      </c>
      <c r="D135" s="8">
        <v>1766</v>
      </c>
      <c r="F135" s="7">
        <v>44877</v>
      </c>
      <c r="G135" s="13">
        <v>16799.189999999999</v>
      </c>
      <c r="H135" s="4">
        <v>16799.189999999999</v>
      </c>
      <c r="I135" s="4">
        <v>16799.189999999999</v>
      </c>
      <c r="J135" s="4">
        <v>1766</v>
      </c>
      <c r="K135" s="4">
        <v>1766</v>
      </c>
      <c r="L135" s="4">
        <v>1766</v>
      </c>
      <c r="M135" s="3">
        <v>21</v>
      </c>
      <c r="N135" s="3">
        <v>21</v>
      </c>
      <c r="O135" s="54">
        <v>21</v>
      </c>
    </row>
    <row r="136" spans="2:15" x14ac:dyDescent="0.25">
      <c r="B136" s="7">
        <v>44878</v>
      </c>
      <c r="C136" s="13">
        <v>16353.37</v>
      </c>
      <c r="D136" s="8">
        <v>1750.30004882812</v>
      </c>
      <c r="F136" s="7">
        <v>44878</v>
      </c>
      <c r="G136" s="13">
        <v>16353.37</v>
      </c>
      <c r="H136" s="4">
        <v>16353.37</v>
      </c>
      <c r="I136" s="4">
        <v>16353.37</v>
      </c>
      <c r="J136" s="4">
        <v>1750.30004882812</v>
      </c>
      <c r="K136" s="4">
        <v>1750.30004882812</v>
      </c>
      <c r="L136" s="4">
        <v>1750.30004882812</v>
      </c>
      <c r="M136" s="3">
        <v>22</v>
      </c>
      <c r="N136" s="3">
        <v>22</v>
      </c>
      <c r="O136" s="54">
        <v>22</v>
      </c>
    </row>
    <row r="137" spans="2:15" x14ac:dyDescent="0.25">
      <c r="B137" s="7">
        <v>44879</v>
      </c>
      <c r="C137" s="13">
        <v>16618.2</v>
      </c>
      <c r="D137" s="8">
        <v>1766</v>
      </c>
      <c r="F137" s="7">
        <v>44879</v>
      </c>
      <c r="G137" s="13">
        <v>16618.2</v>
      </c>
      <c r="H137" s="4">
        <v>16618.2</v>
      </c>
      <c r="I137" s="4">
        <v>16618.2</v>
      </c>
      <c r="J137" s="4">
        <v>1766</v>
      </c>
      <c r="K137" s="4">
        <v>1766</v>
      </c>
      <c r="L137" s="4">
        <v>1766</v>
      </c>
      <c r="M137" s="3">
        <v>24</v>
      </c>
      <c r="N137" s="3">
        <v>24</v>
      </c>
      <c r="O137" s="54">
        <v>24</v>
      </c>
    </row>
    <row r="138" spans="2:15" x14ac:dyDescent="0.25">
      <c r="B138" s="7">
        <v>44880</v>
      </c>
      <c r="C138" s="13">
        <v>16884.61</v>
      </c>
      <c r="D138" s="8">
        <v>1773.59997558593</v>
      </c>
      <c r="F138" s="7">
        <v>44880</v>
      </c>
      <c r="G138" s="13">
        <v>16884.61</v>
      </c>
      <c r="H138" s="4">
        <v>16884.61</v>
      </c>
      <c r="I138" s="4">
        <v>16884.61</v>
      </c>
      <c r="J138" s="4">
        <v>1773.59997558593</v>
      </c>
      <c r="K138" s="4">
        <v>1773.59997558593</v>
      </c>
      <c r="L138" s="4">
        <v>1773.59997558593</v>
      </c>
      <c r="M138" s="3">
        <v>22</v>
      </c>
      <c r="N138" s="3">
        <v>22</v>
      </c>
      <c r="O138" s="54">
        <v>22</v>
      </c>
    </row>
    <row r="139" spans="2:15" x14ac:dyDescent="0.25">
      <c r="B139" s="7">
        <v>44881</v>
      </c>
      <c r="C139" s="13">
        <v>16669.439999999999</v>
      </c>
      <c r="D139" s="8">
        <v>1773.80004882812</v>
      </c>
      <c r="F139" s="7">
        <v>44881</v>
      </c>
      <c r="G139" s="13">
        <v>16669.439999999999</v>
      </c>
      <c r="H139" s="4">
        <v>16669.439999999999</v>
      </c>
      <c r="I139" s="4">
        <v>16669.439999999999</v>
      </c>
      <c r="J139" s="4">
        <v>1773.80004882812</v>
      </c>
      <c r="K139" s="4">
        <v>1773.80004882812</v>
      </c>
      <c r="L139" s="4">
        <v>1773.80004882812</v>
      </c>
      <c r="M139" s="3">
        <v>23</v>
      </c>
      <c r="N139" s="3">
        <v>23</v>
      </c>
      <c r="O139" s="54">
        <v>23</v>
      </c>
    </row>
    <row r="140" spans="2:15" x14ac:dyDescent="0.25">
      <c r="B140" s="7">
        <v>44882</v>
      </c>
      <c r="C140" s="13">
        <v>16687.52</v>
      </c>
      <c r="D140" s="8">
        <v>1773</v>
      </c>
      <c r="F140" s="7">
        <v>44882</v>
      </c>
      <c r="G140" s="13">
        <v>16687.52</v>
      </c>
      <c r="H140" s="4">
        <v>16687.52</v>
      </c>
      <c r="I140" s="4">
        <v>16687.52</v>
      </c>
      <c r="J140" s="4">
        <v>1773</v>
      </c>
      <c r="K140" s="4">
        <v>1773</v>
      </c>
      <c r="L140" s="4">
        <v>1773</v>
      </c>
      <c r="M140" s="3">
        <v>20</v>
      </c>
      <c r="N140" s="3">
        <v>20</v>
      </c>
      <c r="O140" s="54">
        <v>20</v>
      </c>
    </row>
    <row r="141" spans="2:15" x14ac:dyDescent="0.25">
      <c r="B141" s="7">
        <v>44883</v>
      </c>
      <c r="C141" s="13">
        <v>16697.78</v>
      </c>
      <c r="D141" s="8">
        <v>1760.80004882812</v>
      </c>
      <c r="F141" s="7">
        <v>44883</v>
      </c>
      <c r="G141" s="13">
        <v>16697.78</v>
      </c>
      <c r="H141" s="4">
        <v>16697.78</v>
      </c>
      <c r="I141" s="4">
        <v>16697.78</v>
      </c>
      <c r="J141" s="4">
        <v>1760.80004882812</v>
      </c>
      <c r="K141" s="4">
        <v>1760.80004882812</v>
      </c>
      <c r="L141" s="4">
        <v>1760.80004882812</v>
      </c>
      <c r="M141" s="3">
        <v>23</v>
      </c>
      <c r="N141" s="3">
        <v>23</v>
      </c>
      <c r="O141" s="54">
        <v>23</v>
      </c>
    </row>
    <row r="142" spans="2:15" x14ac:dyDescent="0.25">
      <c r="B142" s="7">
        <v>44884</v>
      </c>
      <c r="C142" s="13">
        <v>16711.55</v>
      </c>
      <c r="D142" s="8">
        <v>1751.90002441406</v>
      </c>
      <c r="F142" s="7">
        <v>44884</v>
      </c>
      <c r="G142" s="13">
        <v>16711.55</v>
      </c>
      <c r="H142" s="4">
        <v>16711.55</v>
      </c>
      <c r="I142" s="4">
        <v>16711.55</v>
      </c>
      <c r="J142" s="4">
        <v>1751.90002441406</v>
      </c>
      <c r="K142" s="4">
        <v>1751.90002441406</v>
      </c>
      <c r="L142" s="4">
        <v>1751.90002441406</v>
      </c>
      <c r="M142" s="3">
        <v>23</v>
      </c>
      <c r="N142" s="3">
        <v>23</v>
      </c>
      <c r="O142" s="54">
        <v>23</v>
      </c>
    </row>
    <row r="143" spans="2:15" x14ac:dyDescent="0.25">
      <c r="B143" s="7">
        <v>44885</v>
      </c>
      <c r="C143" s="13">
        <v>16291.83</v>
      </c>
      <c r="D143" s="8">
        <v>1760.80004882812</v>
      </c>
      <c r="F143" s="7">
        <v>44885</v>
      </c>
      <c r="G143" s="13">
        <v>16291.83</v>
      </c>
      <c r="H143" s="4">
        <v>16291.83</v>
      </c>
      <c r="I143" s="4">
        <v>16291.83</v>
      </c>
      <c r="J143" s="4">
        <v>1760.80004882812</v>
      </c>
      <c r="K143" s="4">
        <v>1760.80004882812</v>
      </c>
      <c r="L143" s="4">
        <v>1760.80004882812</v>
      </c>
      <c r="M143" s="3">
        <v>24</v>
      </c>
      <c r="N143" s="3">
        <v>24</v>
      </c>
      <c r="O143" s="54">
        <v>24</v>
      </c>
    </row>
    <row r="144" spans="2:15" x14ac:dyDescent="0.25">
      <c r="B144" s="7">
        <v>44886</v>
      </c>
      <c r="C144" s="13">
        <v>15787.28</v>
      </c>
      <c r="D144" s="8">
        <v>1751.90002441406</v>
      </c>
      <c r="F144" s="7">
        <v>44886</v>
      </c>
      <c r="G144" s="13">
        <v>15787.28</v>
      </c>
      <c r="H144" s="4">
        <v>15787.28</v>
      </c>
      <c r="I144" s="4">
        <v>15787.28</v>
      </c>
      <c r="J144" s="4">
        <v>1751.90002441406</v>
      </c>
      <c r="K144" s="4">
        <v>1751.90002441406</v>
      </c>
      <c r="L144" s="4">
        <v>1751.90002441406</v>
      </c>
      <c r="M144" s="3">
        <v>21</v>
      </c>
      <c r="N144" s="3">
        <v>21</v>
      </c>
      <c r="O144" s="54">
        <v>21</v>
      </c>
    </row>
    <row r="145" spans="2:15" x14ac:dyDescent="0.25">
      <c r="B145" s="7">
        <v>44887</v>
      </c>
      <c r="C145" s="13">
        <v>16189.77</v>
      </c>
      <c r="D145" s="8">
        <v>1737.40002441406</v>
      </c>
      <c r="F145" s="7">
        <v>44887</v>
      </c>
      <c r="G145" s="13">
        <v>16189.77</v>
      </c>
      <c r="H145" s="4">
        <v>16189.77</v>
      </c>
      <c r="I145" s="4">
        <v>16189.77</v>
      </c>
      <c r="J145" s="4">
        <v>1737.40002441406</v>
      </c>
      <c r="K145" s="4">
        <v>1737.40002441406</v>
      </c>
      <c r="L145" s="4">
        <v>1737.40002441406</v>
      </c>
      <c r="M145" s="3">
        <v>22</v>
      </c>
      <c r="N145" s="3">
        <v>22</v>
      </c>
      <c r="O145" s="54">
        <v>22</v>
      </c>
    </row>
    <row r="146" spans="2:15" x14ac:dyDescent="0.25">
      <c r="B146" s="7">
        <v>44888</v>
      </c>
      <c r="C146" s="13">
        <v>16610.71</v>
      </c>
      <c r="D146" s="8">
        <v>1738.30004882812</v>
      </c>
      <c r="F146" s="7">
        <v>44888</v>
      </c>
      <c r="G146" s="13">
        <v>16610.71</v>
      </c>
      <c r="H146" s="4">
        <v>16610.71</v>
      </c>
      <c r="I146" s="4">
        <v>16610.71</v>
      </c>
      <c r="J146" s="4">
        <v>1738.30004882812</v>
      </c>
      <c r="K146" s="4">
        <v>1738.30004882812</v>
      </c>
      <c r="L146" s="4">
        <v>1738.30004882812</v>
      </c>
      <c r="M146" s="3">
        <v>22</v>
      </c>
      <c r="N146" s="3">
        <v>22</v>
      </c>
      <c r="O146" s="54">
        <v>22</v>
      </c>
    </row>
    <row r="147" spans="2:15" x14ac:dyDescent="0.25">
      <c r="B147" s="7">
        <v>44889</v>
      </c>
      <c r="C147" s="13">
        <v>16604.46</v>
      </c>
      <c r="D147" s="8">
        <v>1744.90002441406</v>
      </c>
      <c r="F147" s="7">
        <v>44889</v>
      </c>
      <c r="G147" s="13">
        <v>16604.46</v>
      </c>
      <c r="H147" s="4">
        <v>16604.46</v>
      </c>
      <c r="I147" s="4">
        <v>16604.46</v>
      </c>
      <c r="J147" s="4">
        <v>1744.90002441406</v>
      </c>
      <c r="K147" s="4">
        <v>1744.90002441406</v>
      </c>
      <c r="L147" s="4">
        <v>1744.90002441406</v>
      </c>
      <c r="M147" s="3">
        <v>20</v>
      </c>
      <c r="N147" s="3">
        <v>20</v>
      </c>
      <c r="O147" s="54">
        <v>20</v>
      </c>
    </row>
    <row r="148" spans="2:15" x14ac:dyDescent="0.25">
      <c r="B148" s="7">
        <v>44890</v>
      </c>
      <c r="C148" s="13">
        <v>16521.84</v>
      </c>
      <c r="D148" s="8">
        <v>1738.30004882812</v>
      </c>
      <c r="F148" s="7">
        <v>44890</v>
      </c>
      <c r="G148" s="13">
        <v>16521.84</v>
      </c>
      <c r="H148" s="4">
        <v>16521.84</v>
      </c>
      <c r="I148" s="4">
        <v>16521.84</v>
      </c>
      <c r="J148" s="4">
        <v>1738.30004882812</v>
      </c>
      <c r="K148" s="4">
        <v>1738.30004882812</v>
      </c>
      <c r="L148" s="4">
        <v>1738.30004882812</v>
      </c>
      <c r="M148" s="3">
        <v>20</v>
      </c>
      <c r="N148" s="3">
        <v>20</v>
      </c>
      <c r="O148" s="54">
        <v>20</v>
      </c>
    </row>
    <row r="149" spans="2:15" x14ac:dyDescent="0.25">
      <c r="B149" s="7">
        <v>44891</v>
      </c>
      <c r="C149" s="13">
        <v>16464.28</v>
      </c>
      <c r="D149" s="8">
        <v>1753.30004882812</v>
      </c>
      <c r="F149" s="7">
        <v>44891</v>
      </c>
      <c r="G149" s="13">
        <v>16464.28</v>
      </c>
      <c r="H149" s="4">
        <v>16464.28</v>
      </c>
      <c r="I149" s="4">
        <v>16464.28</v>
      </c>
      <c r="J149" s="4">
        <v>1753.30004882812</v>
      </c>
      <c r="K149" s="4">
        <v>1753.30004882812</v>
      </c>
      <c r="L149" s="4">
        <v>1753.30004882812</v>
      </c>
      <c r="M149" s="3">
        <v>22</v>
      </c>
      <c r="N149" s="3">
        <v>22</v>
      </c>
      <c r="O149" s="54">
        <v>22</v>
      </c>
    </row>
    <row r="150" spans="2:15" x14ac:dyDescent="0.25">
      <c r="B150" s="7">
        <v>44892</v>
      </c>
      <c r="C150" s="13">
        <v>16444.63</v>
      </c>
      <c r="D150" s="8">
        <v>1738.30004882812</v>
      </c>
      <c r="F150" s="7">
        <v>44892</v>
      </c>
      <c r="G150" s="13">
        <v>16444.63</v>
      </c>
      <c r="H150" s="4">
        <v>16444.63</v>
      </c>
      <c r="I150" s="4">
        <v>16444.63</v>
      </c>
      <c r="J150" s="4">
        <v>1738.30004882812</v>
      </c>
      <c r="K150" s="4">
        <v>1738.30004882812</v>
      </c>
      <c r="L150" s="4">
        <v>1738.30004882812</v>
      </c>
      <c r="M150" s="3">
        <v>26</v>
      </c>
      <c r="N150" s="3">
        <v>26</v>
      </c>
      <c r="O150" s="54">
        <v>26</v>
      </c>
    </row>
    <row r="151" spans="2:15" x14ac:dyDescent="0.25">
      <c r="B151" s="7">
        <v>44893</v>
      </c>
      <c r="C151" s="13">
        <v>16217.32</v>
      </c>
      <c r="D151" s="8">
        <v>1753.30004882812</v>
      </c>
      <c r="F151" s="7">
        <v>44893</v>
      </c>
      <c r="G151" s="13">
        <v>16217.32</v>
      </c>
      <c r="H151" s="4">
        <v>16217.32</v>
      </c>
      <c r="I151" s="4">
        <v>16217.32</v>
      </c>
      <c r="J151" s="4">
        <v>1753.30004882812</v>
      </c>
      <c r="K151" s="4">
        <v>1753.30004882812</v>
      </c>
      <c r="L151" s="4">
        <v>1753.30004882812</v>
      </c>
      <c r="M151" s="3">
        <v>28</v>
      </c>
      <c r="N151" s="3">
        <v>28</v>
      </c>
      <c r="O151" s="54">
        <v>28</v>
      </c>
    </row>
    <row r="152" spans="2:15" x14ac:dyDescent="0.25">
      <c r="B152" s="7">
        <v>44894</v>
      </c>
      <c r="C152" s="13">
        <v>16444.98</v>
      </c>
      <c r="D152" s="8">
        <v>1740.09997558593</v>
      </c>
      <c r="F152" s="7">
        <v>44894</v>
      </c>
      <c r="G152" s="13">
        <v>16444.98</v>
      </c>
      <c r="H152" s="4">
        <v>16444.98</v>
      </c>
      <c r="I152" s="4">
        <v>16444.98</v>
      </c>
      <c r="J152" s="4">
        <v>1740.09997558593</v>
      </c>
      <c r="K152" s="4">
        <v>1740.09997558593</v>
      </c>
      <c r="L152" s="4">
        <v>1740.09997558593</v>
      </c>
      <c r="M152" s="3">
        <v>26</v>
      </c>
      <c r="N152" s="3">
        <v>26</v>
      </c>
      <c r="O152" s="54">
        <v>26</v>
      </c>
    </row>
    <row r="153" spans="2:15" x14ac:dyDescent="0.25">
      <c r="B153" s="7">
        <v>44895</v>
      </c>
      <c r="C153" s="13">
        <v>17168.57</v>
      </c>
      <c r="D153" s="8">
        <v>1748.40002441406</v>
      </c>
      <c r="F153" s="7">
        <v>44895</v>
      </c>
      <c r="G153" s="13">
        <v>17168.57</v>
      </c>
      <c r="H153" s="4">
        <v>17168.57</v>
      </c>
      <c r="I153" s="4">
        <v>17168.57</v>
      </c>
      <c r="J153" s="4">
        <v>1748.40002441406</v>
      </c>
      <c r="K153" s="4">
        <v>1748.40002441406</v>
      </c>
      <c r="L153" s="4">
        <v>1748.40002441406</v>
      </c>
      <c r="M153" s="3">
        <v>29</v>
      </c>
      <c r="N153" s="3">
        <v>29</v>
      </c>
      <c r="O153" s="54">
        <v>29</v>
      </c>
    </row>
    <row r="154" spans="2:15" x14ac:dyDescent="0.25">
      <c r="B154" s="7">
        <v>44896</v>
      </c>
      <c r="C154" s="13">
        <v>16967.13</v>
      </c>
      <c r="D154" s="8">
        <v>1746</v>
      </c>
      <c r="F154" s="7">
        <v>44896</v>
      </c>
      <c r="G154" s="13">
        <v>16967.13</v>
      </c>
      <c r="H154" s="4">
        <v>16967.13</v>
      </c>
      <c r="I154" s="4">
        <v>16967.13</v>
      </c>
      <c r="J154" s="4">
        <v>1746</v>
      </c>
      <c r="K154" s="4">
        <v>1746</v>
      </c>
      <c r="L154" s="4">
        <v>1746</v>
      </c>
      <c r="M154" s="3">
        <v>27</v>
      </c>
      <c r="N154" s="3">
        <v>27</v>
      </c>
      <c r="O154" s="54">
        <v>27</v>
      </c>
    </row>
    <row r="155" spans="2:15" x14ac:dyDescent="0.25">
      <c r="B155" s="7">
        <v>44897</v>
      </c>
      <c r="C155" s="13">
        <v>17088.66</v>
      </c>
      <c r="D155" s="8">
        <v>1801.09997558593</v>
      </c>
      <c r="F155" s="7">
        <v>44897</v>
      </c>
      <c r="G155" s="13">
        <v>17088.66</v>
      </c>
      <c r="H155" s="4">
        <v>17088.66</v>
      </c>
      <c r="I155" s="4">
        <v>17088.66</v>
      </c>
      <c r="J155" s="4">
        <v>1801.09997558593</v>
      </c>
      <c r="K155" s="4">
        <v>1801.09997558593</v>
      </c>
      <c r="L155" s="4">
        <v>1801.09997558593</v>
      </c>
      <c r="M155" s="3">
        <v>27</v>
      </c>
      <c r="N155" s="3">
        <v>27</v>
      </c>
      <c r="O155" s="54">
        <v>27</v>
      </c>
    </row>
    <row r="156" spans="2:15" x14ac:dyDescent="0.25">
      <c r="B156" s="7">
        <v>44898</v>
      </c>
      <c r="C156" s="13">
        <v>16908.240000000002</v>
      </c>
      <c r="D156" s="8">
        <v>1795.90002441406</v>
      </c>
      <c r="F156" s="7">
        <v>44898</v>
      </c>
      <c r="G156" s="13">
        <v>16908.240000000002</v>
      </c>
      <c r="H156" s="4">
        <v>16908.240000000002</v>
      </c>
      <c r="I156" s="4">
        <v>16908.240000000002</v>
      </c>
      <c r="J156" s="4">
        <v>1795.90002441406</v>
      </c>
      <c r="K156" s="4">
        <v>1795.90002441406</v>
      </c>
      <c r="L156" s="4">
        <v>1795.90002441406</v>
      </c>
      <c r="M156" s="3">
        <v>27</v>
      </c>
      <c r="N156" s="3">
        <v>27</v>
      </c>
      <c r="O156" s="54">
        <v>27</v>
      </c>
    </row>
    <row r="157" spans="2:15" x14ac:dyDescent="0.25">
      <c r="B157" s="7">
        <v>44899</v>
      </c>
      <c r="C157" s="13">
        <v>17130.490000000002</v>
      </c>
      <c r="D157" s="8">
        <v>1801.09997558593</v>
      </c>
      <c r="F157" s="7">
        <v>44899</v>
      </c>
      <c r="G157" s="13">
        <v>17130.490000000002</v>
      </c>
      <c r="H157" s="4">
        <v>17130.490000000002</v>
      </c>
      <c r="I157" s="4">
        <v>17130.490000000002</v>
      </c>
      <c r="J157" s="4">
        <v>1801.09997558593</v>
      </c>
      <c r="K157" s="4">
        <v>1801.09997558593</v>
      </c>
      <c r="L157" s="4">
        <v>1801.09997558593</v>
      </c>
      <c r="M157" s="3">
        <v>26</v>
      </c>
      <c r="N157" s="3">
        <v>26</v>
      </c>
      <c r="O157" s="54">
        <v>26</v>
      </c>
    </row>
    <row r="158" spans="2:15" ht="15.75" thickBot="1" x14ac:dyDescent="0.3">
      <c r="B158" s="7">
        <v>44900</v>
      </c>
      <c r="C158" s="13">
        <v>16974.830000000002</v>
      </c>
      <c r="D158" s="8">
        <v>1795.90002441406</v>
      </c>
      <c r="F158" s="7">
        <v>44900</v>
      </c>
      <c r="G158" s="13">
        <v>16974.830000000002</v>
      </c>
      <c r="H158" s="4">
        <v>16974.830000000002</v>
      </c>
      <c r="I158" s="4">
        <v>16974.830000000002</v>
      </c>
      <c r="J158" s="4">
        <v>1795.90002441406</v>
      </c>
      <c r="K158" s="4">
        <v>1795.90002441406</v>
      </c>
      <c r="L158" s="4">
        <v>1795.90002441406</v>
      </c>
      <c r="M158" s="3">
        <v>26</v>
      </c>
      <c r="N158" s="3">
        <v>26</v>
      </c>
      <c r="O158" s="54">
        <v>26</v>
      </c>
    </row>
    <row r="159" spans="2:15" ht="15.75" thickBot="1" x14ac:dyDescent="0.3">
      <c r="B159" s="19">
        <v>44901</v>
      </c>
      <c r="C159" s="13">
        <v>17089.5</v>
      </c>
      <c r="D159" s="8">
        <v>1767.40002441406</v>
      </c>
      <c r="F159" s="19">
        <v>44901</v>
      </c>
      <c r="G159" s="13">
        <v>17089.5</v>
      </c>
      <c r="H159" s="4">
        <v>17089.5</v>
      </c>
      <c r="I159" s="4">
        <v>17089.5</v>
      </c>
      <c r="J159" s="4">
        <v>1767.40002441406</v>
      </c>
      <c r="K159" s="4">
        <v>1767.40002441406</v>
      </c>
      <c r="L159" s="4">
        <v>1767.40002441406</v>
      </c>
      <c r="M159" s="3">
        <v>25</v>
      </c>
      <c r="N159" s="3">
        <v>25</v>
      </c>
      <c r="O159" s="54">
        <v>25</v>
      </c>
    </row>
    <row r="160" spans="2:15" ht="15.75" thickBot="1" x14ac:dyDescent="0.3">
      <c r="B160" s="7">
        <v>44902</v>
      </c>
      <c r="C160" s="13">
        <v>16848.13</v>
      </c>
      <c r="D160" s="8">
        <v>1769.30004882812</v>
      </c>
      <c r="F160" s="7">
        <v>44902</v>
      </c>
      <c r="G160" s="13">
        <v>16848.13</v>
      </c>
      <c r="H160" s="4">
        <v>16848.13</v>
      </c>
      <c r="I160" s="4">
        <v>16848.13</v>
      </c>
      <c r="J160" s="4">
        <v>1769.30004882812</v>
      </c>
      <c r="K160" s="4">
        <v>1769.30004882812</v>
      </c>
      <c r="L160" s="4">
        <v>1769.30004882812</v>
      </c>
      <c r="M160" s="3">
        <v>29</v>
      </c>
      <c r="N160" s="3">
        <v>29</v>
      </c>
      <c r="O160" s="54">
        <v>29</v>
      </c>
    </row>
    <row r="161" spans="2:15" ht="15.75" thickBot="1" x14ac:dyDescent="0.3">
      <c r="B161" s="19">
        <v>44903</v>
      </c>
      <c r="C161" s="13">
        <v>17233.47</v>
      </c>
      <c r="D161" s="8">
        <v>1785.5</v>
      </c>
      <c r="F161" s="19">
        <v>44903</v>
      </c>
      <c r="G161" s="13">
        <v>17233.47</v>
      </c>
      <c r="H161" s="4">
        <v>17233.47</v>
      </c>
      <c r="I161" s="4">
        <v>17233.47</v>
      </c>
      <c r="J161" s="4">
        <v>1785.5</v>
      </c>
      <c r="K161" s="4">
        <v>1785.5</v>
      </c>
      <c r="L161" s="4">
        <v>1785.5</v>
      </c>
      <c r="M161" s="3">
        <v>25</v>
      </c>
      <c r="N161" s="3">
        <v>25</v>
      </c>
      <c r="O161" s="54">
        <v>25</v>
      </c>
    </row>
    <row r="162" spans="2:15" x14ac:dyDescent="0.25">
      <c r="B162" s="7">
        <v>44904</v>
      </c>
      <c r="C162" s="13">
        <v>17133.150000000001</v>
      </c>
      <c r="D162" s="8">
        <v>1788.69995117187</v>
      </c>
      <c r="F162" s="7">
        <v>44904</v>
      </c>
      <c r="G162" s="13">
        <v>17133.150000000001</v>
      </c>
      <c r="H162" s="4">
        <v>17133.150000000001</v>
      </c>
      <c r="I162" s="4">
        <v>17133.150000000001</v>
      </c>
      <c r="J162" s="4">
        <v>1788.69995117187</v>
      </c>
      <c r="K162" s="4">
        <v>1788.69995117187</v>
      </c>
      <c r="L162" s="4">
        <v>1788.69995117187</v>
      </c>
      <c r="M162" s="3">
        <v>26</v>
      </c>
      <c r="N162" s="3">
        <v>26</v>
      </c>
      <c r="O162" s="54">
        <v>26</v>
      </c>
    </row>
    <row r="163" spans="2:15" x14ac:dyDescent="0.25">
      <c r="B163" s="7">
        <v>44905</v>
      </c>
      <c r="C163" s="13">
        <v>17128.72</v>
      </c>
      <c r="D163" s="8">
        <v>1798.09997558593</v>
      </c>
      <c r="F163" s="7">
        <v>44905</v>
      </c>
      <c r="G163" s="13">
        <v>17128.72</v>
      </c>
      <c r="H163" s="4">
        <v>17128.72</v>
      </c>
      <c r="I163" s="4">
        <v>17128.72</v>
      </c>
      <c r="J163" s="4">
        <v>1798.09997558593</v>
      </c>
      <c r="K163" s="4">
        <v>1798.09997558593</v>
      </c>
      <c r="L163" s="4">
        <v>1798.09997558593</v>
      </c>
      <c r="M163" s="3">
        <v>27</v>
      </c>
      <c r="N163" s="3">
        <v>27</v>
      </c>
      <c r="O163" s="54">
        <v>27</v>
      </c>
    </row>
    <row r="164" spans="2:15" x14ac:dyDescent="0.25">
      <c r="B164" s="7">
        <v>44906</v>
      </c>
      <c r="C164" s="13">
        <v>17104.189999999999</v>
      </c>
      <c r="D164" s="8">
        <v>1788.69995117187</v>
      </c>
      <c r="F164" s="7">
        <v>44906</v>
      </c>
      <c r="G164" s="13">
        <v>17104.189999999999</v>
      </c>
      <c r="H164" s="4">
        <v>17104.189999999999</v>
      </c>
      <c r="I164" s="4">
        <v>17104.189999999999</v>
      </c>
      <c r="J164" s="4">
        <v>1788.69995117187</v>
      </c>
      <c r="K164" s="4">
        <v>1788.69995117187</v>
      </c>
      <c r="L164" s="4">
        <v>1788.69995117187</v>
      </c>
      <c r="M164" s="3">
        <v>26</v>
      </c>
      <c r="N164" s="3">
        <v>26</v>
      </c>
      <c r="O164" s="54">
        <v>26</v>
      </c>
    </row>
    <row r="165" spans="2:15" x14ac:dyDescent="0.25">
      <c r="B165" s="7">
        <v>44907</v>
      </c>
      <c r="C165" s="13">
        <v>17206.439999999999</v>
      </c>
      <c r="D165" s="8">
        <v>1798.09997558593</v>
      </c>
      <c r="F165" s="7">
        <v>44907</v>
      </c>
      <c r="G165" s="13">
        <v>17206.439999999999</v>
      </c>
      <c r="H165" s="4">
        <v>17206.439999999999</v>
      </c>
      <c r="I165" s="4">
        <v>17206.439999999999</v>
      </c>
      <c r="J165" s="4">
        <v>1798.09997558593</v>
      </c>
      <c r="K165" s="4">
        <v>1798.09997558593</v>
      </c>
      <c r="L165" s="4">
        <v>1798.09997558593</v>
      </c>
      <c r="M165" s="3">
        <v>27</v>
      </c>
      <c r="N165" s="3">
        <v>27</v>
      </c>
      <c r="O165" s="54">
        <v>27</v>
      </c>
    </row>
    <row r="166" spans="2:15" x14ac:dyDescent="0.25">
      <c r="B166" s="7">
        <v>44908</v>
      </c>
      <c r="C166" s="13">
        <v>17781.32</v>
      </c>
      <c r="D166" s="8">
        <v>1780.5</v>
      </c>
      <c r="F166" s="7">
        <v>44908</v>
      </c>
      <c r="G166" s="13">
        <v>17781.32</v>
      </c>
      <c r="H166" s="4">
        <v>17781.32</v>
      </c>
      <c r="I166" s="4">
        <v>17781.32</v>
      </c>
      <c r="J166" s="4">
        <v>1780.5</v>
      </c>
      <c r="K166" s="4">
        <v>1780.5</v>
      </c>
      <c r="L166" s="4">
        <v>1780.5</v>
      </c>
      <c r="M166" s="3">
        <v>27</v>
      </c>
      <c r="N166" s="3">
        <v>27</v>
      </c>
      <c r="O166" s="54">
        <v>27</v>
      </c>
    </row>
    <row r="167" spans="2:15" x14ac:dyDescent="0.25">
      <c r="B167" s="7">
        <v>44909</v>
      </c>
      <c r="C167" s="13">
        <v>17815.650000000001</v>
      </c>
      <c r="D167" s="8">
        <v>1813.90002441406</v>
      </c>
      <c r="F167" s="7">
        <v>44909</v>
      </c>
      <c r="G167" s="13">
        <v>17815.650000000001</v>
      </c>
      <c r="H167" s="4">
        <v>17815.650000000001</v>
      </c>
      <c r="I167" s="4">
        <v>17815.650000000001</v>
      </c>
      <c r="J167" s="4">
        <v>1813.90002441406</v>
      </c>
      <c r="K167" s="4">
        <v>1813.90002441406</v>
      </c>
      <c r="L167" s="4">
        <v>1813.90002441406</v>
      </c>
      <c r="M167" s="3">
        <v>30</v>
      </c>
      <c r="N167" s="3">
        <v>30</v>
      </c>
      <c r="O167" s="54">
        <v>30</v>
      </c>
    </row>
    <row r="168" spans="2:15" x14ac:dyDescent="0.25">
      <c r="B168" s="7">
        <v>44910</v>
      </c>
      <c r="C168" s="13">
        <v>17364.87</v>
      </c>
      <c r="D168" s="8">
        <v>1807.5</v>
      </c>
      <c r="F168" s="7">
        <v>44910</v>
      </c>
      <c r="G168" s="13">
        <v>17364.87</v>
      </c>
      <c r="H168" s="4">
        <v>17364.87</v>
      </c>
      <c r="I168" s="4">
        <v>17364.87</v>
      </c>
      <c r="J168" s="4">
        <v>1807.5</v>
      </c>
      <c r="K168" s="4">
        <v>1807.5</v>
      </c>
      <c r="L168" s="4">
        <v>1807.5</v>
      </c>
      <c r="M168" s="3">
        <v>31</v>
      </c>
      <c r="N168" s="3">
        <v>31</v>
      </c>
      <c r="O168" s="54">
        <v>31</v>
      </c>
    </row>
    <row r="169" spans="2:15" x14ac:dyDescent="0.25">
      <c r="B169" s="7">
        <v>44911</v>
      </c>
      <c r="C169" s="13">
        <v>16647.48</v>
      </c>
      <c r="D169" s="8">
        <v>1777.19995117187</v>
      </c>
      <c r="F169" s="7">
        <v>44911</v>
      </c>
      <c r="G169" s="13">
        <v>16647.48</v>
      </c>
      <c r="H169" s="4">
        <v>16647.48</v>
      </c>
      <c r="I169" s="4">
        <v>16647.48</v>
      </c>
      <c r="J169" s="4">
        <v>1777.19995117187</v>
      </c>
      <c r="K169" s="4">
        <v>1777.19995117187</v>
      </c>
      <c r="L169" s="4">
        <v>1777.19995117187</v>
      </c>
      <c r="M169" s="3">
        <v>29</v>
      </c>
      <c r="N169" s="3">
        <v>29</v>
      </c>
      <c r="O169" s="54">
        <v>29</v>
      </c>
    </row>
    <row r="170" spans="2:15" x14ac:dyDescent="0.25">
      <c r="B170" s="7">
        <v>44912</v>
      </c>
      <c r="C170" s="13">
        <v>16795.09</v>
      </c>
      <c r="D170" s="8">
        <v>1790</v>
      </c>
      <c r="F170" s="7">
        <v>44912</v>
      </c>
      <c r="G170" s="13">
        <v>16795.09</v>
      </c>
      <c r="H170" s="4">
        <v>16795.09</v>
      </c>
      <c r="I170" s="4">
        <v>16795.09</v>
      </c>
      <c r="J170" s="4">
        <v>1790</v>
      </c>
      <c r="K170" s="4">
        <v>1790</v>
      </c>
      <c r="L170" s="4">
        <v>1790</v>
      </c>
      <c r="M170" s="3">
        <v>28</v>
      </c>
      <c r="N170" s="3">
        <v>28</v>
      </c>
      <c r="O170" s="54">
        <v>28</v>
      </c>
    </row>
    <row r="171" spans="2:15" x14ac:dyDescent="0.25">
      <c r="B171" s="7">
        <v>44913</v>
      </c>
      <c r="C171" s="13">
        <v>16757.98</v>
      </c>
      <c r="D171" s="8">
        <v>1777.19995117187</v>
      </c>
      <c r="F171" s="7">
        <v>44913</v>
      </c>
      <c r="G171" s="13">
        <v>16757.98</v>
      </c>
      <c r="H171" s="4">
        <v>16757.98</v>
      </c>
      <c r="I171" s="4">
        <v>16757.98</v>
      </c>
      <c r="J171" s="4">
        <v>1777.19995117187</v>
      </c>
      <c r="K171" s="4">
        <v>1777.19995117187</v>
      </c>
      <c r="L171" s="4">
        <v>1777.19995117187</v>
      </c>
      <c r="M171" s="3">
        <v>26</v>
      </c>
      <c r="N171" s="3">
        <v>26</v>
      </c>
      <c r="O171" s="54">
        <v>26</v>
      </c>
    </row>
    <row r="172" spans="2:15" x14ac:dyDescent="0.25">
      <c r="B172" s="7">
        <v>44914</v>
      </c>
      <c r="C172" s="13">
        <v>16439.68</v>
      </c>
      <c r="D172" s="8">
        <v>1790</v>
      </c>
      <c r="F172" s="7">
        <v>44914</v>
      </c>
      <c r="G172" s="13">
        <v>16439.68</v>
      </c>
      <c r="H172" s="4">
        <v>16439.68</v>
      </c>
      <c r="I172" s="4">
        <v>16439.68</v>
      </c>
      <c r="J172" s="4">
        <v>1790</v>
      </c>
      <c r="K172" s="4">
        <v>1790</v>
      </c>
      <c r="L172" s="4">
        <v>1790</v>
      </c>
      <c r="M172" s="3">
        <v>29</v>
      </c>
      <c r="N172" s="3">
        <v>29</v>
      </c>
      <c r="O172" s="54">
        <v>29</v>
      </c>
    </row>
    <row r="173" spans="2:15" x14ac:dyDescent="0.25">
      <c r="B173" s="7">
        <v>44915</v>
      </c>
      <c r="C173" s="13">
        <v>16906.3</v>
      </c>
      <c r="D173" s="8">
        <v>1787.69995117187</v>
      </c>
      <c r="F173" s="7">
        <v>44915</v>
      </c>
      <c r="G173" s="13">
        <v>16906.3</v>
      </c>
      <c r="H173" s="4">
        <v>16906.3</v>
      </c>
      <c r="I173" s="4">
        <v>16906.3</v>
      </c>
      <c r="J173" s="4">
        <v>1787.69995117187</v>
      </c>
      <c r="K173" s="4">
        <v>1787.69995117187</v>
      </c>
      <c r="L173" s="4">
        <v>1787.69995117187</v>
      </c>
      <c r="M173" s="3">
        <v>29</v>
      </c>
      <c r="N173" s="3">
        <v>29</v>
      </c>
      <c r="O173" s="54">
        <v>29</v>
      </c>
    </row>
    <row r="174" spans="2:15" x14ac:dyDescent="0.25">
      <c r="B174" s="7">
        <v>44916</v>
      </c>
      <c r="C174" s="13">
        <v>16817.54</v>
      </c>
      <c r="D174" s="8">
        <v>1815.90002441406</v>
      </c>
      <c r="F174" s="7">
        <v>44916</v>
      </c>
      <c r="G174" s="13">
        <v>16817.54</v>
      </c>
      <c r="H174" s="4">
        <v>16817.54</v>
      </c>
      <c r="I174" s="4">
        <v>16817.54</v>
      </c>
      <c r="J174" s="4">
        <v>1815.90002441406</v>
      </c>
      <c r="K174" s="4">
        <v>1815.90002441406</v>
      </c>
      <c r="L174" s="4">
        <v>1815.90002441406</v>
      </c>
      <c r="M174" s="3">
        <v>26</v>
      </c>
      <c r="N174" s="3">
        <v>26</v>
      </c>
      <c r="O174" s="54">
        <v>26</v>
      </c>
    </row>
    <row r="175" spans="2:15" x14ac:dyDescent="0.25">
      <c r="B175" s="7">
        <v>44917</v>
      </c>
      <c r="C175" s="13">
        <v>16830.34</v>
      </c>
      <c r="D175" s="8">
        <v>1815.90002441406</v>
      </c>
      <c r="F175" s="7">
        <v>44917</v>
      </c>
      <c r="G175" s="13">
        <v>16830.34</v>
      </c>
      <c r="H175" s="4">
        <v>16830.34</v>
      </c>
      <c r="I175" s="4">
        <v>16830.34</v>
      </c>
      <c r="J175" s="4">
        <v>1815.90002441406</v>
      </c>
      <c r="K175" s="4">
        <v>1815.90002441406</v>
      </c>
      <c r="L175" s="4">
        <v>1815.90002441406</v>
      </c>
      <c r="M175" s="3">
        <v>28</v>
      </c>
      <c r="N175" s="3">
        <v>28</v>
      </c>
      <c r="O175" s="54">
        <v>28</v>
      </c>
    </row>
    <row r="176" spans="2:15" x14ac:dyDescent="0.25">
      <c r="B176" s="7">
        <v>44918</v>
      </c>
      <c r="C176" s="13">
        <v>16796.95</v>
      </c>
      <c r="D176" s="8">
        <v>1787</v>
      </c>
      <c r="F176" s="7">
        <v>44918</v>
      </c>
      <c r="G176" s="13">
        <v>16796.95</v>
      </c>
      <c r="H176" s="4">
        <v>16796.95</v>
      </c>
      <c r="I176" s="4">
        <v>16796.95</v>
      </c>
      <c r="J176" s="4">
        <v>1787</v>
      </c>
      <c r="K176" s="4">
        <v>1787</v>
      </c>
      <c r="L176" s="4">
        <v>1787</v>
      </c>
      <c r="M176" s="3">
        <v>27</v>
      </c>
      <c r="N176" s="3">
        <v>27</v>
      </c>
      <c r="O176" s="54">
        <v>27</v>
      </c>
    </row>
    <row r="177" spans="2:15" x14ac:dyDescent="0.25">
      <c r="B177" s="7">
        <v>44919</v>
      </c>
      <c r="C177" s="13">
        <v>16847.759999999998</v>
      </c>
      <c r="D177" s="8">
        <v>1795.90002441406</v>
      </c>
      <c r="F177" s="7">
        <v>44919</v>
      </c>
      <c r="G177" s="13">
        <v>16847.759999999998</v>
      </c>
      <c r="H177" s="4">
        <v>16847.759999999998</v>
      </c>
      <c r="I177" s="4">
        <v>16847.759999999998</v>
      </c>
      <c r="J177" s="4">
        <v>1795.90002441406</v>
      </c>
      <c r="K177" s="4">
        <v>1795.90002441406</v>
      </c>
      <c r="L177" s="4">
        <v>1795.90002441406</v>
      </c>
      <c r="M177" s="3">
        <v>29</v>
      </c>
      <c r="N177" s="3">
        <v>29</v>
      </c>
      <c r="O177" s="54">
        <v>29</v>
      </c>
    </row>
    <row r="178" spans="2:15" x14ac:dyDescent="0.25">
      <c r="B178" s="7">
        <v>44920</v>
      </c>
      <c r="C178" s="13">
        <v>16841.990000000002</v>
      </c>
      <c r="D178" s="8">
        <v>1787</v>
      </c>
      <c r="F178" s="7">
        <v>44920</v>
      </c>
      <c r="G178" s="13">
        <v>16841.990000000002</v>
      </c>
      <c r="H178" s="4">
        <v>16841.990000000002</v>
      </c>
      <c r="I178" s="4">
        <v>16841.990000000002</v>
      </c>
      <c r="J178" s="4">
        <v>1787</v>
      </c>
      <c r="K178" s="4">
        <v>1787</v>
      </c>
      <c r="L178" s="4">
        <v>1787</v>
      </c>
      <c r="M178" s="3">
        <v>29</v>
      </c>
      <c r="N178" s="3">
        <v>29</v>
      </c>
      <c r="O178" s="54">
        <v>29</v>
      </c>
    </row>
    <row r="179" spans="2:15" x14ac:dyDescent="0.25">
      <c r="B179" s="7">
        <v>44921</v>
      </c>
      <c r="C179" s="13">
        <v>16919.8</v>
      </c>
      <c r="D179" s="8">
        <v>1795.90002441406</v>
      </c>
      <c r="F179" s="7">
        <v>44921</v>
      </c>
      <c r="G179" s="13">
        <v>16919.8</v>
      </c>
      <c r="H179" s="4">
        <v>16919.8</v>
      </c>
      <c r="I179" s="4">
        <v>16919.8</v>
      </c>
      <c r="J179" s="4">
        <v>1795.90002441406</v>
      </c>
      <c r="K179" s="4">
        <v>1795.90002441406</v>
      </c>
      <c r="L179" s="4">
        <v>1795.90002441406</v>
      </c>
      <c r="M179" s="3">
        <v>28</v>
      </c>
      <c r="N179" s="3">
        <v>28</v>
      </c>
      <c r="O179" s="54">
        <v>28</v>
      </c>
    </row>
    <row r="180" spans="2:15" x14ac:dyDescent="0.25">
      <c r="B180" s="7">
        <v>44922</v>
      </c>
      <c r="C180" s="13">
        <v>16717.169999999998</v>
      </c>
      <c r="D180" s="8">
        <v>1787</v>
      </c>
      <c r="F180" s="7">
        <v>44922</v>
      </c>
      <c r="G180" s="13">
        <v>16717.169999999998</v>
      </c>
      <c r="H180" s="4">
        <v>16717.169999999998</v>
      </c>
      <c r="I180" s="4">
        <v>16717.169999999998</v>
      </c>
      <c r="J180" s="4">
        <v>1787</v>
      </c>
      <c r="K180" s="4">
        <v>1787</v>
      </c>
      <c r="L180" s="4">
        <v>1787</v>
      </c>
      <c r="M180" s="3">
        <v>27</v>
      </c>
      <c r="N180" s="3">
        <v>27</v>
      </c>
      <c r="O180" s="54">
        <v>27</v>
      </c>
    </row>
    <row r="181" spans="2:15" x14ac:dyDescent="0.25">
      <c r="B181" s="7">
        <v>44923</v>
      </c>
      <c r="C181" s="13">
        <v>16552.57</v>
      </c>
      <c r="D181" s="8">
        <v>1814.80004882812</v>
      </c>
      <c r="F181" s="7">
        <v>44923</v>
      </c>
      <c r="G181" s="13">
        <v>16552.57</v>
      </c>
      <c r="H181" s="4">
        <v>16552.57</v>
      </c>
      <c r="I181" s="4">
        <v>16552.57</v>
      </c>
      <c r="J181" s="4">
        <v>1814.80004882812</v>
      </c>
      <c r="K181" s="4">
        <v>1814.80004882812</v>
      </c>
      <c r="L181" s="4">
        <v>1814.80004882812</v>
      </c>
      <c r="M181" s="3">
        <v>28</v>
      </c>
      <c r="N181" s="3">
        <v>28</v>
      </c>
      <c r="O181" s="54">
        <v>28</v>
      </c>
    </row>
    <row r="182" spans="2:15" x14ac:dyDescent="0.25">
      <c r="B182" s="7">
        <v>44924</v>
      </c>
      <c r="C182" s="13">
        <v>16642.34</v>
      </c>
      <c r="D182" s="8">
        <v>1807.90002441406</v>
      </c>
      <c r="F182" s="7">
        <v>44924</v>
      </c>
      <c r="G182" s="13">
        <v>16642.34</v>
      </c>
      <c r="H182" s="4">
        <v>16642.34</v>
      </c>
      <c r="I182" s="4">
        <v>16642.34</v>
      </c>
      <c r="J182" s="4">
        <v>1807.90002441406</v>
      </c>
      <c r="K182" s="4">
        <v>1807.90002441406</v>
      </c>
      <c r="L182" s="4">
        <v>1807.90002441406</v>
      </c>
      <c r="M182" s="3">
        <v>28</v>
      </c>
      <c r="N182" s="3">
        <v>28</v>
      </c>
      <c r="O182" s="54">
        <v>28</v>
      </c>
    </row>
    <row r="183" spans="2:15" ht="15.75" thickBot="1" x14ac:dyDescent="0.3">
      <c r="B183" s="7">
        <v>44925</v>
      </c>
      <c r="C183" s="13">
        <v>16602.59</v>
      </c>
      <c r="D183" s="8">
        <v>1819.5</v>
      </c>
      <c r="F183" s="7">
        <v>44925</v>
      </c>
      <c r="G183" s="13">
        <v>16602.59</v>
      </c>
      <c r="H183" s="4">
        <v>16602.59</v>
      </c>
      <c r="I183" s="4">
        <v>16602.59</v>
      </c>
      <c r="J183" s="4">
        <v>1819.5</v>
      </c>
      <c r="K183" s="4">
        <v>1819.5</v>
      </c>
      <c r="L183" s="4">
        <v>1819.5</v>
      </c>
      <c r="M183" s="3">
        <v>28</v>
      </c>
      <c r="N183" s="3">
        <v>28</v>
      </c>
      <c r="O183" s="54">
        <v>28</v>
      </c>
    </row>
    <row r="184" spans="2:15" ht="15.75" thickBot="1" x14ac:dyDescent="0.3">
      <c r="B184" s="19">
        <v>44926</v>
      </c>
      <c r="C184" s="13">
        <v>16547.5</v>
      </c>
      <c r="D184" s="8">
        <v>1819.69995117187</v>
      </c>
      <c r="F184" s="19">
        <v>44926</v>
      </c>
      <c r="G184" s="13">
        <v>16547.5</v>
      </c>
      <c r="H184" s="4">
        <v>16547.5</v>
      </c>
      <c r="I184" s="4">
        <v>16547.5</v>
      </c>
      <c r="J184" s="4">
        <v>1819.69995117187</v>
      </c>
      <c r="K184" s="4">
        <v>1819.69995117187</v>
      </c>
      <c r="L184" s="4">
        <v>1819.69995117187</v>
      </c>
      <c r="M184" s="3">
        <v>25</v>
      </c>
      <c r="N184" s="3">
        <v>25</v>
      </c>
      <c r="O184" s="54">
        <v>25</v>
      </c>
    </row>
    <row r="185" spans="2:15" x14ac:dyDescent="0.25">
      <c r="B185" s="7">
        <v>44927</v>
      </c>
      <c r="C185" s="13">
        <v>16625.080000000002</v>
      </c>
      <c r="D185" s="8">
        <v>1819.5</v>
      </c>
      <c r="F185" s="7">
        <v>44927</v>
      </c>
      <c r="G185" s="13">
        <v>16625.080000000002</v>
      </c>
      <c r="H185" s="4">
        <v>16625.080000000002</v>
      </c>
      <c r="I185" s="4">
        <v>16625.080000000002</v>
      </c>
      <c r="J185" s="4">
        <v>1819.5</v>
      </c>
      <c r="K185" s="4">
        <v>1819.5</v>
      </c>
      <c r="L185" s="4">
        <v>1819.5</v>
      </c>
      <c r="M185" s="3">
        <v>26</v>
      </c>
      <c r="N185" s="3">
        <v>26</v>
      </c>
      <c r="O185" s="54">
        <v>26</v>
      </c>
    </row>
    <row r="186" spans="2:15" x14ac:dyDescent="0.25">
      <c r="B186" s="7">
        <v>44928</v>
      </c>
      <c r="C186" s="13">
        <v>16688.47</v>
      </c>
      <c r="D186" s="8">
        <v>1819.69995117187</v>
      </c>
      <c r="F186" s="7">
        <v>44928</v>
      </c>
      <c r="G186" s="13">
        <v>16688.47</v>
      </c>
      <c r="H186" s="4">
        <v>16688.47</v>
      </c>
      <c r="I186" s="4">
        <v>16688.47</v>
      </c>
      <c r="J186" s="4">
        <v>1819.69995117187</v>
      </c>
      <c r="K186" s="4">
        <v>1819.69995117187</v>
      </c>
      <c r="L186" s="4">
        <v>1819.69995117187</v>
      </c>
      <c r="M186" s="3">
        <v>27</v>
      </c>
      <c r="N186" s="3">
        <v>27</v>
      </c>
      <c r="O186" s="54">
        <v>27</v>
      </c>
    </row>
    <row r="187" spans="2:15" x14ac:dyDescent="0.25">
      <c r="B187" s="7">
        <v>44929</v>
      </c>
      <c r="C187" s="13">
        <v>16679.86</v>
      </c>
      <c r="D187" s="8">
        <v>1819.5</v>
      </c>
      <c r="F187" s="7">
        <v>44929</v>
      </c>
      <c r="G187" s="13">
        <v>16679.86</v>
      </c>
      <c r="H187" s="4">
        <v>16679.86</v>
      </c>
      <c r="I187" s="4">
        <v>16679.86</v>
      </c>
      <c r="J187" s="4">
        <v>1819.5</v>
      </c>
      <c r="K187" s="4">
        <v>1819.5</v>
      </c>
      <c r="L187" s="4">
        <v>1819.5</v>
      </c>
      <c r="M187" s="3">
        <v>26</v>
      </c>
      <c r="N187" s="3">
        <v>26</v>
      </c>
      <c r="O187" s="54">
        <v>26</v>
      </c>
    </row>
    <row r="188" spans="2:15" x14ac:dyDescent="0.25">
      <c r="B188" s="7">
        <v>44930</v>
      </c>
      <c r="C188" s="13">
        <v>16863.240000000002</v>
      </c>
      <c r="D188" s="8">
        <v>1839.69995117187</v>
      </c>
      <c r="F188" s="7">
        <v>44930</v>
      </c>
      <c r="G188" s="13">
        <v>16863.240000000002</v>
      </c>
      <c r="H188" s="4">
        <v>16863.240000000002</v>
      </c>
      <c r="I188" s="4">
        <v>16863.240000000002</v>
      </c>
      <c r="J188" s="4">
        <v>1839.69995117187</v>
      </c>
      <c r="K188" s="4">
        <v>1839.69995117187</v>
      </c>
      <c r="L188" s="4">
        <v>1839.69995117187</v>
      </c>
      <c r="M188" s="3">
        <v>29</v>
      </c>
      <c r="N188" s="3">
        <v>29</v>
      </c>
      <c r="O188" s="54">
        <v>29</v>
      </c>
    </row>
    <row r="189" spans="2:15" x14ac:dyDescent="0.25">
      <c r="B189" s="7">
        <v>44931</v>
      </c>
      <c r="C189" s="13">
        <v>16836.740000000002</v>
      </c>
      <c r="D189" s="8">
        <v>1852.80004882812</v>
      </c>
      <c r="F189" s="7">
        <v>44931</v>
      </c>
      <c r="G189" s="13">
        <v>16836.740000000002</v>
      </c>
      <c r="H189" s="4">
        <v>16836.740000000002</v>
      </c>
      <c r="I189" s="4">
        <v>16836.740000000002</v>
      </c>
      <c r="J189" s="4">
        <v>1852.80004882812</v>
      </c>
      <c r="K189" s="4">
        <v>1852.80004882812</v>
      </c>
      <c r="L189" s="4">
        <v>1852.80004882812</v>
      </c>
      <c r="M189" s="3">
        <v>29</v>
      </c>
      <c r="N189" s="3">
        <v>29</v>
      </c>
      <c r="O189" s="54">
        <v>29</v>
      </c>
    </row>
    <row r="190" spans="2:15" x14ac:dyDescent="0.25">
      <c r="B190" s="7">
        <v>44932</v>
      </c>
      <c r="C190" s="13">
        <v>16951.97</v>
      </c>
      <c r="D190" s="8">
        <v>1834.80004882812</v>
      </c>
      <c r="F190" s="7">
        <v>44932</v>
      </c>
      <c r="G190" s="13">
        <v>16951.97</v>
      </c>
      <c r="H190" s="4">
        <v>16951.97</v>
      </c>
      <c r="I190" s="4">
        <v>16951.97</v>
      </c>
      <c r="J190" s="4">
        <v>1834.80004882812</v>
      </c>
      <c r="K190" s="4">
        <v>1834.80004882812</v>
      </c>
      <c r="L190" s="4">
        <v>1834.80004882812</v>
      </c>
      <c r="M190" s="3">
        <v>26</v>
      </c>
      <c r="N190" s="3">
        <v>26</v>
      </c>
      <c r="O190" s="54">
        <v>26</v>
      </c>
    </row>
    <row r="191" spans="2:15" x14ac:dyDescent="0.25">
      <c r="B191" s="7">
        <v>44933</v>
      </c>
      <c r="C191" s="13">
        <v>16955.080000000002</v>
      </c>
      <c r="D191" s="8">
        <v>1864.19995117187</v>
      </c>
      <c r="F191" s="7">
        <v>44933</v>
      </c>
      <c r="G191" s="13">
        <v>16955.080000000002</v>
      </c>
      <c r="H191" s="4">
        <v>16955.080000000002</v>
      </c>
      <c r="I191" s="4">
        <v>16955.080000000002</v>
      </c>
      <c r="J191" s="4">
        <v>1864.19995117187</v>
      </c>
      <c r="K191" s="4">
        <v>1864.19995117187</v>
      </c>
      <c r="L191" s="4">
        <v>1864.19995117187</v>
      </c>
      <c r="M191" s="3">
        <v>25</v>
      </c>
      <c r="N191" s="3">
        <v>25</v>
      </c>
      <c r="O191" s="54">
        <v>25</v>
      </c>
    </row>
    <row r="192" spans="2:15" x14ac:dyDescent="0.25">
      <c r="B192" s="7">
        <v>44934</v>
      </c>
      <c r="C192" s="13">
        <v>17091.14</v>
      </c>
      <c r="D192" s="8">
        <v>1834.80004882812</v>
      </c>
      <c r="F192" s="7">
        <v>44934</v>
      </c>
      <c r="G192" s="13">
        <v>17091.14</v>
      </c>
      <c r="H192" s="4">
        <v>17091.14</v>
      </c>
      <c r="I192" s="4">
        <v>17091.14</v>
      </c>
      <c r="J192" s="4">
        <v>1834.80004882812</v>
      </c>
      <c r="K192" s="4">
        <v>1834.80004882812</v>
      </c>
      <c r="L192" s="4">
        <v>1834.80004882812</v>
      </c>
      <c r="M192" s="3">
        <v>25</v>
      </c>
      <c r="N192" s="3">
        <v>25</v>
      </c>
      <c r="O192" s="54">
        <v>25</v>
      </c>
    </row>
    <row r="193" spans="2:15" x14ac:dyDescent="0.25">
      <c r="B193" s="7">
        <v>44935</v>
      </c>
      <c r="C193" s="13">
        <v>17196.55</v>
      </c>
      <c r="D193" s="8">
        <v>1864.19995117187</v>
      </c>
      <c r="F193" s="7">
        <v>44935</v>
      </c>
      <c r="G193" s="13">
        <v>17196.55</v>
      </c>
      <c r="H193" s="4">
        <v>17196.55</v>
      </c>
      <c r="I193" s="4">
        <v>17196.55</v>
      </c>
      <c r="J193" s="4">
        <v>1864.19995117187</v>
      </c>
      <c r="K193" s="4">
        <v>1864.19995117187</v>
      </c>
      <c r="L193" s="4">
        <v>1864.19995117187</v>
      </c>
      <c r="M193" s="3">
        <v>25</v>
      </c>
      <c r="N193" s="3">
        <v>25</v>
      </c>
      <c r="O193" s="54">
        <v>25</v>
      </c>
    </row>
    <row r="194" spans="2:15" x14ac:dyDescent="0.25">
      <c r="B194" s="7">
        <v>44936</v>
      </c>
      <c r="C194" s="13">
        <v>17446.29</v>
      </c>
      <c r="D194" s="8">
        <v>1872.69995117187</v>
      </c>
      <c r="F194" s="7">
        <v>44936</v>
      </c>
      <c r="G194" s="13">
        <v>17446.29</v>
      </c>
      <c r="H194" s="4">
        <v>17446.29</v>
      </c>
      <c r="I194" s="4">
        <v>17446.29</v>
      </c>
      <c r="J194" s="4">
        <v>1872.69995117187</v>
      </c>
      <c r="K194" s="4">
        <v>1872.69995117187</v>
      </c>
      <c r="L194" s="4">
        <v>1872.69995117187</v>
      </c>
      <c r="M194" s="3">
        <v>26</v>
      </c>
      <c r="N194" s="3">
        <v>26</v>
      </c>
      <c r="O194" s="54">
        <v>26</v>
      </c>
    </row>
    <row r="195" spans="2:15" x14ac:dyDescent="0.25">
      <c r="B195" s="7">
        <v>44937</v>
      </c>
      <c r="C195" s="13">
        <v>17934.900000000001</v>
      </c>
      <c r="D195" s="8">
        <v>1871.59997558593</v>
      </c>
      <c r="F195" s="7">
        <v>44937</v>
      </c>
      <c r="G195" s="13">
        <v>17934.900000000001</v>
      </c>
      <c r="H195" s="4">
        <v>17934.900000000001</v>
      </c>
      <c r="I195" s="4">
        <v>17934.900000000001</v>
      </c>
      <c r="J195" s="4">
        <v>1871.59997558593</v>
      </c>
      <c r="K195" s="4">
        <v>1871.59997558593</v>
      </c>
      <c r="L195" s="4">
        <v>1871.59997558593</v>
      </c>
      <c r="M195" s="3">
        <v>26</v>
      </c>
      <c r="N195" s="3">
        <v>26</v>
      </c>
      <c r="O195" s="54">
        <v>26</v>
      </c>
    </row>
    <row r="196" spans="2:15" x14ac:dyDescent="0.25">
      <c r="B196" s="7">
        <v>44938</v>
      </c>
      <c r="C196" s="13">
        <v>18869.59</v>
      </c>
      <c r="D196" s="8">
        <v>1874.59997558593</v>
      </c>
      <c r="F196" s="7">
        <v>44938</v>
      </c>
      <c r="G196" s="13">
        <v>18869.59</v>
      </c>
      <c r="H196" s="4">
        <v>18869.59</v>
      </c>
      <c r="I196" s="4">
        <v>18869.59</v>
      </c>
      <c r="J196" s="4">
        <v>1874.59997558593</v>
      </c>
      <c r="K196" s="4">
        <v>1874.59997558593</v>
      </c>
      <c r="L196" s="4">
        <v>1874.59997558593</v>
      </c>
      <c r="M196" s="3">
        <v>30</v>
      </c>
      <c r="N196" s="3">
        <v>30</v>
      </c>
      <c r="O196" s="54">
        <v>30</v>
      </c>
    </row>
    <row r="197" spans="2:15" x14ac:dyDescent="0.25">
      <c r="B197" s="7">
        <v>44939</v>
      </c>
      <c r="C197" s="13">
        <v>19909.57</v>
      </c>
      <c r="D197" s="8">
        <v>1895.5</v>
      </c>
      <c r="F197" s="7">
        <v>44939</v>
      </c>
      <c r="G197" s="13">
        <v>19909.57</v>
      </c>
      <c r="H197" s="4">
        <v>19909.57</v>
      </c>
      <c r="I197" s="4">
        <v>19909.57</v>
      </c>
      <c r="J197" s="4">
        <v>1895.5</v>
      </c>
      <c r="K197" s="4">
        <v>1895.5</v>
      </c>
      <c r="L197" s="4">
        <v>1895.5</v>
      </c>
      <c r="M197" s="3">
        <v>31</v>
      </c>
      <c r="N197" s="3">
        <v>31</v>
      </c>
      <c r="O197" s="54">
        <v>31</v>
      </c>
    </row>
    <row r="198" spans="2:15" x14ac:dyDescent="0.25">
      <c r="B198" s="7">
        <v>44940</v>
      </c>
      <c r="C198" s="13">
        <v>20976.3</v>
      </c>
      <c r="D198" s="8">
        <v>1918.40002441406</v>
      </c>
      <c r="F198" s="7">
        <v>44940</v>
      </c>
      <c r="G198" s="13">
        <v>20976.3</v>
      </c>
      <c r="H198" s="4">
        <v>20976.3</v>
      </c>
      <c r="I198" s="4">
        <v>20976.3</v>
      </c>
      <c r="J198" s="4">
        <v>1918.40002441406</v>
      </c>
      <c r="K198" s="4">
        <v>1918.40002441406</v>
      </c>
      <c r="L198" s="4">
        <v>1918.40002441406</v>
      </c>
      <c r="M198" s="3">
        <v>46</v>
      </c>
      <c r="N198" s="3">
        <v>46</v>
      </c>
      <c r="O198" s="54">
        <v>46</v>
      </c>
    </row>
    <row r="199" spans="2:15" x14ac:dyDescent="0.25">
      <c r="B199" s="7">
        <v>44941</v>
      </c>
      <c r="C199" s="13">
        <v>20880.8</v>
      </c>
      <c r="D199" s="8">
        <v>1895.5</v>
      </c>
      <c r="F199" s="7">
        <v>44941</v>
      </c>
      <c r="G199" s="13">
        <v>20880.8</v>
      </c>
      <c r="H199" s="4">
        <v>20880.8</v>
      </c>
      <c r="I199" s="4">
        <v>20880.8</v>
      </c>
      <c r="J199" s="4">
        <v>1895.5</v>
      </c>
      <c r="K199" s="4">
        <v>1895.5</v>
      </c>
      <c r="L199" s="4">
        <v>1895.5</v>
      </c>
      <c r="M199" s="3">
        <v>52</v>
      </c>
      <c r="N199" s="3">
        <v>52</v>
      </c>
      <c r="O199" s="54">
        <v>52</v>
      </c>
    </row>
    <row r="200" spans="2:15" x14ac:dyDescent="0.25">
      <c r="B200" s="7">
        <v>44942</v>
      </c>
      <c r="C200" s="13">
        <v>21169.63</v>
      </c>
      <c r="D200" s="8">
        <v>1918.40002441406</v>
      </c>
      <c r="F200" s="7">
        <v>44942</v>
      </c>
      <c r="G200" s="13">
        <v>21169.63</v>
      </c>
      <c r="H200" s="4">
        <v>21169.63</v>
      </c>
      <c r="I200" s="4">
        <v>21169.63</v>
      </c>
      <c r="J200" s="4">
        <v>1918.40002441406</v>
      </c>
      <c r="K200" s="4">
        <v>1918.40002441406</v>
      </c>
      <c r="L200" s="4">
        <v>1918.40002441406</v>
      </c>
      <c r="M200" s="3">
        <v>45</v>
      </c>
      <c r="N200" s="3">
        <v>45</v>
      </c>
      <c r="O200" s="54">
        <v>45</v>
      </c>
    </row>
    <row r="201" spans="2:15" x14ac:dyDescent="0.25">
      <c r="B201" s="7">
        <v>44943</v>
      </c>
      <c r="C201" s="13">
        <v>21161.52</v>
      </c>
      <c r="D201" s="8">
        <v>1895.5</v>
      </c>
      <c r="F201" s="7">
        <v>44943</v>
      </c>
      <c r="G201" s="13">
        <v>21161.52</v>
      </c>
      <c r="H201" s="4">
        <v>21161.52</v>
      </c>
      <c r="I201" s="4">
        <v>21161.52</v>
      </c>
      <c r="J201" s="4">
        <v>1895.5</v>
      </c>
      <c r="K201" s="4">
        <v>1895.5</v>
      </c>
      <c r="L201" s="4">
        <v>1895.5</v>
      </c>
      <c r="M201" s="3">
        <v>51</v>
      </c>
      <c r="N201" s="3">
        <v>51</v>
      </c>
      <c r="O201" s="54">
        <v>51</v>
      </c>
    </row>
    <row r="202" spans="2:15" x14ac:dyDescent="0.25">
      <c r="B202" s="7">
        <v>44944</v>
      </c>
      <c r="C202" s="13">
        <v>20688.78</v>
      </c>
      <c r="D202" s="8">
        <v>1907.19995117187</v>
      </c>
      <c r="F202" s="7">
        <v>44944</v>
      </c>
      <c r="G202" s="13">
        <v>20688.78</v>
      </c>
      <c r="H202" s="4">
        <v>20688.78</v>
      </c>
      <c r="I202" s="4">
        <v>20688.78</v>
      </c>
      <c r="J202" s="4">
        <v>1907.19995117187</v>
      </c>
      <c r="K202" s="4">
        <v>1907.19995117187</v>
      </c>
      <c r="L202" s="4">
        <v>1907.19995117187</v>
      </c>
      <c r="M202" s="3">
        <v>52</v>
      </c>
      <c r="N202" s="3">
        <v>52</v>
      </c>
      <c r="O202" s="54">
        <v>52</v>
      </c>
    </row>
    <row r="203" spans="2:15" x14ac:dyDescent="0.25">
      <c r="B203" s="7">
        <v>44945</v>
      </c>
      <c r="C203" s="13">
        <v>21086.79</v>
      </c>
      <c r="D203" s="8">
        <v>1904.40002441406</v>
      </c>
      <c r="F203" s="7">
        <v>44945</v>
      </c>
      <c r="G203" s="13">
        <v>21086.79</v>
      </c>
      <c r="H203" s="4">
        <v>21086.79</v>
      </c>
      <c r="I203" s="4">
        <v>21086.79</v>
      </c>
      <c r="J203" s="4">
        <v>1904.40002441406</v>
      </c>
      <c r="K203" s="4">
        <v>1904.40002441406</v>
      </c>
      <c r="L203" s="4">
        <v>1904.40002441406</v>
      </c>
      <c r="M203" s="3">
        <v>45</v>
      </c>
      <c r="N203" s="3">
        <v>45</v>
      </c>
      <c r="O203" s="54">
        <v>45</v>
      </c>
    </row>
    <row r="204" spans="2:15" x14ac:dyDescent="0.25">
      <c r="B204" s="7">
        <v>44946</v>
      </c>
      <c r="C204" s="13">
        <v>22676.55</v>
      </c>
      <c r="D204" s="8">
        <v>1922.09997558593</v>
      </c>
      <c r="F204" s="7">
        <v>44946</v>
      </c>
      <c r="G204" s="13">
        <v>22676.55</v>
      </c>
      <c r="H204" s="4">
        <v>22676.55</v>
      </c>
      <c r="I204" s="4">
        <v>22676.55</v>
      </c>
      <c r="J204" s="4">
        <v>1922.09997558593</v>
      </c>
      <c r="K204" s="4">
        <v>1922.09997558593</v>
      </c>
      <c r="L204" s="4">
        <v>1922.09997558593</v>
      </c>
      <c r="M204" s="3">
        <v>51</v>
      </c>
      <c r="N204" s="3">
        <v>51</v>
      </c>
      <c r="O204" s="54">
        <v>51</v>
      </c>
    </row>
    <row r="205" spans="2:15" x14ac:dyDescent="0.25">
      <c r="B205" s="7">
        <v>44947</v>
      </c>
      <c r="C205" s="13">
        <v>22777.63</v>
      </c>
      <c r="D205" s="8">
        <v>1926.40002441406</v>
      </c>
      <c r="F205" s="7">
        <v>44947</v>
      </c>
      <c r="G205" s="13">
        <v>22777.63</v>
      </c>
      <c r="H205" s="4">
        <v>22777.63</v>
      </c>
      <c r="I205" s="4">
        <v>22777.63</v>
      </c>
      <c r="J205" s="4">
        <v>1926.40002441406</v>
      </c>
      <c r="K205" s="4">
        <v>1926.40002441406</v>
      </c>
      <c r="L205" s="4">
        <v>1926.40002441406</v>
      </c>
      <c r="M205" s="3">
        <v>53</v>
      </c>
      <c r="N205" s="3">
        <v>53</v>
      </c>
      <c r="O205" s="54">
        <v>53</v>
      </c>
    </row>
    <row r="206" spans="2:15" x14ac:dyDescent="0.25">
      <c r="B206" s="7">
        <v>44948</v>
      </c>
      <c r="C206" s="13">
        <v>22720.42</v>
      </c>
      <c r="D206" s="8">
        <v>1922.09997558593</v>
      </c>
      <c r="F206" s="7">
        <v>44948</v>
      </c>
      <c r="G206" s="13">
        <v>22720.42</v>
      </c>
      <c r="H206" s="4">
        <v>22720.42</v>
      </c>
      <c r="I206" s="4">
        <v>22720.42</v>
      </c>
      <c r="J206" s="4">
        <v>1922.09997558593</v>
      </c>
      <c r="K206" s="4">
        <v>1922.09997558593</v>
      </c>
      <c r="L206" s="4">
        <v>1922.09997558593</v>
      </c>
      <c r="M206" s="3">
        <v>53</v>
      </c>
      <c r="N206" s="3">
        <v>53</v>
      </c>
      <c r="O206" s="54">
        <v>53</v>
      </c>
    </row>
    <row r="207" spans="2:15" x14ac:dyDescent="0.25">
      <c r="B207" s="7">
        <v>44949</v>
      </c>
      <c r="C207" s="13">
        <v>22934.43</v>
      </c>
      <c r="D207" s="8">
        <v>1926.40002441406</v>
      </c>
      <c r="F207" s="7">
        <v>44949</v>
      </c>
      <c r="G207" s="13">
        <v>22934.43</v>
      </c>
      <c r="H207" s="4">
        <v>22934.43</v>
      </c>
      <c r="I207" s="4">
        <v>22934.43</v>
      </c>
      <c r="J207" s="4">
        <v>1926.40002441406</v>
      </c>
      <c r="K207" s="4">
        <v>1926.40002441406</v>
      </c>
      <c r="L207" s="4">
        <v>1926.40002441406</v>
      </c>
      <c r="M207" s="3">
        <v>50</v>
      </c>
      <c r="N207" s="3">
        <v>50</v>
      </c>
      <c r="O207" s="54">
        <v>50</v>
      </c>
    </row>
    <row r="208" spans="2:15" x14ac:dyDescent="0.25">
      <c r="B208" s="7">
        <v>44950</v>
      </c>
      <c r="C208" s="13">
        <v>22636.47</v>
      </c>
      <c r="D208" s="8">
        <v>1927.09997558593</v>
      </c>
      <c r="F208" s="7">
        <v>44950</v>
      </c>
      <c r="G208" s="13">
        <v>22636.47</v>
      </c>
      <c r="H208" s="4">
        <v>22636.47</v>
      </c>
      <c r="I208" s="4">
        <v>22636.47</v>
      </c>
      <c r="J208" s="4">
        <v>1927.09997558593</v>
      </c>
      <c r="K208" s="4">
        <v>1927.09997558593</v>
      </c>
      <c r="L208" s="4">
        <v>1927.09997558593</v>
      </c>
      <c r="M208" s="3">
        <v>52</v>
      </c>
      <c r="N208" s="3">
        <v>52</v>
      </c>
      <c r="O208" s="54">
        <v>52</v>
      </c>
    </row>
    <row r="209" spans="2:15" x14ac:dyDescent="0.25">
      <c r="B209" s="7">
        <v>44951</v>
      </c>
      <c r="C209" s="13">
        <v>23117.86</v>
      </c>
      <c r="D209" s="8">
        <v>1933.90002441406</v>
      </c>
      <c r="F209" s="7">
        <v>44951</v>
      </c>
      <c r="G209" s="13">
        <v>23117.86</v>
      </c>
      <c r="H209" s="4">
        <v>23117.86</v>
      </c>
      <c r="I209" s="4">
        <v>23117.86</v>
      </c>
      <c r="J209" s="4">
        <v>1933.90002441406</v>
      </c>
      <c r="K209" s="4">
        <v>1933.90002441406</v>
      </c>
      <c r="L209" s="4">
        <v>1933.90002441406</v>
      </c>
      <c r="M209" s="3">
        <v>51</v>
      </c>
      <c r="N209" s="3">
        <v>51</v>
      </c>
      <c r="O209" s="54">
        <v>51</v>
      </c>
    </row>
    <row r="210" spans="2:15" x14ac:dyDescent="0.25">
      <c r="B210" s="7">
        <v>44952</v>
      </c>
      <c r="C210" s="13">
        <v>23032.78</v>
      </c>
      <c r="D210" s="8">
        <v>1941.19995117187</v>
      </c>
      <c r="F210" s="7">
        <v>44952</v>
      </c>
      <c r="G210" s="13">
        <v>23032.78</v>
      </c>
      <c r="H210" s="4">
        <v>23032.78</v>
      </c>
      <c r="I210" s="4">
        <v>23032.78</v>
      </c>
      <c r="J210" s="4">
        <v>1941.19995117187</v>
      </c>
      <c r="K210" s="4">
        <v>1941.19995117187</v>
      </c>
      <c r="L210" s="4">
        <v>1941.19995117187</v>
      </c>
      <c r="M210" s="3">
        <v>54</v>
      </c>
      <c r="N210" s="3">
        <v>54</v>
      </c>
      <c r="O210" s="54">
        <v>54</v>
      </c>
    </row>
    <row r="211" spans="2:15" x14ac:dyDescent="0.25">
      <c r="B211" s="7">
        <v>44953</v>
      </c>
      <c r="C211" s="13">
        <v>23078.73</v>
      </c>
      <c r="D211" s="8">
        <v>1929.09997558593</v>
      </c>
      <c r="F211" s="7">
        <v>44953</v>
      </c>
      <c r="G211" s="13">
        <v>23078.73</v>
      </c>
      <c r="H211" s="4">
        <v>23078.73</v>
      </c>
      <c r="I211" s="4">
        <v>23078.73</v>
      </c>
      <c r="J211" s="4">
        <v>1929.09997558593</v>
      </c>
      <c r="K211" s="4">
        <v>1929.09997558593</v>
      </c>
      <c r="L211" s="4">
        <v>1929.09997558593</v>
      </c>
      <c r="M211" s="3">
        <v>55</v>
      </c>
      <c r="N211" s="3">
        <v>55</v>
      </c>
      <c r="O211" s="54">
        <v>55</v>
      </c>
    </row>
    <row r="212" spans="2:15" x14ac:dyDescent="0.25">
      <c r="B212" s="7">
        <v>44954</v>
      </c>
      <c r="C212" s="13">
        <v>23031.09</v>
      </c>
      <c r="D212" s="8">
        <v>1928.59997558593</v>
      </c>
      <c r="F212" s="7">
        <v>44954</v>
      </c>
      <c r="G212" s="13">
        <v>23031.09</v>
      </c>
      <c r="H212" s="4">
        <v>23031.09</v>
      </c>
      <c r="I212" s="4">
        <v>23031.09</v>
      </c>
      <c r="J212" s="4">
        <v>1928.59997558593</v>
      </c>
      <c r="K212" s="4">
        <v>1928.59997558593</v>
      </c>
      <c r="L212" s="4">
        <v>1928.59997558593</v>
      </c>
      <c r="M212" s="3">
        <v>52</v>
      </c>
      <c r="N212" s="3">
        <v>52</v>
      </c>
      <c r="O212" s="54">
        <v>52</v>
      </c>
    </row>
    <row r="213" spans="2:15" x14ac:dyDescent="0.25">
      <c r="B213" s="7">
        <v>44955</v>
      </c>
      <c r="C213" s="13">
        <v>23774.57</v>
      </c>
      <c r="D213" s="8">
        <v>1929.09997558593</v>
      </c>
      <c r="F213" s="7">
        <v>44955</v>
      </c>
      <c r="G213" s="13">
        <v>23774.57</v>
      </c>
      <c r="H213" s="4">
        <v>23774.57</v>
      </c>
      <c r="I213" s="4">
        <v>23774.57</v>
      </c>
      <c r="J213" s="4">
        <v>1929.09997558593</v>
      </c>
      <c r="K213" s="4">
        <v>1929.09997558593</v>
      </c>
      <c r="L213" s="4">
        <v>1929.09997558593</v>
      </c>
      <c r="M213" s="3">
        <v>55</v>
      </c>
      <c r="N213" s="3">
        <v>55</v>
      </c>
      <c r="O213" s="54">
        <v>55</v>
      </c>
    </row>
    <row r="214" spans="2:15" x14ac:dyDescent="0.25">
      <c r="B214" s="7">
        <v>44956</v>
      </c>
      <c r="C214" s="13">
        <v>22840.14</v>
      </c>
      <c r="D214" s="8">
        <v>1928.59997558593</v>
      </c>
      <c r="F214" s="7">
        <v>44956</v>
      </c>
      <c r="G214" s="13">
        <v>22840.14</v>
      </c>
      <c r="H214" s="4">
        <v>22840.14</v>
      </c>
      <c r="I214" s="4">
        <v>22840.14</v>
      </c>
      <c r="J214" s="4">
        <v>1928.59997558593</v>
      </c>
      <c r="K214" s="4">
        <v>1928.59997558593</v>
      </c>
      <c r="L214" s="4">
        <v>1928.59997558593</v>
      </c>
      <c r="M214" s="3">
        <v>61</v>
      </c>
      <c r="N214" s="3">
        <v>61</v>
      </c>
      <c r="O214" s="54">
        <v>61</v>
      </c>
    </row>
    <row r="215" spans="2:15" x14ac:dyDescent="0.25">
      <c r="B215" s="7">
        <v>44957</v>
      </c>
      <c r="C215" s="13">
        <v>23139.279999999999</v>
      </c>
      <c r="D215" s="8">
        <v>1922.90002441406</v>
      </c>
      <c r="F215" s="7">
        <v>44957</v>
      </c>
      <c r="G215" s="13">
        <v>23139.279999999999</v>
      </c>
      <c r="H215" s="4">
        <v>23139.279999999999</v>
      </c>
      <c r="I215" s="4">
        <v>23139.279999999999</v>
      </c>
      <c r="J215" s="4">
        <v>1922.90002441406</v>
      </c>
      <c r="K215" s="4">
        <v>1922.90002441406</v>
      </c>
      <c r="L215" s="4">
        <v>1922.90002441406</v>
      </c>
      <c r="M215" s="3">
        <v>51</v>
      </c>
      <c r="N215" s="3">
        <v>51</v>
      </c>
      <c r="O215" s="54">
        <v>51</v>
      </c>
    </row>
    <row r="216" spans="2:15" x14ac:dyDescent="0.25">
      <c r="B216" s="7">
        <v>44958</v>
      </c>
      <c r="C216" s="13">
        <v>23723.77</v>
      </c>
      <c r="D216" s="8">
        <v>1929.5</v>
      </c>
      <c r="F216" s="7">
        <v>44958</v>
      </c>
      <c r="G216" s="13">
        <v>23723.77</v>
      </c>
      <c r="H216" s="4">
        <v>23723.77</v>
      </c>
      <c r="I216" s="4">
        <v>23723.77</v>
      </c>
      <c r="J216" s="4">
        <v>1929.5</v>
      </c>
      <c r="K216" s="4">
        <v>1929.5</v>
      </c>
      <c r="L216" s="4">
        <v>1929.5</v>
      </c>
      <c r="M216" s="3">
        <v>56</v>
      </c>
      <c r="N216" s="3">
        <v>56</v>
      </c>
      <c r="O216" s="54">
        <v>56</v>
      </c>
    </row>
    <row r="217" spans="2:15" x14ac:dyDescent="0.25">
      <c r="B217" s="7">
        <v>44959</v>
      </c>
      <c r="C217" s="13">
        <v>23471.87</v>
      </c>
      <c r="D217" s="8">
        <v>1927.80004882812</v>
      </c>
      <c r="F217" s="7">
        <v>44959</v>
      </c>
      <c r="G217" s="13">
        <v>23471.87</v>
      </c>
      <c r="H217" s="4">
        <v>23471.87</v>
      </c>
      <c r="I217" s="4">
        <v>23471.87</v>
      </c>
      <c r="J217" s="4">
        <v>1927.80004882812</v>
      </c>
      <c r="K217" s="4">
        <v>1927.80004882812</v>
      </c>
      <c r="L217" s="4">
        <v>1927.80004882812</v>
      </c>
      <c r="M217" s="3">
        <v>60</v>
      </c>
      <c r="N217" s="3">
        <v>60</v>
      </c>
      <c r="O217" s="54">
        <v>60</v>
      </c>
    </row>
    <row r="218" spans="2:15" x14ac:dyDescent="0.25">
      <c r="B218" s="7">
        <v>44960</v>
      </c>
      <c r="C218" s="13">
        <v>23449.32</v>
      </c>
      <c r="D218" s="8">
        <v>1916.30004882812</v>
      </c>
      <c r="F218" s="7">
        <v>44960</v>
      </c>
      <c r="G218" s="13">
        <v>23449.32</v>
      </c>
      <c r="H218" s="4">
        <v>23449.32</v>
      </c>
      <c r="I218" s="4">
        <v>23449.32</v>
      </c>
      <c r="J218" s="4">
        <v>1916.30004882812</v>
      </c>
      <c r="K218" s="4">
        <v>1916.30004882812</v>
      </c>
      <c r="L218" s="4">
        <v>1916.30004882812</v>
      </c>
      <c r="M218" s="3">
        <v>60</v>
      </c>
      <c r="N218" s="3">
        <v>60</v>
      </c>
      <c r="O218" s="54">
        <v>60</v>
      </c>
    </row>
    <row r="219" spans="2:15" x14ac:dyDescent="0.25">
      <c r="B219" s="7">
        <v>44961</v>
      </c>
      <c r="C219" s="13">
        <v>23331.85</v>
      </c>
      <c r="D219" s="8">
        <v>1862.90002441406</v>
      </c>
      <c r="F219" s="7">
        <v>44961</v>
      </c>
      <c r="G219" s="13">
        <v>23331.85</v>
      </c>
      <c r="H219" s="4">
        <v>23331.85</v>
      </c>
      <c r="I219" s="4">
        <v>23331.85</v>
      </c>
      <c r="J219" s="4">
        <v>1862.90002441406</v>
      </c>
      <c r="K219" s="4">
        <v>1862.90002441406</v>
      </c>
      <c r="L219" s="4">
        <v>1862.90002441406</v>
      </c>
      <c r="M219" s="3">
        <v>58</v>
      </c>
      <c r="N219" s="3">
        <v>58</v>
      </c>
      <c r="O219" s="54">
        <v>58</v>
      </c>
    </row>
    <row r="220" spans="2:15" x14ac:dyDescent="0.25">
      <c r="B220" s="7">
        <v>44962</v>
      </c>
      <c r="C220" s="13">
        <v>22955.67</v>
      </c>
      <c r="D220" s="8">
        <v>1916.30004882812</v>
      </c>
      <c r="F220" s="7">
        <v>44962</v>
      </c>
      <c r="G220" s="13">
        <v>22955.67</v>
      </c>
      <c r="H220" s="4">
        <v>22955.67</v>
      </c>
      <c r="I220" s="4">
        <v>22955.67</v>
      </c>
      <c r="J220" s="4">
        <v>1916.30004882812</v>
      </c>
      <c r="K220" s="4">
        <v>1916.30004882812</v>
      </c>
      <c r="L220" s="4">
        <v>1916.30004882812</v>
      </c>
      <c r="M220" s="3">
        <v>58</v>
      </c>
      <c r="N220" s="3">
        <v>58</v>
      </c>
      <c r="O220" s="54">
        <v>58</v>
      </c>
    </row>
    <row r="221" spans="2:15" x14ac:dyDescent="0.25">
      <c r="B221" s="7">
        <v>44963</v>
      </c>
      <c r="C221" s="13">
        <v>22760.11</v>
      </c>
      <c r="D221" s="8">
        <v>1862.90002441406</v>
      </c>
      <c r="F221" s="7">
        <v>44963</v>
      </c>
      <c r="G221" s="13">
        <v>22760.11</v>
      </c>
      <c r="H221" s="4">
        <v>22760.11</v>
      </c>
      <c r="I221" s="4">
        <v>22760.11</v>
      </c>
      <c r="J221" s="4">
        <v>1862.90002441406</v>
      </c>
      <c r="K221" s="4">
        <v>1862.90002441406</v>
      </c>
      <c r="L221" s="4">
        <v>1862.90002441406</v>
      </c>
      <c r="M221" s="3">
        <v>56</v>
      </c>
      <c r="N221" s="3">
        <v>56</v>
      </c>
      <c r="O221" s="54">
        <v>56</v>
      </c>
    </row>
    <row r="222" spans="2:15" x14ac:dyDescent="0.25">
      <c r="B222" s="7">
        <v>44964</v>
      </c>
      <c r="C222" s="13">
        <v>23264.29</v>
      </c>
      <c r="D222" s="8">
        <v>1866.19995117187</v>
      </c>
      <c r="F222" s="7">
        <v>44964</v>
      </c>
      <c r="G222" s="13">
        <v>23264.29</v>
      </c>
      <c r="H222" s="4">
        <v>23264.29</v>
      </c>
      <c r="I222" s="4">
        <v>23264.29</v>
      </c>
      <c r="J222" s="4">
        <v>1866.19995117187</v>
      </c>
      <c r="K222" s="4">
        <v>1866.19995117187</v>
      </c>
      <c r="L222" s="4">
        <v>1866.19995117187</v>
      </c>
      <c r="M222" s="3">
        <v>54</v>
      </c>
      <c r="N222" s="3">
        <v>54</v>
      </c>
      <c r="O222" s="54">
        <v>54</v>
      </c>
    </row>
    <row r="223" spans="2:15" x14ac:dyDescent="0.25">
      <c r="B223" s="7">
        <v>44965</v>
      </c>
      <c r="C223" s="13">
        <v>22939.4</v>
      </c>
      <c r="D223" s="8">
        <v>1871.69995117187</v>
      </c>
      <c r="F223" s="7">
        <v>44965</v>
      </c>
      <c r="G223" s="13">
        <v>22939.4</v>
      </c>
      <c r="H223" s="4">
        <v>22939.4</v>
      </c>
      <c r="I223" s="4">
        <v>22939.4</v>
      </c>
      <c r="J223" s="4">
        <v>1871.69995117187</v>
      </c>
      <c r="K223" s="4">
        <v>1871.69995117187</v>
      </c>
      <c r="L223" s="4">
        <v>1871.69995117187</v>
      </c>
      <c r="M223" s="3">
        <v>58</v>
      </c>
      <c r="N223" s="3">
        <v>58</v>
      </c>
      <c r="O223" s="54">
        <v>58</v>
      </c>
    </row>
    <row r="224" spans="2:15" x14ac:dyDescent="0.25">
      <c r="B224" s="7">
        <v>44966</v>
      </c>
      <c r="C224" s="13">
        <v>21819.040000000001</v>
      </c>
      <c r="D224" s="8">
        <v>1877.40002441406</v>
      </c>
      <c r="F224" s="7">
        <v>44966</v>
      </c>
      <c r="G224" s="13">
        <v>21819.040000000001</v>
      </c>
      <c r="H224" s="4">
        <v>21819.040000000001</v>
      </c>
      <c r="I224" s="4">
        <v>21819.040000000001</v>
      </c>
      <c r="J224" s="4">
        <v>1877.40002441406</v>
      </c>
      <c r="K224" s="4">
        <v>1877.40002441406</v>
      </c>
      <c r="L224" s="4">
        <v>1877.40002441406</v>
      </c>
      <c r="M224" s="3">
        <v>55</v>
      </c>
      <c r="N224" s="3">
        <v>55</v>
      </c>
      <c r="O224" s="54">
        <v>55</v>
      </c>
    </row>
    <row r="225" spans="2:15" x14ac:dyDescent="0.25">
      <c r="B225" s="7">
        <v>44967</v>
      </c>
      <c r="C225" s="13">
        <v>21651.18</v>
      </c>
      <c r="D225" s="8">
        <v>1866.19995117187</v>
      </c>
      <c r="F225" s="7">
        <v>44967</v>
      </c>
      <c r="G225" s="13">
        <v>21651.18</v>
      </c>
      <c r="H225" s="4">
        <v>21651.18</v>
      </c>
      <c r="I225" s="4">
        <v>21651.18</v>
      </c>
      <c r="J225" s="4">
        <v>1866.19995117187</v>
      </c>
      <c r="K225" s="4">
        <v>1866.19995117187</v>
      </c>
      <c r="L225" s="4">
        <v>1866.19995117187</v>
      </c>
      <c r="M225" s="3">
        <v>48</v>
      </c>
      <c r="N225" s="3">
        <v>48</v>
      </c>
      <c r="O225" s="54">
        <v>48</v>
      </c>
    </row>
    <row r="226" spans="2:15" x14ac:dyDescent="0.25">
      <c r="B226" s="7">
        <v>44968</v>
      </c>
      <c r="C226" s="13">
        <v>21870.880000000001</v>
      </c>
      <c r="D226" s="8">
        <v>1862.80004882812</v>
      </c>
      <c r="F226" s="7">
        <v>44968</v>
      </c>
      <c r="G226" s="13">
        <v>21870.880000000001</v>
      </c>
      <c r="H226" s="4">
        <v>21870.880000000001</v>
      </c>
      <c r="I226" s="4">
        <v>21870.880000000001</v>
      </c>
      <c r="J226" s="4">
        <v>1862.80004882812</v>
      </c>
      <c r="K226" s="4">
        <v>1862.80004882812</v>
      </c>
      <c r="L226" s="4">
        <v>1862.80004882812</v>
      </c>
      <c r="M226" s="3">
        <v>49</v>
      </c>
      <c r="N226" s="3">
        <v>49</v>
      </c>
      <c r="O226" s="54">
        <v>49</v>
      </c>
    </row>
    <row r="227" spans="2:15" x14ac:dyDescent="0.25">
      <c r="B227" s="7">
        <v>44969</v>
      </c>
      <c r="C227" s="13">
        <v>21788.2</v>
      </c>
      <c r="D227" s="8">
        <v>1866.19995117187</v>
      </c>
      <c r="F227" s="7">
        <v>44969</v>
      </c>
      <c r="G227" s="13">
        <v>21788.2</v>
      </c>
      <c r="H227" s="4">
        <v>21788.2</v>
      </c>
      <c r="I227" s="4">
        <v>21788.2</v>
      </c>
      <c r="J227" s="4">
        <v>1866.19995117187</v>
      </c>
      <c r="K227" s="4">
        <v>1866.19995117187</v>
      </c>
      <c r="L227" s="4">
        <v>1866.19995117187</v>
      </c>
      <c r="M227" s="3">
        <v>50</v>
      </c>
      <c r="N227" s="3">
        <v>50</v>
      </c>
      <c r="O227" s="54">
        <v>50</v>
      </c>
    </row>
    <row r="228" spans="2:15" x14ac:dyDescent="0.25">
      <c r="B228" s="7">
        <v>44970</v>
      </c>
      <c r="C228" s="13">
        <v>21808.1</v>
      </c>
      <c r="D228" s="8">
        <v>1862.80004882812</v>
      </c>
      <c r="F228" s="7">
        <v>44970</v>
      </c>
      <c r="G228" s="13">
        <v>21808.1</v>
      </c>
      <c r="H228" s="4">
        <v>21808.1</v>
      </c>
      <c r="I228" s="4">
        <v>21808.1</v>
      </c>
      <c r="J228" s="4">
        <v>1862.80004882812</v>
      </c>
      <c r="K228" s="4">
        <v>1862.80004882812</v>
      </c>
      <c r="L228" s="4">
        <v>1862.80004882812</v>
      </c>
      <c r="M228" s="3">
        <v>48</v>
      </c>
      <c r="N228" s="3">
        <v>48</v>
      </c>
      <c r="O228" s="54">
        <v>48</v>
      </c>
    </row>
    <row r="229" spans="2:15" x14ac:dyDescent="0.25">
      <c r="B229" s="7">
        <v>44971</v>
      </c>
      <c r="C229" s="13">
        <v>22220.799999999999</v>
      </c>
      <c r="D229" s="8">
        <v>1851.90002441406</v>
      </c>
      <c r="F229" s="7">
        <v>44971</v>
      </c>
      <c r="G229" s="13">
        <v>22220.799999999999</v>
      </c>
      <c r="H229" s="4">
        <v>22220.799999999999</v>
      </c>
      <c r="I229" s="4">
        <v>22220.799999999999</v>
      </c>
      <c r="J229" s="4">
        <v>1851.90002441406</v>
      </c>
      <c r="K229" s="4">
        <v>1851.90002441406</v>
      </c>
      <c r="L229" s="4">
        <v>1851.90002441406</v>
      </c>
      <c r="M229" s="3">
        <v>50</v>
      </c>
      <c r="N229" s="3">
        <v>50</v>
      </c>
      <c r="O229" s="54">
        <v>50</v>
      </c>
    </row>
    <row r="230" spans="2:15" x14ac:dyDescent="0.25">
      <c r="B230" s="7">
        <v>44972</v>
      </c>
      <c r="C230" s="13">
        <v>24307.84</v>
      </c>
      <c r="D230" s="8">
        <v>1854</v>
      </c>
      <c r="F230" s="7">
        <v>44972</v>
      </c>
      <c r="G230" s="13">
        <v>24307.84</v>
      </c>
      <c r="H230" s="4">
        <v>24307.84</v>
      </c>
      <c r="I230" s="4">
        <v>24307.84</v>
      </c>
      <c r="J230" s="4">
        <v>1854</v>
      </c>
      <c r="K230" s="4">
        <v>1854</v>
      </c>
      <c r="L230" s="4">
        <v>1854</v>
      </c>
      <c r="M230" s="3">
        <v>53</v>
      </c>
      <c r="N230" s="3">
        <v>53</v>
      </c>
      <c r="O230" s="54">
        <v>53</v>
      </c>
    </row>
    <row r="231" spans="2:15" x14ac:dyDescent="0.25">
      <c r="B231" s="7">
        <v>44973</v>
      </c>
      <c r="C231" s="13">
        <v>23623.47</v>
      </c>
      <c r="D231" s="8">
        <v>1834.19995117187</v>
      </c>
      <c r="F231" s="7">
        <v>44973</v>
      </c>
      <c r="G231" s="13">
        <v>23623.47</v>
      </c>
      <c r="H231" s="4">
        <v>23623.47</v>
      </c>
      <c r="I231" s="4">
        <v>23623.47</v>
      </c>
      <c r="J231" s="4">
        <v>1834.19995117187</v>
      </c>
      <c r="K231" s="4">
        <v>1834.19995117187</v>
      </c>
      <c r="L231" s="4">
        <v>1834.19995117187</v>
      </c>
      <c r="M231" s="3">
        <v>62</v>
      </c>
      <c r="N231" s="3">
        <v>62</v>
      </c>
      <c r="O231" s="54">
        <v>62</v>
      </c>
    </row>
    <row r="232" spans="2:15" x14ac:dyDescent="0.25">
      <c r="B232" s="7">
        <v>44974</v>
      </c>
      <c r="C232" s="13">
        <v>24565.599999999999</v>
      </c>
      <c r="D232" s="8">
        <v>1842</v>
      </c>
      <c r="F232" s="7">
        <v>44974</v>
      </c>
      <c r="G232" s="13">
        <v>24565.599999999999</v>
      </c>
      <c r="H232" s="4">
        <v>24565.599999999999</v>
      </c>
      <c r="I232" s="4">
        <v>24565.599999999999</v>
      </c>
      <c r="J232" s="4">
        <v>1842</v>
      </c>
      <c r="K232" s="4">
        <v>1842</v>
      </c>
      <c r="L232" s="4">
        <v>1842</v>
      </c>
      <c r="M232" s="3">
        <v>61</v>
      </c>
      <c r="N232" s="3">
        <v>61</v>
      </c>
      <c r="O232" s="54">
        <v>61</v>
      </c>
    </row>
    <row r="233" spans="2:15" x14ac:dyDescent="0.25">
      <c r="B233" s="7">
        <v>44975</v>
      </c>
      <c r="C233" s="13">
        <v>24641.279999999999</v>
      </c>
      <c r="D233" s="8">
        <v>1840.40002441406</v>
      </c>
      <c r="F233" s="7">
        <v>44975</v>
      </c>
      <c r="G233" s="13">
        <v>24641.279999999999</v>
      </c>
      <c r="H233" s="4">
        <v>24641.279999999999</v>
      </c>
      <c r="I233" s="4">
        <v>24641.279999999999</v>
      </c>
      <c r="J233" s="4">
        <v>1840.40002441406</v>
      </c>
      <c r="K233" s="4">
        <v>1840.40002441406</v>
      </c>
      <c r="L233" s="4">
        <v>1840.40002441406</v>
      </c>
      <c r="M233" s="3">
        <v>60</v>
      </c>
      <c r="N233" s="3">
        <v>60</v>
      </c>
      <c r="O233" s="54">
        <v>60</v>
      </c>
    </row>
    <row r="234" spans="2:15" x14ac:dyDescent="0.25">
      <c r="B234" s="7">
        <v>44976</v>
      </c>
      <c r="C234" s="13">
        <v>24327.64</v>
      </c>
      <c r="D234" s="8">
        <v>1842</v>
      </c>
      <c r="F234" s="7">
        <v>44976</v>
      </c>
      <c r="G234" s="13">
        <v>24327.64</v>
      </c>
      <c r="H234" s="4">
        <v>24327.64</v>
      </c>
      <c r="I234" s="4">
        <v>24327.64</v>
      </c>
      <c r="J234" s="4">
        <v>1842</v>
      </c>
      <c r="K234" s="4">
        <v>1842</v>
      </c>
      <c r="L234" s="4">
        <v>1842</v>
      </c>
      <c r="M234" s="3">
        <v>60</v>
      </c>
      <c r="N234" s="3">
        <v>60</v>
      </c>
      <c r="O234" s="54">
        <v>60</v>
      </c>
    </row>
    <row r="235" spans="2:15" x14ac:dyDescent="0.25">
      <c r="B235" s="7">
        <v>44977</v>
      </c>
      <c r="C235" s="13">
        <v>24829.15</v>
      </c>
      <c r="D235" s="8">
        <v>1840.40002441406</v>
      </c>
      <c r="F235" s="7">
        <v>44977</v>
      </c>
      <c r="G235" s="13">
        <v>24829.15</v>
      </c>
      <c r="H235" s="4">
        <v>24829.15</v>
      </c>
      <c r="I235" s="4">
        <v>24829.15</v>
      </c>
      <c r="J235" s="4">
        <v>1840.40002441406</v>
      </c>
      <c r="K235" s="4">
        <v>1840.40002441406</v>
      </c>
      <c r="L235" s="4">
        <v>1840.40002441406</v>
      </c>
      <c r="M235" s="3">
        <v>58</v>
      </c>
      <c r="N235" s="3">
        <v>58</v>
      </c>
      <c r="O235" s="54">
        <v>58</v>
      </c>
    </row>
    <row r="236" spans="2:15" x14ac:dyDescent="0.25">
      <c r="B236" s="7">
        <v>44978</v>
      </c>
      <c r="C236" s="13">
        <v>24436.35</v>
      </c>
      <c r="D236" s="8">
        <v>1842</v>
      </c>
      <c r="F236" s="7">
        <v>44978</v>
      </c>
      <c r="G236" s="13">
        <v>24436.35</v>
      </c>
      <c r="H236" s="4">
        <v>24436.35</v>
      </c>
      <c r="I236" s="4">
        <v>24436.35</v>
      </c>
      <c r="J236" s="4">
        <v>1842</v>
      </c>
      <c r="K236" s="4">
        <v>1842</v>
      </c>
      <c r="L236" s="4">
        <v>1842</v>
      </c>
      <c r="M236" s="3">
        <v>60</v>
      </c>
      <c r="N236" s="3">
        <v>60</v>
      </c>
      <c r="O236" s="54">
        <v>60</v>
      </c>
    </row>
    <row r="237" spans="2:15" x14ac:dyDescent="0.25">
      <c r="B237" s="7">
        <v>44979</v>
      </c>
      <c r="C237" s="13">
        <v>24188.84</v>
      </c>
      <c r="D237" s="8">
        <v>1833</v>
      </c>
      <c r="F237" s="7">
        <v>44979</v>
      </c>
      <c r="G237" s="13">
        <v>24188.84</v>
      </c>
      <c r="H237" s="4">
        <v>24188.84</v>
      </c>
      <c r="I237" s="4">
        <v>24188.84</v>
      </c>
      <c r="J237" s="4">
        <v>1833</v>
      </c>
      <c r="K237" s="4">
        <v>1833</v>
      </c>
      <c r="L237" s="4">
        <v>1833</v>
      </c>
      <c r="M237" s="3">
        <v>59</v>
      </c>
      <c r="N237" s="3">
        <v>59</v>
      </c>
      <c r="O237" s="54">
        <v>59</v>
      </c>
    </row>
    <row r="238" spans="2:15" x14ac:dyDescent="0.25">
      <c r="B238" s="7">
        <v>44980</v>
      </c>
      <c r="C238" s="13">
        <v>23947.49</v>
      </c>
      <c r="D238" s="8">
        <v>1832</v>
      </c>
      <c r="F238" s="7">
        <v>44980</v>
      </c>
      <c r="G238" s="13">
        <v>23947.49</v>
      </c>
      <c r="H238" s="4">
        <v>23947.49</v>
      </c>
      <c r="I238" s="4">
        <v>23947.49</v>
      </c>
      <c r="J238" s="4">
        <v>1832</v>
      </c>
      <c r="K238" s="4">
        <v>1832</v>
      </c>
      <c r="L238" s="4">
        <v>1832</v>
      </c>
      <c r="M238" s="3">
        <v>56</v>
      </c>
      <c r="N238" s="3">
        <v>56</v>
      </c>
      <c r="O238" s="54">
        <v>56</v>
      </c>
    </row>
    <row r="239" spans="2:15" x14ac:dyDescent="0.25">
      <c r="B239" s="7">
        <v>44981</v>
      </c>
      <c r="C239" s="13">
        <v>23198.13</v>
      </c>
      <c r="D239" s="8">
        <v>1818</v>
      </c>
      <c r="F239" s="7">
        <v>44981</v>
      </c>
      <c r="G239" s="13">
        <v>23198.13</v>
      </c>
      <c r="H239" s="4">
        <v>23198.13</v>
      </c>
      <c r="I239" s="4">
        <v>23198.13</v>
      </c>
      <c r="J239" s="4">
        <v>1818</v>
      </c>
      <c r="K239" s="4">
        <v>1818</v>
      </c>
      <c r="L239" s="4">
        <v>1818</v>
      </c>
      <c r="M239" s="3">
        <v>53</v>
      </c>
      <c r="N239" s="3">
        <v>53</v>
      </c>
      <c r="O239" s="54">
        <v>53</v>
      </c>
    </row>
    <row r="240" spans="2:15" x14ac:dyDescent="0.25">
      <c r="B240" s="7">
        <v>44982</v>
      </c>
      <c r="C240" s="13">
        <v>23175.38</v>
      </c>
      <c r="D240" s="8">
        <v>1808.80004882812</v>
      </c>
      <c r="F240" s="7">
        <v>44982</v>
      </c>
      <c r="G240" s="13">
        <v>23175.38</v>
      </c>
      <c r="H240" s="4">
        <v>23175.38</v>
      </c>
      <c r="I240" s="4">
        <v>23175.38</v>
      </c>
      <c r="J240" s="4">
        <v>1808.80004882812</v>
      </c>
      <c r="K240" s="4">
        <v>1808.80004882812</v>
      </c>
      <c r="L240" s="4">
        <v>1808.80004882812</v>
      </c>
      <c r="M240" s="3">
        <v>52</v>
      </c>
      <c r="N240" s="3">
        <v>52</v>
      </c>
      <c r="O240" s="54">
        <v>52</v>
      </c>
    </row>
    <row r="241" spans="2:15" x14ac:dyDescent="0.25">
      <c r="B241" s="7">
        <v>44983</v>
      </c>
      <c r="C241" s="13">
        <v>23561.21</v>
      </c>
      <c r="D241" s="8">
        <v>1818</v>
      </c>
      <c r="F241" s="7">
        <v>44983</v>
      </c>
      <c r="G241" s="13">
        <v>23561.21</v>
      </c>
      <c r="H241" s="4">
        <v>23561.21</v>
      </c>
      <c r="I241" s="4">
        <v>23561.21</v>
      </c>
      <c r="J241" s="4">
        <v>1818</v>
      </c>
      <c r="K241" s="4">
        <v>1818</v>
      </c>
      <c r="L241" s="4">
        <v>1818</v>
      </c>
      <c r="M241" s="3">
        <v>51</v>
      </c>
      <c r="N241" s="3">
        <v>51</v>
      </c>
      <c r="O241" s="54">
        <v>51</v>
      </c>
    </row>
    <row r="242" spans="2:15" x14ac:dyDescent="0.25">
      <c r="B242" s="7">
        <v>44984</v>
      </c>
      <c r="C242" s="13">
        <v>23522.87</v>
      </c>
      <c r="D242" s="8">
        <v>1808.80004882812</v>
      </c>
      <c r="F242" s="7">
        <v>44984</v>
      </c>
      <c r="G242" s="13">
        <v>23522.87</v>
      </c>
      <c r="H242" s="4">
        <v>23522.87</v>
      </c>
      <c r="I242" s="4">
        <v>23522.87</v>
      </c>
      <c r="J242" s="4">
        <v>1808.80004882812</v>
      </c>
      <c r="K242" s="4">
        <v>1808.80004882812</v>
      </c>
      <c r="L242" s="4">
        <v>1808.80004882812</v>
      </c>
      <c r="M242" s="3">
        <v>50</v>
      </c>
      <c r="N242" s="3">
        <v>50</v>
      </c>
      <c r="O242" s="54">
        <v>50</v>
      </c>
    </row>
    <row r="243" spans="2:15" x14ac:dyDescent="0.25">
      <c r="B243" s="7">
        <v>44985</v>
      </c>
      <c r="C243" s="13">
        <v>23147.35</v>
      </c>
      <c r="D243" s="8">
        <v>1817</v>
      </c>
      <c r="F243" s="7">
        <v>44985</v>
      </c>
      <c r="G243" s="13">
        <v>23147.35</v>
      </c>
      <c r="H243" s="4">
        <v>23147.35</v>
      </c>
      <c r="I243" s="4">
        <v>23147.35</v>
      </c>
      <c r="J243" s="4">
        <v>1817</v>
      </c>
      <c r="K243" s="4">
        <v>1817</v>
      </c>
      <c r="L243" s="4">
        <v>1817</v>
      </c>
      <c r="M243" s="3">
        <v>53</v>
      </c>
      <c r="N243" s="3">
        <v>53</v>
      </c>
      <c r="O243" s="54">
        <v>53</v>
      </c>
    </row>
    <row r="244" spans="2:15" x14ac:dyDescent="0.25">
      <c r="B244" s="7">
        <v>44986</v>
      </c>
      <c r="C244" s="13">
        <v>23646.55</v>
      </c>
      <c r="D244" s="8">
        <v>1828.90002441406</v>
      </c>
      <c r="F244" s="7">
        <v>44986</v>
      </c>
      <c r="G244" s="13">
        <v>23646.55</v>
      </c>
      <c r="H244" s="4">
        <v>23646.55</v>
      </c>
      <c r="I244" s="4">
        <v>23646.55</v>
      </c>
      <c r="J244" s="4">
        <v>1828.90002441406</v>
      </c>
      <c r="K244" s="4">
        <v>1828.90002441406</v>
      </c>
      <c r="L244" s="4">
        <v>1828.90002441406</v>
      </c>
      <c r="M244" s="3">
        <v>50</v>
      </c>
      <c r="N244" s="3">
        <v>50</v>
      </c>
      <c r="O244" s="54">
        <v>50</v>
      </c>
    </row>
    <row r="245" spans="2:15" x14ac:dyDescent="0.25">
      <c r="B245" s="7">
        <v>44987</v>
      </c>
      <c r="C245" s="13">
        <v>23475.47</v>
      </c>
      <c r="D245" s="8">
        <v>1837.69995117187</v>
      </c>
      <c r="F245" s="7">
        <v>44987</v>
      </c>
      <c r="G245" s="13">
        <v>23475.47</v>
      </c>
      <c r="H245" s="4">
        <v>23475.47</v>
      </c>
      <c r="I245" s="4">
        <v>23475.47</v>
      </c>
      <c r="J245" s="4">
        <v>1837.69995117187</v>
      </c>
      <c r="K245" s="4">
        <v>1837.69995117187</v>
      </c>
      <c r="L245" s="4">
        <v>1837.69995117187</v>
      </c>
      <c r="M245" s="3">
        <v>51</v>
      </c>
      <c r="N245" s="3">
        <v>51</v>
      </c>
      <c r="O245" s="54">
        <v>51</v>
      </c>
    </row>
    <row r="246" spans="2:15" x14ac:dyDescent="0.25">
      <c r="B246" s="7">
        <v>44988</v>
      </c>
      <c r="C246" s="13">
        <v>22362.68</v>
      </c>
      <c r="D246" s="8">
        <v>1833.5</v>
      </c>
      <c r="F246" s="7">
        <v>44988</v>
      </c>
      <c r="G246" s="13">
        <v>22362.68</v>
      </c>
      <c r="H246" s="4">
        <v>22362.68</v>
      </c>
      <c r="I246" s="4">
        <v>22362.68</v>
      </c>
      <c r="J246" s="4">
        <v>1833.5</v>
      </c>
      <c r="K246" s="4">
        <v>1833.5</v>
      </c>
      <c r="L246" s="4">
        <v>1833.5</v>
      </c>
      <c r="M246" s="3">
        <v>50</v>
      </c>
      <c r="N246" s="3">
        <v>50</v>
      </c>
      <c r="O246" s="54">
        <v>50</v>
      </c>
    </row>
    <row r="247" spans="2:15" x14ac:dyDescent="0.25">
      <c r="B247" s="7">
        <v>44989</v>
      </c>
      <c r="C247" s="13">
        <v>22353.35</v>
      </c>
      <c r="D247" s="8">
        <v>1847.69995117187</v>
      </c>
      <c r="F247" s="7">
        <v>44989</v>
      </c>
      <c r="G247" s="13">
        <v>22353.35</v>
      </c>
      <c r="H247" s="4">
        <v>22353.35</v>
      </c>
      <c r="I247" s="4">
        <v>22353.35</v>
      </c>
      <c r="J247" s="4">
        <v>1847.69995117187</v>
      </c>
      <c r="K247" s="4">
        <v>1847.69995117187</v>
      </c>
      <c r="L247" s="4">
        <v>1847.69995117187</v>
      </c>
      <c r="M247" s="3">
        <v>50</v>
      </c>
      <c r="N247" s="3">
        <v>50</v>
      </c>
      <c r="O247" s="54">
        <v>50</v>
      </c>
    </row>
    <row r="248" spans="2:15" x14ac:dyDescent="0.25">
      <c r="B248" s="7">
        <v>44990</v>
      </c>
      <c r="C248" s="13">
        <v>22435.51</v>
      </c>
      <c r="D248" s="8">
        <v>1833.5</v>
      </c>
      <c r="F248" s="7">
        <v>44990</v>
      </c>
      <c r="G248" s="13">
        <v>22435.51</v>
      </c>
      <c r="H248" s="4">
        <v>22435.51</v>
      </c>
      <c r="I248" s="4">
        <v>22435.51</v>
      </c>
      <c r="J248" s="4">
        <v>1833.5</v>
      </c>
      <c r="K248" s="4">
        <v>1833.5</v>
      </c>
      <c r="L248" s="4">
        <v>1833.5</v>
      </c>
      <c r="M248" s="3">
        <v>47</v>
      </c>
      <c r="N248" s="3">
        <v>47</v>
      </c>
      <c r="O248" s="54">
        <v>47</v>
      </c>
    </row>
    <row r="249" spans="2:15" x14ac:dyDescent="0.25">
      <c r="B249" s="7">
        <v>44991</v>
      </c>
      <c r="C249" s="13">
        <v>22429.759999999998</v>
      </c>
      <c r="D249" s="8">
        <v>1847.69995117187</v>
      </c>
      <c r="F249" s="7">
        <v>44991</v>
      </c>
      <c r="G249" s="13">
        <v>22429.759999999998</v>
      </c>
      <c r="H249" s="4">
        <v>22429.759999999998</v>
      </c>
      <c r="I249" s="4">
        <v>22429.759999999998</v>
      </c>
      <c r="J249" s="4">
        <v>1847.69995117187</v>
      </c>
      <c r="K249" s="4">
        <v>1847.69995117187</v>
      </c>
      <c r="L249" s="4">
        <v>1847.69995117187</v>
      </c>
      <c r="M249" s="3">
        <v>48</v>
      </c>
      <c r="N249" s="3">
        <v>48</v>
      </c>
      <c r="O249" s="54">
        <v>48</v>
      </c>
    </row>
    <row r="250" spans="2:15" x14ac:dyDescent="0.25">
      <c r="B250" s="7">
        <v>44992</v>
      </c>
      <c r="C250" s="13">
        <v>22219.77</v>
      </c>
      <c r="D250" s="8">
        <v>1847.90002441406</v>
      </c>
      <c r="F250" s="7">
        <v>44992</v>
      </c>
      <c r="G250" s="13">
        <v>22219.77</v>
      </c>
      <c r="H250" s="4">
        <v>22219.77</v>
      </c>
      <c r="I250" s="4">
        <v>22219.77</v>
      </c>
      <c r="J250" s="4">
        <v>1847.90002441406</v>
      </c>
      <c r="K250" s="4">
        <v>1847.90002441406</v>
      </c>
      <c r="L250" s="4">
        <v>1847.90002441406</v>
      </c>
      <c r="M250" s="3">
        <v>49</v>
      </c>
      <c r="N250" s="3">
        <v>49</v>
      </c>
      <c r="O250" s="54">
        <v>49</v>
      </c>
    </row>
    <row r="251" spans="2:15" x14ac:dyDescent="0.25">
      <c r="B251" s="7">
        <v>44993</v>
      </c>
      <c r="C251" s="13">
        <v>21718.080000000002</v>
      </c>
      <c r="D251" s="8">
        <v>1813.90002441406</v>
      </c>
      <c r="F251" s="7">
        <v>44993</v>
      </c>
      <c r="G251" s="13">
        <v>21718.080000000002</v>
      </c>
      <c r="H251" s="4">
        <v>21718.080000000002</v>
      </c>
      <c r="I251" s="4">
        <v>21718.080000000002</v>
      </c>
      <c r="J251" s="4">
        <v>1813.90002441406</v>
      </c>
      <c r="K251" s="4">
        <v>1813.90002441406</v>
      </c>
      <c r="L251" s="4">
        <v>1813.90002441406</v>
      </c>
      <c r="M251" s="3">
        <v>50</v>
      </c>
      <c r="N251" s="3">
        <v>50</v>
      </c>
      <c r="O251" s="54">
        <v>50</v>
      </c>
    </row>
    <row r="252" spans="2:15" x14ac:dyDescent="0.25">
      <c r="B252" s="7">
        <v>44994</v>
      </c>
      <c r="C252" s="13">
        <v>20363.02</v>
      </c>
      <c r="D252" s="8">
        <v>1812.69995117187</v>
      </c>
      <c r="F252" s="7">
        <v>44994</v>
      </c>
      <c r="G252" s="13">
        <v>20363.02</v>
      </c>
      <c r="H252" s="4">
        <v>20363.02</v>
      </c>
      <c r="I252" s="4">
        <v>20363.02</v>
      </c>
      <c r="J252" s="4">
        <v>1812.69995117187</v>
      </c>
      <c r="K252" s="4">
        <v>1812.69995117187</v>
      </c>
      <c r="L252" s="4">
        <v>1812.69995117187</v>
      </c>
      <c r="M252" s="3">
        <v>44</v>
      </c>
      <c r="N252" s="3">
        <v>44</v>
      </c>
      <c r="O252" s="54">
        <v>44</v>
      </c>
    </row>
    <row r="253" spans="2:15" x14ac:dyDescent="0.25">
      <c r="B253" s="7">
        <v>44995</v>
      </c>
      <c r="C253" s="13">
        <v>20187.240000000002</v>
      </c>
      <c r="D253" s="8">
        <v>1829.30004882812</v>
      </c>
      <c r="F253" s="7">
        <v>44995</v>
      </c>
      <c r="G253" s="13">
        <v>20187.240000000002</v>
      </c>
      <c r="H253" s="4">
        <v>20187.240000000002</v>
      </c>
      <c r="I253" s="4">
        <v>20187.240000000002</v>
      </c>
      <c r="J253" s="4">
        <v>1829.30004882812</v>
      </c>
      <c r="K253" s="4">
        <v>1829.30004882812</v>
      </c>
      <c r="L253" s="4">
        <v>1829.30004882812</v>
      </c>
      <c r="M253" s="3">
        <v>34</v>
      </c>
      <c r="N253" s="3">
        <v>34</v>
      </c>
      <c r="O253" s="54">
        <v>34</v>
      </c>
    </row>
    <row r="254" spans="2:15" x14ac:dyDescent="0.25">
      <c r="B254" s="7">
        <v>44996</v>
      </c>
      <c r="C254" s="13">
        <v>20632.41</v>
      </c>
      <c r="D254" s="8">
        <v>1862</v>
      </c>
      <c r="F254" s="7">
        <v>44996</v>
      </c>
      <c r="G254" s="13">
        <v>20632.41</v>
      </c>
      <c r="H254" s="4">
        <v>20632.41</v>
      </c>
      <c r="I254" s="4">
        <v>20632.41</v>
      </c>
      <c r="J254" s="4">
        <v>1862</v>
      </c>
      <c r="K254" s="4">
        <v>1862</v>
      </c>
      <c r="L254" s="4">
        <v>1862</v>
      </c>
      <c r="M254" s="3">
        <v>33</v>
      </c>
      <c r="N254" s="3">
        <v>33</v>
      </c>
      <c r="O254" s="54">
        <v>33</v>
      </c>
    </row>
    <row r="255" spans="2:15" x14ac:dyDescent="0.25">
      <c r="B255" s="7">
        <v>44997</v>
      </c>
      <c r="C255" s="13">
        <v>22163.95</v>
      </c>
      <c r="D255" s="8">
        <v>1829.30004882812</v>
      </c>
      <c r="F255" s="7">
        <v>44997</v>
      </c>
      <c r="G255" s="13">
        <v>22163.95</v>
      </c>
      <c r="H255" s="4">
        <v>22163.95</v>
      </c>
      <c r="I255" s="4">
        <v>22163.95</v>
      </c>
      <c r="J255" s="4">
        <v>1829.30004882812</v>
      </c>
      <c r="K255" s="4">
        <v>1829.30004882812</v>
      </c>
      <c r="L255" s="4">
        <v>1829.30004882812</v>
      </c>
      <c r="M255" s="3">
        <v>33</v>
      </c>
      <c r="N255" s="3">
        <v>33</v>
      </c>
      <c r="O255" s="54">
        <v>33</v>
      </c>
    </row>
    <row r="256" spans="2:15" x14ac:dyDescent="0.25">
      <c r="B256" s="7">
        <v>44998</v>
      </c>
      <c r="C256" s="13">
        <v>24197.53</v>
      </c>
      <c r="D256" s="8">
        <v>1862</v>
      </c>
      <c r="F256" s="7">
        <v>44998</v>
      </c>
      <c r="G256" s="13">
        <v>24197.53</v>
      </c>
      <c r="H256" s="4">
        <v>24197.53</v>
      </c>
      <c r="I256" s="4">
        <v>24197.53</v>
      </c>
      <c r="J256" s="4">
        <v>1862</v>
      </c>
      <c r="K256" s="4">
        <v>1862</v>
      </c>
      <c r="L256" s="4">
        <v>1862</v>
      </c>
      <c r="M256" s="3">
        <v>49</v>
      </c>
      <c r="N256" s="3">
        <v>49</v>
      </c>
      <c r="O256" s="54">
        <v>49</v>
      </c>
    </row>
    <row r="257" spans="2:15" x14ac:dyDescent="0.25">
      <c r="B257" s="7">
        <v>44999</v>
      </c>
      <c r="C257" s="13">
        <v>24746.07</v>
      </c>
      <c r="D257" s="8">
        <v>1911.69995117187</v>
      </c>
      <c r="F257" s="7">
        <v>44999</v>
      </c>
      <c r="G257" s="13">
        <v>24746.07</v>
      </c>
      <c r="H257" s="4">
        <v>24746.07</v>
      </c>
      <c r="I257" s="4">
        <v>24746.07</v>
      </c>
      <c r="J257" s="4">
        <v>1911.69995117187</v>
      </c>
      <c r="K257" s="4">
        <v>1911.69995117187</v>
      </c>
      <c r="L257" s="4">
        <v>1911.69995117187</v>
      </c>
      <c r="M257" s="3">
        <v>56</v>
      </c>
      <c r="N257" s="3">
        <v>56</v>
      </c>
      <c r="O257" s="54">
        <v>56</v>
      </c>
    </row>
    <row r="258" spans="2:15" x14ac:dyDescent="0.25">
      <c r="B258" s="7">
        <v>45000</v>
      </c>
      <c r="C258" s="13">
        <v>24375.96</v>
      </c>
      <c r="D258" s="8">
        <v>1906.19995117187</v>
      </c>
      <c r="F258" s="7">
        <v>45000</v>
      </c>
      <c r="G258" s="13">
        <v>24375.96</v>
      </c>
      <c r="H258" s="4">
        <v>24375.96</v>
      </c>
      <c r="I258" s="4">
        <v>24375.96</v>
      </c>
      <c r="J258" s="4">
        <v>1906.19995117187</v>
      </c>
      <c r="K258" s="4">
        <v>1906.19995117187</v>
      </c>
      <c r="L258" s="4">
        <v>1906.19995117187</v>
      </c>
      <c r="M258" s="3">
        <v>50</v>
      </c>
      <c r="N258" s="3">
        <v>50</v>
      </c>
      <c r="O258" s="54">
        <v>50</v>
      </c>
    </row>
    <row r="259" spans="2:15" x14ac:dyDescent="0.25">
      <c r="B259" s="7">
        <v>45001</v>
      </c>
      <c r="C259" s="13">
        <v>25052.79</v>
      </c>
      <c r="D259" s="8">
        <v>1926.59997558593</v>
      </c>
      <c r="F259" s="7">
        <v>45001</v>
      </c>
      <c r="G259" s="13">
        <v>25052.79</v>
      </c>
      <c r="H259" s="4">
        <v>25052.79</v>
      </c>
      <c r="I259" s="4">
        <v>25052.79</v>
      </c>
      <c r="J259" s="4">
        <v>1926.59997558593</v>
      </c>
      <c r="K259" s="4">
        <v>1926.59997558593</v>
      </c>
      <c r="L259" s="4">
        <v>1926.59997558593</v>
      </c>
      <c r="M259" s="3">
        <v>52</v>
      </c>
      <c r="N259" s="3">
        <v>52</v>
      </c>
      <c r="O259" s="54">
        <v>52</v>
      </c>
    </row>
    <row r="260" spans="2:15" x14ac:dyDescent="0.25">
      <c r="B260" s="7">
        <v>45002</v>
      </c>
      <c r="C260" s="13">
        <v>27423.93</v>
      </c>
      <c r="D260" s="8">
        <v>1919</v>
      </c>
      <c r="F260" s="7">
        <v>45002</v>
      </c>
      <c r="G260" s="13">
        <v>27423.93</v>
      </c>
      <c r="H260" s="4">
        <v>27423.93</v>
      </c>
      <c r="I260" s="4">
        <v>27423.93</v>
      </c>
      <c r="J260" s="4">
        <v>1919</v>
      </c>
      <c r="K260" s="4">
        <v>1919</v>
      </c>
      <c r="L260" s="4">
        <v>1919</v>
      </c>
      <c r="M260" s="3">
        <v>51</v>
      </c>
      <c r="N260" s="3">
        <v>51</v>
      </c>
      <c r="O260" s="54">
        <v>51</v>
      </c>
    </row>
    <row r="261" spans="2:15" x14ac:dyDescent="0.25">
      <c r="B261" s="7">
        <v>45003</v>
      </c>
      <c r="C261" s="13">
        <v>26965.88</v>
      </c>
      <c r="D261" s="8">
        <v>1969.80004882812</v>
      </c>
      <c r="F261" s="7">
        <v>45003</v>
      </c>
      <c r="G261" s="13">
        <v>26965.88</v>
      </c>
      <c r="H261" s="4">
        <v>26965.88</v>
      </c>
      <c r="I261" s="4">
        <v>26965.88</v>
      </c>
      <c r="J261" s="4">
        <v>1969.80004882812</v>
      </c>
      <c r="K261" s="4">
        <v>1969.80004882812</v>
      </c>
      <c r="L261" s="4">
        <v>1969.80004882812</v>
      </c>
      <c r="M261" s="3">
        <v>64</v>
      </c>
      <c r="N261" s="3">
        <v>64</v>
      </c>
      <c r="O261" s="54">
        <v>64</v>
      </c>
    </row>
    <row r="262" spans="2:15" x14ac:dyDescent="0.25">
      <c r="B262" s="7">
        <v>45004</v>
      </c>
      <c r="C262" s="13">
        <v>28038.68</v>
      </c>
      <c r="D262" s="8">
        <v>1919</v>
      </c>
      <c r="F262" s="7">
        <v>45004</v>
      </c>
      <c r="G262" s="13">
        <v>28038.68</v>
      </c>
      <c r="H262" s="4">
        <v>28038.68</v>
      </c>
      <c r="I262" s="4">
        <v>28038.68</v>
      </c>
      <c r="J262" s="4">
        <v>1919</v>
      </c>
      <c r="K262" s="4">
        <v>1919</v>
      </c>
      <c r="L262" s="4">
        <v>1919</v>
      </c>
      <c r="M262" s="3">
        <v>63</v>
      </c>
      <c r="N262" s="3">
        <v>63</v>
      </c>
      <c r="O262" s="54">
        <v>63</v>
      </c>
    </row>
    <row r="263" spans="2:15" x14ac:dyDescent="0.25">
      <c r="B263" s="7">
        <v>45005</v>
      </c>
      <c r="C263" s="13">
        <v>27767.24</v>
      </c>
      <c r="D263" s="8">
        <v>1969.80004882812</v>
      </c>
      <c r="F263" s="7">
        <v>45005</v>
      </c>
      <c r="G263" s="13">
        <v>27767.24</v>
      </c>
      <c r="H263" s="4">
        <v>27767.24</v>
      </c>
      <c r="I263" s="4">
        <v>27767.24</v>
      </c>
      <c r="J263" s="4">
        <v>1969.80004882812</v>
      </c>
      <c r="K263" s="4">
        <v>1969.80004882812</v>
      </c>
      <c r="L263" s="4">
        <v>1969.80004882812</v>
      </c>
      <c r="M263" s="3">
        <v>66</v>
      </c>
      <c r="N263" s="3">
        <v>66</v>
      </c>
      <c r="O263" s="54">
        <v>66</v>
      </c>
    </row>
    <row r="264" spans="2:15" x14ac:dyDescent="0.25">
      <c r="B264" s="7">
        <v>45006</v>
      </c>
      <c r="C264" s="13">
        <v>28175.82</v>
      </c>
      <c r="D264" s="8">
        <v>1979.19995117187</v>
      </c>
      <c r="F264" s="7">
        <v>45006</v>
      </c>
      <c r="G264" s="13">
        <v>28175.82</v>
      </c>
      <c r="H264" s="4">
        <v>28175.82</v>
      </c>
      <c r="I264" s="4">
        <v>28175.82</v>
      </c>
      <c r="J264" s="4">
        <v>1979.19995117187</v>
      </c>
      <c r="K264" s="4">
        <v>1979.19995117187</v>
      </c>
      <c r="L264" s="4">
        <v>1979.19995117187</v>
      </c>
      <c r="M264" s="3">
        <v>68</v>
      </c>
      <c r="N264" s="3">
        <v>68</v>
      </c>
      <c r="O264" s="54">
        <v>68</v>
      </c>
    </row>
    <row r="265" spans="2:15" x14ac:dyDescent="0.25">
      <c r="B265" s="7">
        <v>45007</v>
      </c>
      <c r="C265" s="13">
        <v>27307.439999999999</v>
      </c>
      <c r="D265" s="8">
        <v>1938</v>
      </c>
      <c r="F265" s="7">
        <v>45007</v>
      </c>
      <c r="G265" s="13">
        <v>27307.439999999999</v>
      </c>
      <c r="H265" s="4">
        <v>27307.439999999999</v>
      </c>
      <c r="I265" s="4">
        <v>27307.439999999999</v>
      </c>
      <c r="J265" s="4">
        <v>1938</v>
      </c>
      <c r="K265" s="4">
        <v>1938</v>
      </c>
      <c r="L265" s="4">
        <v>1938</v>
      </c>
      <c r="M265" s="3">
        <v>62</v>
      </c>
      <c r="N265" s="3">
        <v>62</v>
      </c>
      <c r="O265" s="54">
        <v>62</v>
      </c>
    </row>
    <row r="266" spans="2:15" x14ac:dyDescent="0.25">
      <c r="B266" s="7">
        <v>45008</v>
      </c>
      <c r="C266" s="13">
        <v>28333.97</v>
      </c>
      <c r="D266" s="8">
        <v>1946.80004882812</v>
      </c>
      <c r="F266" s="7">
        <v>45008</v>
      </c>
      <c r="G266" s="13">
        <v>28333.97</v>
      </c>
      <c r="H266" s="4">
        <v>28333.97</v>
      </c>
      <c r="I266" s="4">
        <v>28333.97</v>
      </c>
      <c r="J266" s="4">
        <v>1946.80004882812</v>
      </c>
      <c r="K266" s="4">
        <v>1946.80004882812</v>
      </c>
      <c r="L266" s="4">
        <v>1946.80004882812</v>
      </c>
      <c r="M266" s="3">
        <v>57</v>
      </c>
      <c r="N266" s="3">
        <v>57</v>
      </c>
      <c r="O266" s="54">
        <v>57</v>
      </c>
    </row>
    <row r="267" spans="2:15" x14ac:dyDescent="0.25">
      <c r="B267" s="7">
        <v>45009</v>
      </c>
      <c r="C267" s="13">
        <v>27493.29</v>
      </c>
      <c r="D267" s="8">
        <v>1993.80004882812</v>
      </c>
      <c r="F267" s="7">
        <v>45009</v>
      </c>
      <c r="G267" s="13">
        <v>27493.29</v>
      </c>
      <c r="H267" s="4">
        <v>27493.29</v>
      </c>
      <c r="I267" s="4">
        <v>27493.29</v>
      </c>
      <c r="J267" s="4">
        <v>1993.80004882812</v>
      </c>
      <c r="K267" s="4">
        <v>1993.80004882812</v>
      </c>
      <c r="L267" s="4">
        <v>1993.80004882812</v>
      </c>
      <c r="M267" s="3">
        <v>61</v>
      </c>
      <c r="N267" s="3">
        <v>61</v>
      </c>
      <c r="O267" s="54">
        <v>61</v>
      </c>
    </row>
    <row r="268" spans="2:15" x14ac:dyDescent="0.25">
      <c r="B268" s="7">
        <v>45010</v>
      </c>
      <c r="C268" s="13">
        <v>27494.71</v>
      </c>
      <c r="D268" s="8">
        <v>1982.09997558593</v>
      </c>
      <c r="F268" s="7">
        <v>45010</v>
      </c>
      <c r="G268" s="13">
        <v>27494.71</v>
      </c>
      <c r="H268" s="4">
        <v>27494.71</v>
      </c>
      <c r="I268" s="4">
        <v>27494.71</v>
      </c>
      <c r="J268" s="4">
        <v>1982.09997558593</v>
      </c>
      <c r="K268" s="4">
        <v>1982.09997558593</v>
      </c>
      <c r="L268" s="4">
        <v>1982.09997558593</v>
      </c>
      <c r="M268" s="3">
        <v>64</v>
      </c>
      <c r="N268" s="3">
        <v>64</v>
      </c>
      <c r="O268" s="54">
        <v>64</v>
      </c>
    </row>
    <row r="269" spans="2:15" x14ac:dyDescent="0.25">
      <c r="B269" s="7">
        <v>45011</v>
      </c>
      <c r="C269" s="13">
        <v>27994.33</v>
      </c>
      <c r="D269" s="8">
        <v>1993.80004882812</v>
      </c>
      <c r="F269" s="7">
        <v>45011</v>
      </c>
      <c r="G269" s="13">
        <v>27994.33</v>
      </c>
      <c r="H269" s="4">
        <v>27994.33</v>
      </c>
      <c r="I269" s="4">
        <v>27994.33</v>
      </c>
      <c r="J269" s="4">
        <v>1993.80004882812</v>
      </c>
      <c r="K269" s="4">
        <v>1993.80004882812</v>
      </c>
      <c r="L269" s="4">
        <v>1993.80004882812</v>
      </c>
      <c r="M269" s="3">
        <v>64</v>
      </c>
      <c r="N269" s="3">
        <v>64</v>
      </c>
      <c r="O269" s="54">
        <v>64</v>
      </c>
    </row>
    <row r="270" spans="2:15" x14ac:dyDescent="0.25">
      <c r="B270" s="7">
        <v>45012</v>
      </c>
      <c r="C270" s="13">
        <v>27139.89</v>
      </c>
      <c r="D270" s="8">
        <v>1982.09997558593</v>
      </c>
      <c r="F270" s="7">
        <v>45012</v>
      </c>
      <c r="G270" s="13">
        <v>27139.89</v>
      </c>
      <c r="H270" s="4">
        <v>27139.89</v>
      </c>
      <c r="I270" s="4">
        <v>27139.89</v>
      </c>
      <c r="J270" s="4">
        <v>1982.09997558593</v>
      </c>
      <c r="K270" s="4">
        <v>1982.09997558593</v>
      </c>
      <c r="L270" s="4">
        <v>1982.09997558593</v>
      </c>
      <c r="M270" s="3">
        <v>64</v>
      </c>
      <c r="N270" s="3">
        <v>64</v>
      </c>
      <c r="O270" s="54">
        <v>64</v>
      </c>
    </row>
    <row r="271" spans="2:15" x14ac:dyDescent="0.25">
      <c r="B271" s="7">
        <v>45013</v>
      </c>
      <c r="C271" s="13">
        <v>27268.13</v>
      </c>
      <c r="D271" s="8">
        <v>1952.40002441406</v>
      </c>
      <c r="F271" s="7">
        <v>45013</v>
      </c>
      <c r="G271" s="13">
        <v>27268.13</v>
      </c>
      <c r="H271" s="4">
        <v>27268.13</v>
      </c>
      <c r="I271" s="4">
        <v>27268.13</v>
      </c>
      <c r="J271" s="4">
        <v>1952.40002441406</v>
      </c>
      <c r="K271" s="4">
        <v>1952.40002441406</v>
      </c>
      <c r="L271" s="4">
        <v>1952.40002441406</v>
      </c>
      <c r="M271" s="3">
        <v>59</v>
      </c>
      <c r="N271" s="3">
        <v>59</v>
      </c>
      <c r="O271" s="54">
        <v>59</v>
      </c>
    </row>
    <row r="272" spans="2:15" x14ac:dyDescent="0.25">
      <c r="B272" s="7">
        <v>45014</v>
      </c>
      <c r="C272" s="13">
        <v>28348.44</v>
      </c>
      <c r="D272" s="8">
        <v>1972.40002441406</v>
      </c>
      <c r="F272" s="7">
        <v>45014</v>
      </c>
      <c r="G272" s="13">
        <v>28348.44</v>
      </c>
      <c r="H272" s="4">
        <v>28348.44</v>
      </c>
      <c r="I272" s="4">
        <v>28348.44</v>
      </c>
      <c r="J272" s="4">
        <v>1972.40002441406</v>
      </c>
      <c r="K272" s="4">
        <v>1972.40002441406</v>
      </c>
      <c r="L272" s="4">
        <v>1972.40002441406</v>
      </c>
      <c r="M272" s="3">
        <v>57</v>
      </c>
      <c r="N272" s="3">
        <v>57</v>
      </c>
      <c r="O272" s="54">
        <v>57</v>
      </c>
    </row>
    <row r="273" spans="2:15" x14ac:dyDescent="0.25">
      <c r="B273" s="7">
        <v>45015</v>
      </c>
      <c r="C273" s="13">
        <v>28033.56</v>
      </c>
      <c r="D273" s="8">
        <v>1966.09997558593</v>
      </c>
      <c r="F273" s="7">
        <v>45015</v>
      </c>
      <c r="G273" s="13">
        <v>28033.56</v>
      </c>
      <c r="H273" s="4">
        <v>28033.56</v>
      </c>
      <c r="I273" s="4">
        <v>28033.56</v>
      </c>
      <c r="J273" s="4">
        <v>1966.09997558593</v>
      </c>
      <c r="K273" s="4">
        <v>1966.09997558593</v>
      </c>
      <c r="L273" s="4">
        <v>1966.09997558593</v>
      </c>
      <c r="M273" s="3">
        <v>60</v>
      </c>
      <c r="N273" s="3">
        <v>60</v>
      </c>
      <c r="O273" s="54">
        <v>60</v>
      </c>
    </row>
    <row r="274" spans="2:15" x14ac:dyDescent="0.25">
      <c r="B274" s="7">
        <v>45016</v>
      </c>
      <c r="C274" s="13">
        <v>28478.48</v>
      </c>
      <c r="D274" s="8">
        <v>1980.30004882812</v>
      </c>
      <c r="F274" s="7">
        <v>45016</v>
      </c>
      <c r="G274" s="13">
        <v>28478.48</v>
      </c>
      <c r="H274" s="4">
        <v>28478.48</v>
      </c>
      <c r="I274" s="4">
        <v>28478.48</v>
      </c>
      <c r="J274" s="4">
        <v>1980.30004882812</v>
      </c>
      <c r="K274" s="4">
        <v>1980.30004882812</v>
      </c>
      <c r="L274" s="4">
        <v>1980.30004882812</v>
      </c>
      <c r="M274" s="3">
        <v>63</v>
      </c>
      <c r="N274" s="3">
        <v>63</v>
      </c>
      <c r="O274" s="54">
        <v>63</v>
      </c>
    </row>
    <row r="275" spans="2:15" x14ac:dyDescent="0.25">
      <c r="B275" s="7">
        <v>45017</v>
      </c>
      <c r="C275" s="13">
        <v>28411.040000000001</v>
      </c>
      <c r="D275" s="8">
        <v>1969</v>
      </c>
      <c r="F275" s="7">
        <v>45017</v>
      </c>
      <c r="G275" s="13">
        <v>28411.040000000001</v>
      </c>
      <c r="H275" s="4">
        <v>28411.040000000001</v>
      </c>
      <c r="I275" s="4">
        <v>28411.040000000001</v>
      </c>
      <c r="J275" s="4">
        <v>1969</v>
      </c>
      <c r="K275" s="4">
        <v>1969</v>
      </c>
      <c r="L275" s="4">
        <v>1969</v>
      </c>
      <c r="M275" s="3">
        <v>61</v>
      </c>
      <c r="N275" s="3">
        <v>61</v>
      </c>
      <c r="O275" s="54">
        <v>61</v>
      </c>
    </row>
    <row r="276" spans="2:15" x14ac:dyDescent="0.25">
      <c r="B276" s="7">
        <v>45018</v>
      </c>
      <c r="C276" s="13">
        <v>28199.31</v>
      </c>
      <c r="D276" s="8">
        <v>1980.30004882812</v>
      </c>
      <c r="F276" s="7">
        <v>45018</v>
      </c>
      <c r="G276" s="13">
        <v>28199.31</v>
      </c>
      <c r="H276" s="4">
        <v>28199.31</v>
      </c>
      <c r="I276" s="4">
        <v>28199.31</v>
      </c>
      <c r="J276" s="4">
        <v>1980.30004882812</v>
      </c>
      <c r="K276" s="4">
        <v>1980.30004882812</v>
      </c>
      <c r="L276" s="4">
        <v>1980.30004882812</v>
      </c>
      <c r="M276" s="3">
        <v>63</v>
      </c>
      <c r="N276" s="3">
        <v>63</v>
      </c>
      <c r="O276" s="54">
        <v>63</v>
      </c>
    </row>
    <row r="277" spans="2:15" x14ac:dyDescent="0.25">
      <c r="B277" s="7">
        <v>45019</v>
      </c>
      <c r="C277" s="13">
        <v>27790.22</v>
      </c>
      <c r="D277" s="8">
        <v>1969</v>
      </c>
      <c r="F277" s="7">
        <v>45019</v>
      </c>
      <c r="G277" s="13">
        <v>27790.22</v>
      </c>
      <c r="H277" s="4">
        <v>27790.22</v>
      </c>
      <c r="I277" s="4">
        <v>27790.22</v>
      </c>
      <c r="J277" s="4">
        <v>1969</v>
      </c>
      <c r="K277" s="4">
        <v>1969</v>
      </c>
      <c r="L277" s="4">
        <v>1969</v>
      </c>
      <c r="M277" s="3">
        <v>63</v>
      </c>
      <c r="N277" s="3">
        <v>63</v>
      </c>
      <c r="O277" s="54">
        <v>63</v>
      </c>
    </row>
    <row r="278" spans="2:15" x14ac:dyDescent="0.25">
      <c r="B278" s="7">
        <v>45020</v>
      </c>
      <c r="C278" s="13">
        <v>28168.09</v>
      </c>
      <c r="D278" s="8">
        <v>1983.90002441406</v>
      </c>
      <c r="F278" s="7">
        <v>45020</v>
      </c>
      <c r="G278" s="13">
        <v>28168.09</v>
      </c>
      <c r="H278" s="4">
        <v>28168.09</v>
      </c>
      <c r="I278" s="4">
        <v>28168.09</v>
      </c>
      <c r="J278" s="4">
        <v>1983.90002441406</v>
      </c>
      <c r="K278" s="4">
        <v>1983.90002441406</v>
      </c>
      <c r="L278" s="4">
        <v>1983.90002441406</v>
      </c>
      <c r="M278" s="3">
        <v>62</v>
      </c>
      <c r="N278" s="3">
        <v>62</v>
      </c>
      <c r="O278" s="54">
        <v>62</v>
      </c>
    </row>
    <row r="279" spans="2:15" x14ac:dyDescent="0.25">
      <c r="B279" s="7">
        <v>45021</v>
      </c>
      <c r="C279" s="13">
        <v>28177.98</v>
      </c>
      <c r="D279" s="8">
        <v>2022.19995117187</v>
      </c>
      <c r="F279" s="7">
        <v>45021</v>
      </c>
      <c r="G279" s="13">
        <v>28177.98</v>
      </c>
      <c r="H279" s="4">
        <v>28177.98</v>
      </c>
      <c r="I279" s="4">
        <v>28177.98</v>
      </c>
      <c r="J279" s="4">
        <v>2022.19995117187</v>
      </c>
      <c r="K279" s="4">
        <v>2022.19995117187</v>
      </c>
      <c r="L279" s="4">
        <v>2022.19995117187</v>
      </c>
      <c r="M279" s="3">
        <v>62</v>
      </c>
      <c r="N279" s="3">
        <v>62</v>
      </c>
      <c r="O279" s="54">
        <v>62</v>
      </c>
    </row>
    <row r="280" spans="2:15" x14ac:dyDescent="0.25">
      <c r="B280" s="7">
        <v>45022</v>
      </c>
      <c r="C280" s="13">
        <v>28044.14</v>
      </c>
      <c r="D280" s="8">
        <v>2020.90002441406</v>
      </c>
      <c r="F280" s="7">
        <v>45022</v>
      </c>
      <c r="G280" s="13">
        <v>28044.14</v>
      </c>
      <c r="H280" s="4">
        <v>28044.14</v>
      </c>
      <c r="I280" s="4">
        <v>28044.14</v>
      </c>
      <c r="J280" s="4">
        <v>2020.90002441406</v>
      </c>
      <c r="K280" s="4">
        <v>2020.90002441406</v>
      </c>
      <c r="L280" s="4">
        <v>2020.90002441406</v>
      </c>
      <c r="M280" s="3">
        <v>63</v>
      </c>
      <c r="N280" s="3">
        <v>63</v>
      </c>
      <c r="O280" s="54">
        <v>63</v>
      </c>
    </row>
    <row r="281" spans="2:15" x14ac:dyDescent="0.25">
      <c r="B281" s="7">
        <v>45023</v>
      </c>
      <c r="C281" s="13">
        <v>27925.86</v>
      </c>
      <c r="D281" s="8">
        <v>2011.90002441406</v>
      </c>
      <c r="F281" s="7">
        <v>45023</v>
      </c>
      <c r="G281" s="13">
        <v>27925.86</v>
      </c>
      <c r="H281" s="4">
        <v>27925.86</v>
      </c>
      <c r="I281" s="4">
        <v>27925.86</v>
      </c>
      <c r="J281" s="4">
        <v>2011.90002441406</v>
      </c>
      <c r="K281" s="4">
        <v>2011.90002441406</v>
      </c>
      <c r="L281" s="4">
        <v>2011.90002441406</v>
      </c>
      <c r="M281" s="3">
        <v>64</v>
      </c>
      <c r="N281" s="3">
        <v>64</v>
      </c>
      <c r="O281" s="54">
        <v>64</v>
      </c>
    </row>
    <row r="282" spans="2:15" x14ac:dyDescent="0.25">
      <c r="B282" s="7">
        <v>45024</v>
      </c>
      <c r="C282" s="13">
        <v>27947.79</v>
      </c>
      <c r="D282" s="8">
        <v>2020.90002441406</v>
      </c>
      <c r="F282" s="7">
        <v>45024</v>
      </c>
      <c r="G282" s="13">
        <v>27947.79</v>
      </c>
      <c r="H282" s="4">
        <v>27947.79</v>
      </c>
      <c r="I282" s="4">
        <v>27947.79</v>
      </c>
      <c r="J282" s="4">
        <v>2020.90002441406</v>
      </c>
      <c r="K282" s="4">
        <v>2020.90002441406</v>
      </c>
      <c r="L282" s="4">
        <v>2020.90002441406</v>
      </c>
      <c r="M282" s="3">
        <v>61</v>
      </c>
      <c r="N282" s="3">
        <v>61</v>
      </c>
      <c r="O282" s="54">
        <v>61</v>
      </c>
    </row>
    <row r="283" spans="2:15" x14ac:dyDescent="0.25">
      <c r="B283" s="7">
        <v>45025</v>
      </c>
      <c r="C283" s="13">
        <v>28333.05</v>
      </c>
      <c r="D283" s="8">
        <v>2011.90002441406</v>
      </c>
      <c r="F283" s="7">
        <v>45025</v>
      </c>
      <c r="G283" s="13">
        <v>28333.05</v>
      </c>
      <c r="H283" s="4">
        <v>28333.05</v>
      </c>
      <c r="I283" s="4">
        <v>28333.05</v>
      </c>
      <c r="J283" s="4">
        <v>2011.90002441406</v>
      </c>
      <c r="K283" s="4">
        <v>2011.90002441406</v>
      </c>
      <c r="L283" s="4">
        <v>2011.90002441406</v>
      </c>
      <c r="M283" s="3">
        <v>61</v>
      </c>
      <c r="N283" s="3">
        <v>61</v>
      </c>
      <c r="O283" s="54">
        <v>61</v>
      </c>
    </row>
    <row r="284" spans="2:15" x14ac:dyDescent="0.25">
      <c r="B284" s="7">
        <v>45026</v>
      </c>
      <c r="C284" s="13">
        <v>29652.98</v>
      </c>
      <c r="D284" s="8">
        <v>2020.90002441406</v>
      </c>
      <c r="F284" s="7">
        <v>45026</v>
      </c>
      <c r="G284" s="13">
        <v>29652.98</v>
      </c>
      <c r="H284" s="4">
        <v>29652.98</v>
      </c>
      <c r="I284" s="4">
        <v>29652.98</v>
      </c>
      <c r="J284" s="4">
        <v>2020.90002441406</v>
      </c>
      <c r="K284" s="4">
        <v>2020.90002441406</v>
      </c>
      <c r="L284" s="4">
        <v>2020.90002441406</v>
      </c>
      <c r="M284" s="3">
        <v>62</v>
      </c>
      <c r="N284" s="3">
        <v>62</v>
      </c>
      <c r="O284" s="54">
        <v>62</v>
      </c>
    </row>
    <row r="285" spans="2:15" x14ac:dyDescent="0.25">
      <c r="B285" s="7">
        <v>45027</v>
      </c>
      <c r="C285" s="13">
        <v>30235.06</v>
      </c>
      <c r="D285" s="8">
        <v>1989.09997558593</v>
      </c>
      <c r="F285" s="7">
        <v>45027</v>
      </c>
      <c r="G285" s="13">
        <v>30235.06</v>
      </c>
      <c r="H285" s="4">
        <v>30235.06</v>
      </c>
      <c r="I285" s="4">
        <v>30235.06</v>
      </c>
      <c r="J285" s="4">
        <v>1989.09997558593</v>
      </c>
      <c r="K285" s="4">
        <v>1989.09997558593</v>
      </c>
      <c r="L285" s="4">
        <v>1989.09997558593</v>
      </c>
      <c r="M285" s="3">
        <v>68</v>
      </c>
      <c r="N285" s="3">
        <v>68</v>
      </c>
      <c r="O285" s="54">
        <v>68</v>
      </c>
    </row>
    <row r="286" spans="2:15" x14ac:dyDescent="0.25">
      <c r="B286" s="7">
        <v>45028</v>
      </c>
      <c r="C286" s="13">
        <v>30139.05</v>
      </c>
      <c r="D286" s="8">
        <v>2004.80004882812</v>
      </c>
      <c r="F286" s="7">
        <v>45028</v>
      </c>
      <c r="G286" s="13">
        <v>30139.05</v>
      </c>
      <c r="H286" s="4">
        <v>30139.05</v>
      </c>
      <c r="I286" s="4">
        <v>30139.05</v>
      </c>
      <c r="J286" s="4">
        <v>2004.80004882812</v>
      </c>
      <c r="K286" s="4">
        <v>2004.80004882812</v>
      </c>
      <c r="L286" s="4">
        <v>2004.80004882812</v>
      </c>
      <c r="M286" s="3">
        <v>65</v>
      </c>
      <c r="N286" s="3">
        <v>65</v>
      </c>
      <c r="O286" s="54">
        <v>65</v>
      </c>
    </row>
    <row r="287" spans="2:15" x14ac:dyDescent="0.25">
      <c r="B287" s="7">
        <v>45029</v>
      </c>
      <c r="C287" s="13">
        <v>30399.07</v>
      </c>
      <c r="D287" s="8">
        <v>2010.90002441406</v>
      </c>
      <c r="F287" s="7">
        <v>45029</v>
      </c>
      <c r="G287" s="13">
        <v>30399.07</v>
      </c>
      <c r="H287" s="4">
        <v>30399.07</v>
      </c>
      <c r="I287" s="4">
        <v>30399.07</v>
      </c>
      <c r="J287" s="4">
        <v>2010.90002441406</v>
      </c>
      <c r="K287" s="4">
        <v>2010.90002441406</v>
      </c>
      <c r="L287" s="4">
        <v>2010.90002441406</v>
      </c>
      <c r="M287" s="3">
        <v>61</v>
      </c>
      <c r="N287" s="3">
        <v>61</v>
      </c>
      <c r="O287" s="54">
        <v>61</v>
      </c>
    </row>
    <row r="288" spans="2:15" x14ac:dyDescent="0.25">
      <c r="B288" s="7">
        <v>45030</v>
      </c>
      <c r="C288" s="13">
        <v>30485.7</v>
      </c>
      <c r="D288" s="8">
        <v>2041.30004882812</v>
      </c>
      <c r="F288" s="7">
        <v>45030</v>
      </c>
      <c r="G288" s="13">
        <v>30485.7</v>
      </c>
      <c r="H288" s="4">
        <v>30485.7</v>
      </c>
      <c r="I288" s="4">
        <v>30485.7</v>
      </c>
      <c r="J288" s="4">
        <v>2041.30004882812</v>
      </c>
      <c r="K288" s="4">
        <v>2041.30004882812</v>
      </c>
      <c r="L288" s="4">
        <v>2041.30004882812</v>
      </c>
      <c r="M288" s="3">
        <v>68</v>
      </c>
      <c r="N288" s="3">
        <v>68</v>
      </c>
      <c r="O288" s="54">
        <v>68</v>
      </c>
    </row>
    <row r="289" spans="2:15" x14ac:dyDescent="0.25">
      <c r="B289" s="7">
        <v>45031</v>
      </c>
      <c r="C289" s="13">
        <v>30318.5</v>
      </c>
      <c r="D289" s="8">
        <v>2002.19995117187</v>
      </c>
      <c r="F289" s="7">
        <v>45031</v>
      </c>
      <c r="G289" s="13">
        <v>30318.5</v>
      </c>
      <c r="H289" s="4">
        <v>30318.5</v>
      </c>
      <c r="I289" s="4">
        <v>30318.5</v>
      </c>
      <c r="J289" s="4">
        <v>2002.19995117187</v>
      </c>
      <c r="K289" s="4">
        <v>2002.19995117187</v>
      </c>
      <c r="L289" s="4">
        <v>2002.19995117187</v>
      </c>
      <c r="M289" s="3">
        <v>68</v>
      </c>
      <c r="N289" s="3">
        <v>68</v>
      </c>
      <c r="O289" s="54">
        <v>68</v>
      </c>
    </row>
    <row r="290" spans="2:15" x14ac:dyDescent="0.25">
      <c r="B290" s="7">
        <v>45032</v>
      </c>
      <c r="C290" s="13">
        <v>30315.360000000001</v>
      </c>
      <c r="D290" s="8">
        <v>2041.30004882812</v>
      </c>
      <c r="F290" s="7">
        <v>45032</v>
      </c>
      <c r="G290" s="13">
        <v>30315.360000000001</v>
      </c>
      <c r="H290" s="4">
        <v>30315.360000000001</v>
      </c>
      <c r="I290" s="4">
        <v>30315.360000000001</v>
      </c>
      <c r="J290" s="4">
        <v>2041.30004882812</v>
      </c>
      <c r="K290" s="4">
        <v>2041.30004882812</v>
      </c>
      <c r="L290" s="4">
        <v>2041.30004882812</v>
      </c>
      <c r="M290" s="3">
        <v>68</v>
      </c>
      <c r="N290" s="3">
        <v>68</v>
      </c>
      <c r="O290" s="54">
        <v>68</v>
      </c>
    </row>
    <row r="291" spans="2:15" x14ac:dyDescent="0.25">
      <c r="B291" s="7">
        <v>45033</v>
      </c>
      <c r="C291" s="13">
        <v>29445.040000000001</v>
      </c>
      <c r="D291" s="8">
        <v>2002.19995117187</v>
      </c>
      <c r="F291" s="7">
        <v>45033</v>
      </c>
      <c r="G291" s="13">
        <v>29445.040000000001</v>
      </c>
      <c r="H291" s="4">
        <v>29445.040000000001</v>
      </c>
      <c r="I291" s="4">
        <v>29445.040000000001</v>
      </c>
      <c r="J291" s="4">
        <v>2002.19995117187</v>
      </c>
      <c r="K291" s="4">
        <v>2002.19995117187</v>
      </c>
      <c r="L291" s="4">
        <v>2002.19995117187</v>
      </c>
      <c r="M291" s="3">
        <v>69</v>
      </c>
      <c r="N291" s="3">
        <v>69</v>
      </c>
      <c r="O291" s="54">
        <v>69</v>
      </c>
    </row>
    <row r="292" spans="2:15" x14ac:dyDescent="0.25">
      <c r="B292" s="7">
        <v>45034</v>
      </c>
      <c r="C292" s="13">
        <v>30397.55</v>
      </c>
      <c r="D292" s="8">
        <v>1994.19995117187</v>
      </c>
      <c r="F292" s="7">
        <v>45034</v>
      </c>
      <c r="G292" s="13">
        <v>30397.55</v>
      </c>
      <c r="H292" s="4">
        <v>30397.55</v>
      </c>
      <c r="I292" s="4">
        <v>30397.55</v>
      </c>
      <c r="J292" s="4">
        <v>1994.19995117187</v>
      </c>
      <c r="K292" s="4">
        <v>1994.19995117187</v>
      </c>
      <c r="L292" s="4">
        <v>1994.19995117187</v>
      </c>
      <c r="M292" s="3">
        <v>58</v>
      </c>
      <c r="N292" s="3">
        <v>58</v>
      </c>
      <c r="O292" s="54">
        <v>58</v>
      </c>
    </row>
    <row r="293" spans="2:15" x14ac:dyDescent="0.25">
      <c r="B293" s="7">
        <v>45035</v>
      </c>
      <c r="C293" s="13">
        <v>28822.68</v>
      </c>
      <c r="D293" s="8">
        <v>2007.40002441406</v>
      </c>
      <c r="F293" s="7">
        <v>45035</v>
      </c>
      <c r="G293" s="13">
        <v>28822.68</v>
      </c>
      <c r="H293" s="4">
        <v>28822.68</v>
      </c>
      <c r="I293" s="4">
        <v>28822.68</v>
      </c>
      <c r="J293" s="4">
        <v>2007.40002441406</v>
      </c>
      <c r="K293" s="4">
        <v>2007.40002441406</v>
      </c>
      <c r="L293" s="4">
        <v>2007.40002441406</v>
      </c>
      <c r="M293" s="3">
        <v>63</v>
      </c>
      <c r="N293" s="3">
        <v>63</v>
      </c>
      <c r="O293" s="54">
        <v>63</v>
      </c>
    </row>
    <row r="294" spans="2:15" x14ac:dyDescent="0.25">
      <c r="B294" s="7">
        <v>45036</v>
      </c>
      <c r="C294" s="13">
        <v>28245.99</v>
      </c>
      <c r="D294" s="8">
        <v>1995.19995117187</v>
      </c>
      <c r="F294" s="7">
        <v>45036</v>
      </c>
      <c r="G294" s="13">
        <v>28245.99</v>
      </c>
      <c r="H294" s="4">
        <v>28245.99</v>
      </c>
      <c r="I294" s="4">
        <v>28245.99</v>
      </c>
      <c r="J294" s="4">
        <v>1995.19995117187</v>
      </c>
      <c r="K294" s="4">
        <v>1995.19995117187</v>
      </c>
      <c r="L294" s="4">
        <v>1995.19995117187</v>
      </c>
      <c r="M294" s="3">
        <v>52</v>
      </c>
      <c r="N294" s="3">
        <v>52</v>
      </c>
      <c r="O294" s="54">
        <v>52</v>
      </c>
    </row>
    <row r="295" spans="2:15" x14ac:dyDescent="0.25">
      <c r="B295" s="7">
        <v>45037</v>
      </c>
      <c r="C295" s="13">
        <v>27276.91</v>
      </c>
      <c r="D295" s="8">
        <v>2007.59997558593</v>
      </c>
      <c r="F295" s="7">
        <v>45037</v>
      </c>
      <c r="G295" s="13">
        <v>27276.91</v>
      </c>
      <c r="H295" s="4">
        <v>27276.91</v>
      </c>
      <c r="I295" s="4">
        <v>27276.91</v>
      </c>
      <c r="J295" s="4">
        <v>2007.59997558593</v>
      </c>
      <c r="K295" s="4">
        <v>2007.59997558593</v>
      </c>
      <c r="L295" s="4">
        <v>2007.59997558593</v>
      </c>
      <c r="M295" s="3">
        <v>50</v>
      </c>
      <c r="N295" s="3">
        <v>50</v>
      </c>
      <c r="O295" s="54">
        <v>50</v>
      </c>
    </row>
    <row r="296" spans="2:15" x14ac:dyDescent="0.25">
      <c r="B296" s="7">
        <v>45038</v>
      </c>
      <c r="C296" s="13">
        <v>27817.5</v>
      </c>
      <c r="D296" s="8">
        <v>1979.5</v>
      </c>
      <c r="F296" s="7">
        <v>45038</v>
      </c>
      <c r="G296" s="13">
        <v>27817.5</v>
      </c>
      <c r="H296" s="4">
        <v>27817.5</v>
      </c>
      <c r="I296" s="4">
        <v>27817.5</v>
      </c>
      <c r="J296" s="4">
        <v>1979.5</v>
      </c>
      <c r="K296" s="4">
        <v>1979.5</v>
      </c>
      <c r="L296" s="4">
        <v>1979.5</v>
      </c>
      <c r="M296" s="3">
        <v>53</v>
      </c>
      <c r="N296" s="3">
        <v>53</v>
      </c>
      <c r="O296" s="54">
        <v>53</v>
      </c>
    </row>
    <row r="297" spans="2:15" x14ac:dyDescent="0.25">
      <c r="B297" s="7">
        <v>45039</v>
      </c>
      <c r="C297" s="13">
        <v>27591.38</v>
      </c>
      <c r="D297" s="8">
        <v>2007.59997558593</v>
      </c>
      <c r="F297" s="7">
        <v>45039</v>
      </c>
      <c r="G297" s="13">
        <v>27591.38</v>
      </c>
      <c r="H297" s="4">
        <v>27591.38</v>
      </c>
      <c r="I297" s="4">
        <v>27591.38</v>
      </c>
      <c r="J297" s="4">
        <v>2007.59997558593</v>
      </c>
      <c r="K297" s="4">
        <v>2007.59997558593</v>
      </c>
      <c r="L297" s="4">
        <v>2007.59997558593</v>
      </c>
      <c r="M297" s="3">
        <v>56</v>
      </c>
      <c r="N297" s="3">
        <v>56</v>
      </c>
      <c r="O297" s="54">
        <v>56</v>
      </c>
    </row>
    <row r="298" spans="2:15" x14ac:dyDescent="0.25">
      <c r="B298" s="7">
        <v>45040</v>
      </c>
      <c r="C298" s="13">
        <v>27525.34</v>
      </c>
      <c r="D298" s="8">
        <v>1979.5</v>
      </c>
      <c r="F298" s="7">
        <v>45040</v>
      </c>
      <c r="G298" s="13">
        <v>27525.34</v>
      </c>
      <c r="H298" s="4">
        <v>27525.34</v>
      </c>
      <c r="I298" s="4">
        <v>27525.34</v>
      </c>
      <c r="J298" s="4">
        <v>1979.5</v>
      </c>
      <c r="K298" s="4">
        <v>1979.5</v>
      </c>
      <c r="L298" s="4">
        <v>1979.5</v>
      </c>
      <c r="M298" s="3">
        <v>53</v>
      </c>
      <c r="N298" s="3">
        <v>53</v>
      </c>
      <c r="O298" s="54">
        <v>53</v>
      </c>
    </row>
    <row r="299" spans="2:15" x14ac:dyDescent="0.25">
      <c r="B299" s="7">
        <v>45041</v>
      </c>
      <c r="C299" s="13">
        <v>28307.599999999999</v>
      </c>
      <c r="D299" s="8">
        <v>1989.09997558593</v>
      </c>
      <c r="F299" s="7">
        <v>45041</v>
      </c>
      <c r="G299" s="13">
        <v>28307.599999999999</v>
      </c>
      <c r="H299" s="4">
        <v>28307.599999999999</v>
      </c>
      <c r="I299" s="4">
        <v>28307.599999999999</v>
      </c>
      <c r="J299" s="4">
        <v>1989.09997558593</v>
      </c>
      <c r="K299" s="4">
        <v>1989.09997558593</v>
      </c>
      <c r="L299" s="4">
        <v>1989.09997558593</v>
      </c>
      <c r="M299" s="3">
        <v>53</v>
      </c>
      <c r="N299" s="3">
        <v>53</v>
      </c>
      <c r="O299" s="54">
        <v>53</v>
      </c>
    </row>
    <row r="300" spans="2:15" x14ac:dyDescent="0.25">
      <c r="B300" s="7">
        <v>45042</v>
      </c>
      <c r="C300" s="13">
        <v>28422.7</v>
      </c>
      <c r="D300" s="8">
        <v>1994</v>
      </c>
      <c r="F300" s="7">
        <v>45042</v>
      </c>
      <c r="G300" s="13">
        <v>28422.7</v>
      </c>
      <c r="H300" s="4">
        <v>28422.7</v>
      </c>
      <c r="I300" s="4">
        <v>28422.7</v>
      </c>
      <c r="J300" s="4">
        <v>1994</v>
      </c>
      <c r="K300" s="4">
        <v>1994</v>
      </c>
      <c r="L300" s="4">
        <v>1994</v>
      </c>
      <c r="M300" s="3">
        <v>56</v>
      </c>
      <c r="N300" s="3">
        <v>56</v>
      </c>
      <c r="O300" s="54">
        <v>56</v>
      </c>
    </row>
    <row r="301" spans="2:15" x14ac:dyDescent="0.25">
      <c r="B301" s="7">
        <v>45043</v>
      </c>
      <c r="C301" s="13">
        <v>29473.79</v>
      </c>
      <c r="D301" s="8">
        <v>1985.69995117187</v>
      </c>
      <c r="F301" s="7">
        <v>45043</v>
      </c>
      <c r="G301" s="13">
        <v>29473.79</v>
      </c>
      <c r="H301" s="4">
        <v>29473.79</v>
      </c>
      <c r="I301" s="4">
        <v>29473.79</v>
      </c>
      <c r="J301" s="4">
        <v>1985.69995117187</v>
      </c>
      <c r="K301" s="4">
        <v>1985.69995117187</v>
      </c>
      <c r="L301" s="4">
        <v>1985.69995117187</v>
      </c>
      <c r="M301" s="3">
        <v>59</v>
      </c>
      <c r="N301" s="3">
        <v>59</v>
      </c>
      <c r="O301" s="54">
        <v>59</v>
      </c>
    </row>
    <row r="302" spans="2:15" x14ac:dyDescent="0.25">
      <c r="B302" s="7">
        <v>45044</v>
      </c>
      <c r="C302" s="13">
        <v>29340.26</v>
      </c>
      <c r="D302" s="8">
        <v>1989.90002441406</v>
      </c>
      <c r="F302" s="7">
        <v>45044</v>
      </c>
      <c r="G302" s="13">
        <v>29340.26</v>
      </c>
      <c r="H302" s="4">
        <v>29340.26</v>
      </c>
      <c r="I302" s="4">
        <v>29340.26</v>
      </c>
      <c r="J302" s="4">
        <v>1989.90002441406</v>
      </c>
      <c r="K302" s="4">
        <v>1989.90002441406</v>
      </c>
      <c r="L302" s="4">
        <v>1989.90002441406</v>
      </c>
      <c r="M302" s="3">
        <v>64</v>
      </c>
      <c r="N302" s="3">
        <v>64</v>
      </c>
      <c r="O302" s="54">
        <v>64</v>
      </c>
    </row>
    <row r="303" spans="2:15" x14ac:dyDescent="0.25">
      <c r="B303" s="7">
        <v>45045</v>
      </c>
      <c r="C303" s="13">
        <v>29248.49</v>
      </c>
      <c r="D303" s="8">
        <v>1990.09997558593</v>
      </c>
      <c r="F303" s="7">
        <v>45045</v>
      </c>
      <c r="G303" s="13">
        <v>29248.49</v>
      </c>
      <c r="H303" s="4">
        <v>29248.49</v>
      </c>
      <c r="I303" s="4">
        <v>29248.49</v>
      </c>
      <c r="J303" s="4">
        <v>1990.09997558593</v>
      </c>
      <c r="K303" s="4">
        <v>1990.09997558593</v>
      </c>
      <c r="L303" s="4">
        <v>1990.09997558593</v>
      </c>
      <c r="M303" s="3">
        <v>64</v>
      </c>
      <c r="N303" s="3">
        <v>64</v>
      </c>
      <c r="O303" s="54">
        <v>64</v>
      </c>
    </row>
    <row r="304" spans="2:15" x14ac:dyDescent="0.25">
      <c r="B304" s="7">
        <v>45046</v>
      </c>
      <c r="C304" s="13">
        <v>29268.81</v>
      </c>
      <c r="D304" s="8">
        <v>1989.90002441406</v>
      </c>
      <c r="F304" s="7">
        <v>45046</v>
      </c>
      <c r="G304" s="13">
        <v>29268.81</v>
      </c>
      <c r="H304" s="4">
        <v>29268.81</v>
      </c>
      <c r="I304" s="4">
        <v>29268.81</v>
      </c>
      <c r="J304" s="4">
        <v>1989.90002441406</v>
      </c>
      <c r="K304" s="4">
        <v>1989.90002441406</v>
      </c>
      <c r="L304" s="4">
        <v>1989.90002441406</v>
      </c>
      <c r="M304" s="3">
        <v>60</v>
      </c>
      <c r="N304" s="3">
        <v>60</v>
      </c>
      <c r="O304" s="54">
        <v>60</v>
      </c>
    </row>
    <row r="305" spans="2:15" x14ac:dyDescent="0.25">
      <c r="B305" s="7">
        <v>45047</v>
      </c>
      <c r="C305" s="13">
        <v>28091.57</v>
      </c>
      <c r="D305" s="8">
        <v>1990.09997558593</v>
      </c>
      <c r="F305" s="7">
        <v>45047</v>
      </c>
      <c r="G305" s="13">
        <v>28091.57</v>
      </c>
      <c r="H305" s="4">
        <v>28091.57</v>
      </c>
      <c r="I305" s="4">
        <v>28091.57</v>
      </c>
      <c r="J305" s="4">
        <v>1990.09997558593</v>
      </c>
      <c r="K305" s="4">
        <v>1990.09997558593</v>
      </c>
      <c r="L305" s="4">
        <v>1990.09997558593</v>
      </c>
      <c r="M305" s="3">
        <v>63</v>
      </c>
      <c r="N305" s="3">
        <v>63</v>
      </c>
      <c r="O305" s="54">
        <v>63</v>
      </c>
    </row>
    <row r="306" spans="2:15" x14ac:dyDescent="0.25">
      <c r="B306" s="7">
        <v>45048</v>
      </c>
      <c r="C306" s="13">
        <v>28680.54</v>
      </c>
      <c r="D306" s="8">
        <v>1983.40002441406</v>
      </c>
      <c r="F306" s="7">
        <v>45048</v>
      </c>
      <c r="G306" s="13">
        <v>28680.54</v>
      </c>
      <c r="H306" s="4">
        <v>28680.54</v>
      </c>
      <c r="I306" s="4">
        <v>28680.54</v>
      </c>
      <c r="J306" s="4">
        <v>1983.40002441406</v>
      </c>
      <c r="K306" s="4">
        <v>1983.40002441406</v>
      </c>
      <c r="L306" s="4">
        <v>1983.40002441406</v>
      </c>
      <c r="M306" s="3">
        <v>55</v>
      </c>
      <c r="N306" s="3">
        <v>55</v>
      </c>
      <c r="O306" s="54">
        <v>55</v>
      </c>
    </row>
    <row r="307" spans="2:15" x14ac:dyDescent="0.25">
      <c r="B307" s="7">
        <v>45049</v>
      </c>
      <c r="C307" s="13">
        <v>29006.31</v>
      </c>
      <c r="D307" s="8">
        <v>2014.30004882812</v>
      </c>
      <c r="F307" s="7">
        <v>45049</v>
      </c>
      <c r="G307" s="13">
        <v>29006.31</v>
      </c>
      <c r="H307" s="4">
        <v>29006.31</v>
      </c>
      <c r="I307" s="4">
        <v>29006.31</v>
      </c>
      <c r="J307" s="4">
        <v>2014.30004882812</v>
      </c>
      <c r="K307" s="4">
        <v>2014.30004882812</v>
      </c>
      <c r="L307" s="4">
        <v>2014.30004882812</v>
      </c>
      <c r="M307" s="3">
        <v>64</v>
      </c>
      <c r="N307" s="3">
        <v>64</v>
      </c>
      <c r="O307" s="54">
        <v>64</v>
      </c>
    </row>
    <row r="308" spans="2:15" x14ac:dyDescent="0.25">
      <c r="B308" s="7">
        <v>45050</v>
      </c>
      <c r="C308" s="13">
        <v>28847.71</v>
      </c>
      <c r="D308" s="8">
        <v>2028.59997558593</v>
      </c>
      <c r="F308" s="7">
        <v>45050</v>
      </c>
      <c r="G308" s="13">
        <v>28847.71</v>
      </c>
      <c r="H308" s="4">
        <v>28847.71</v>
      </c>
      <c r="I308" s="4">
        <v>28847.71</v>
      </c>
      <c r="J308" s="4">
        <v>2028.59997558593</v>
      </c>
      <c r="K308" s="4">
        <v>2028.59997558593</v>
      </c>
      <c r="L308" s="4">
        <v>2028.59997558593</v>
      </c>
      <c r="M308" s="3">
        <v>64</v>
      </c>
      <c r="N308" s="3">
        <v>64</v>
      </c>
      <c r="O308" s="54">
        <v>64</v>
      </c>
    </row>
    <row r="309" spans="2:15" x14ac:dyDescent="0.25">
      <c r="B309" s="7">
        <v>45051</v>
      </c>
      <c r="C309" s="13">
        <v>29534.38</v>
      </c>
      <c r="D309" s="8">
        <v>2048</v>
      </c>
      <c r="F309" s="7">
        <v>45051</v>
      </c>
      <c r="G309" s="13">
        <v>29534.38</v>
      </c>
      <c r="H309" s="4">
        <v>29534.38</v>
      </c>
      <c r="I309" s="4">
        <v>29534.38</v>
      </c>
      <c r="J309" s="4">
        <v>2048</v>
      </c>
      <c r="K309" s="4">
        <v>2048</v>
      </c>
      <c r="L309" s="4">
        <v>2048</v>
      </c>
      <c r="M309" s="3">
        <v>61</v>
      </c>
      <c r="N309" s="3">
        <v>61</v>
      </c>
      <c r="O309" s="54">
        <v>61</v>
      </c>
    </row>
    <row r="310" spans="2:15" x14ac:dyDescent="0.25">
      <c r="B310" s="7">
        <v>45052</v>
      </c>
      <c r="C310" s="13">
        <v>28904.62</v>
      </c>
      <c r="D310" s="8">
        <v>2017.40002441406</v>
      </c>
      <c r="F310" s="7">
        <v>45052</v>
      </c>
      <c r="G310" s="13">
        <v>28904.62</v>
      </c>
      <c r="H310" s="4">
        <v>28904.62</v>
      </c>
      <c r="I310" s="4">
        <v>28904.62</v>
      </c>
      <c r="J310" s="4">
        <v>2017.40002441406</v>
      </c>
      <c r="K310" s="4">
        <v>2017.40002441406</v>
      </c>
      <c r="L310" s="4">
        <v>2017.40002441406</v>
      </c>
      <c r="M310" s="3">
        <v>60</v>
      </c>
      <c r="N310" s="3">
        <v>60</v>
      </c>
      <c r="O310" s="54">
        <v>60</v>
      </c>
    </row>
    <row r="311" spans="2:15" x14ac:dyDescent="0.25">
      <c r="B311" s="7">
        <v>45053</v>
      </c>
      <c r="C311" s="13">
        <v>28454.98</v>
      </c>
      <c r="D311" s="8">
        <v>2048</v>
      </c>
      <c r="F311" s="7">
        <v>45053</v>
      </c>
      <c r="G311" s="13">
        <v>28454.98</v>
      </c>
      <c r="H311" s="4">
        <v>28454.98</v>
      </c>
      <c r="I311" s="4">
        <v>28454.98</v>
      </c>
      <c r="J311" s="4">
        <v>2048</v>
      </c>
      <c r="K311" s="4">
        <v>2048</v>
      </c>
      <c r="L311" s="4">
        <v>2048</v>
      </c>
      <c r="M311" s="3">
        <v>64</v>
      </c>
      <c r="N311" s="3">
        <v>64</v>
      </c>
      <c r="O311" s="54">
        <v>64</v>
      </c>
    </row>
    <row r="312" spans="2:15" x14ac:dyDescent="0.25">
      <c r="B312" s="7">
        <v>45054</v>
      </c>
      <c r="C312" s="13">
        <v>27694.27</v>
      </c>
      <c r="D312" s="8">
        <v>2017.40002441406</v>
      </c>
      <c r="F312" s="7">
        <v>45054</v>
      </c>
      <c r="G312" s="13">
        <v>27694.27</v>
      </c>
      <c r="H312" s="4">
        <v>27694.27</v>
      </c>
      <c r="I312" s="4">
        <v>27694.27</v>
      </c>
      <c r="J312" s="4">
        <v>2017.40002441406</v>
      </c>
      <c r="K312" s="4">
        <v>2017.40002441406</v>
      </c>
      <c r="L312" s="4">
        <v>2017.40002441406</v>
      </c>
      <c r="M312" s="3">
        <v>60</v>
      </c>
      <c r="N312" s="3">
        <v>60</v>
      </c>
      <c r="O312" s="54">
        <v>60</v>
      </c>
    </row>
    <row r="313" spans="2:15" x14ac:dyDescent="0.25">
      <c r="B313" s="7">
        <v>45055</v>
      </c>
      <c r="C313" s="13">
        <v>27658.78</v>
      </c>
      <c r="D313" s="8">
        <v>2026.30004882812</v>
      </c>
      <c r="F313" s="7">
        <v>45055</v>
      </c>
      <c r="G313" s="13">
        <v>27658.78</v>
      </c>
      <c r="H313" s="4">
        <v>27658.78</v>
      </c>
      <c r="I313" s="4">
        <v>27658.78</v>
      </c>
      <c r="J313" s="4">
        <v>2026.30004882812</v>
      </c>
      <c r="K313" s="4">
        <v>2026.30004882812</v>
      </c>
      <c r="L313" s="4">
        <v>2026.30004882812</v>
      </c>
      <c r="M313" s="3">
        <v>51</v>
      </c>
      <c r="N313" s="3">
        <v>51</v>
      </c>
      <c r="O313" s="54">
        <v>51</v>
      </c>
    </row>
    <row r="314" spans="2:15" x14ac:dyDescent="0.25">
      <c r="B314" s="7">
        <v>45056</v>
      </c>
      <c r="C314" s="13">
        <v>27621.759999999998</v>
      </c>
      <c r="D314" s="8">
        <v>2036.19995117187</v>
      </c>
      <c r="F314" s="7">
        <v>45056</v>
      </c>
      <c r="G314" s="13">
        <v>27621.759999999998</v>
      </c>
      <c r="H314" s="4">
        <v>27621.759999999998</v>
      </c>
      <c r="I314" s="4">
        <v>27621.759999999998</v>
      </c>
      <c r="J314" s="4">
        <v>2036.19995117187</v>
      </c>
      <c r="K314" s="4">
        <v>2036.19995117187</v>
      </c>
      <c r="L314" s="4">
        <v>2036.19995117187</v>
      </c>
      <c r="M314" s="3">
        <v>52</v>
      </c>
      <c r="N314" s="3">
        <v>52</v>
      </c>
      <c r="O314" s="54">
        <v>52</v>
      </c>
    </row>
    <row r="315" spans="2:15" x14ac:dyDescent="0.25">
      <c r="B315" s="7">
        <v>45057</v>
      </c>
      <c r="C315" s="13">
        <v>27000.79</v>
      </c>
      <c r="D315" s="8">
        <v>2030.5</v>
      </c>
      <c r="F315" s="7">
        <v>45057</v>
      </c>
      <c r="G315" s="13">
        <v>27000.79</v>
      </c>
      <c r="H315" s="4">
        <v>27000.79</v>
      </c>
      <c r="I315" s="4">
        <v>27000.79</v>
      </c>
      <c r="J315" s="4">
        <v>2030.5</v>
      </c>
      <c r="K315" s="4">
        <v>2030.5</v>
      </c>
      <c r="L315" s="4">
        <v>2030.5</v>
      </c>
      <c r="M315" s="3">
        <v>52</v>
      </c>
      <c r="N315" s="3">
        <v>52</v>
      </c>
      <c r="O315" s="54">
        <v>52</v>
      </c>
    </row>
    <row r="316" spans="2:15" x14ac:dyDescent="0.25">
      <c r="B316" s="7">
        <v>45058</v>
      </c>
      <c r="C316" s="13">
        <v>26804.99</v>
      </c>
      <c r="D316" s="8">
        <v>2014.69995117187</v>
      </c>
      <c r="F316" s="7">
        <v>45058</v>
      </c>
      <c r="G316" s="13">
        <v>26804.99</v>
      </c>
      <c r="H316" s="4">
        <v>26804.99</v>
      </c>
      <c r="I316" s="4">
        <v>26804.99</v>
      </c>
      <c r="J316" s="4">
        <v>2014.69995117187</v>
      </c>
      <c r="K316" s="4">
        <v>2014.69995117187</v>
      </c>
      <c r="L316" s="4">
        <v>2014.69995117187</v>
      </c>
      <c r="M316" s="3">
        <v>49</v>
      </c>
      <c r="N316" s="3">
        <v>49</v>
      </c>
      <c r="O316" s="54">
        <v>49</v>
      </c>
    </row>
    <row r="317" spans="2:15" x14ac:dyDescent="0.25">
      <c r="B317" s="7">
        <v>45059</v>
      </c>
      <c r="C317" s="13">
        <v>26784.080000000002</v>
      </c>
      <c r="D317" s="8">
        <v>2014.5</v>
      </c>
      <c r="F317" s="7">
        <v>45059</v>
      </c>
      <c r="G317" s="13">
        <v>26784.080000000002</v>
      </c>
      <c r="H317" s="4">
        <v>26784.080000000002</v>
      </c>
      <c r="I317" s="4">
        <v>26784.080000000002</v>
      </c>
      <c r="J317" s="4">
        <v>2014.5</v>
      </c>
      <c r="K317" s="4">
        <v>2014.5</v>
      </c>
      <c r="L317" s="4">
        <v>2014.5</v>
      </c>
      <c r="M317" s="3">
        <v>48</v>
      </c>
      <c r="N317" s="3">
        <v>48</v>
      </c>
      <c r="O317" s="54">
        <v>48</v>
      </c>
    </row>
    <row r="318" spans="2:15" x14ac:dyDescent="0.25">
      <c r="B318" s="7">
        <v>45060</v>
      </c>
      <c r="C318" s="13">
        <v>26930.639999999999</v>
      </c>
      <c r="D318" s="8">
        <v>2014.69995117187</v>
      </c>
      <c r="F318" s="7">
        <v>45060</v>
      </c>
      <c r="G318" s="13">
        <v>26930.639999999999</v>
      </c>
      <c r="H318" s="4">
        <v>26930.639999999999</v>
      </c>
      <c r="I318" s="4">
        <v>26930.639999999999</v>
      </c>
      <c r="J318" s="4">
        <v>2014.69995117187</v>
      </c>
      <c r="K318" s="4">
        <v>2014.69995117187</v>
      </c>
      <c r="L318" s="4">
        <v>2014.69995117187</v>
      </c>
      <c r="M318" s="3">
        <v>48</v>
      </c>
      <c r="N318" s="3">
        <v>48</v>
      </c>
      <c r="O318" s="54">
        <v>48</v>
      </c>
    </row>
    <row r="319" spans="2:15" x14ac:dyDescent="0.25">
      <c r="B319" s="7">
        <v>45061</v>
      </c>
      <c r="C319" s="13">
        <v>27192.69</v>
      </c>
      <c r="D319" s="8">
        <v>2014.5</v>
      </c>
      <c r="F319" s="7">
        <v>45061</v>
      </c>
      <c r="G319" s="13">
        <v>27192.69</v>
      </c>
      <c r="H319" s="4">
        <v>27192.69</v>
      </c>
      <c r="I319" s="4">
        <v>27192.69</v>
      </c>
      <c r="J319" s="4">
        <v>2014.5</v>
      </c>
      <c r="K319" s="4">
        <v>2014.5</v>
      </c>
      <c r="L319" s="4">
        <v>2014.5</v>
      </c>
      <c r="M319" s="3">
        <v>50</v>
      </c>
      <c r="N319" s="3">
        <v>50</v>
      </c>
      <c r="O319" s="54">
        <v>50</v>
      </c>
    </row>
    <row r="320" spans="2:15" x14ac:dyDescent="0.25">
      <c r="B320" s="7">
        <v>45062</v>
      </c>
      <c r="C320" s="13">
        <v>27036.65</v>
      </c>
      <c r="D320" s="8">
        <v>2018</v>
      </c>
      <c r="F320" s="7">
        <v>45062</v>
      </c>
      <c r="G320" s="13">
        <v>27036.65</v>
      </c>
      <c r="H320" s="4">
        <v>27036.65</v>
      </c>
      <c r="I320" s="4">
        <v>27036.65</v>
      </c>
      <c r="J320" s="4">
        <v>2018</v>
      </c>
      <c r="K320" s="4">
        <v>2018</v>
      </c>
      <c r="L320" s="4">
        <v>2018</v>
      </c>
      <c r="M320" s="3">
        <v>54</v>
      </c>
      <c r="N320" s="3">
        <v>54</v>
      </c>
      <c r="O320" s="54">
        <v>54</v>
      </c>
    </row>
    <row r="321" spans="2:15" x14ac:dyDescent="0.25">
      <c r="B321" s="7">
        <v>45063</v>
      </c>
      <c r="C321" s="13">
        <v>27398.799999999999</v>
      </c>
      <c r="D321" s="8">
        <v>1988.40002441406</v>
      </c>
      <c r="F321" s="7">
        <v>45063</v>
      </c>
      <c r="G321" s="13">
        <v>27398.799999999999</v>
      </c>
      <c r="H321" s="4">
        <v>27398.799999999999</v>
      </c>
      <c r="I321" s="4">
        <v>27398.799999999999</v>
      </c>
      <c r="J321" s="4">
        <v>1988.40002441406</v>
      </c>
      <c r="K321" s="4">
        <v>1988.40002441406</v>
      </c>
      <c r="L321" s="4">
        <v>1988.40002441406</v>
      </c>
      <c r="M321" s="3">
        <v>50</v>
      </c>
      <c r="N321" s="3">
        <v>50</v>
      </c>
      <c r="O321" s="54">
        <v>50</v>
      </c>
    </row>
    <row r="322" spans="2:15" x14ac:dyDescent="0.25">
      <c r="B322" s="7">
        <v>45064</v>
      </c>
      <c r="C322" s="13">
        <v>26832.21</v>
      </c>
      <c r="D322" s="8">
        <v>1980.69995117187</v>
      </c>
      <c r="F322" s="7">
        <v>45064</v>
      </c>
      <c r="G322" s="13">
        <v>26832.21</v>
      </c>
      <c r="H322" s="4">
        <v>26832.21</v>
      </c>
      <c r="I322" s="4">
        <v>26832.21</v>
      </c>
      <c r="J322" s="4">
        <v>1980.69995117187</v>
      </c>
      <c r="K322" s="4">
        <v>1980.69995117187</v>
      </c>
      <c r="L322" s="4">
        <v>1980.69995117187</v>
      </c>
      <c r="M322" s="3">
        <v>51</v>
      </c>
      <c r="N322" s="3">
        <v>51</v>
      </c>
      <c r="O322" s="54">
        <v>51</v>
      </c>
    </row>
    <row r="323" spans="2:15" x14ac:dyDescent="0.25">
      <c r="B323" s="7">
        <v>45065</v>
      </c>
      <c r="C323" s="13">
        <v>26890.13</v>
      </c>
      <c r="D323" s="8">
        <v>1956.5</v>
      </c>
      <c r="F323" s="7">
        <v>45065</v>
      </c>
      <c r="G323" s="13">
        <v>26890.13</v>
      </c>
      <c r="H323" s="4">
        <v>26890.13</v>
      </c>
      <c r="I323" s="4">
        <v>26890.13</v>
      </c>
      <c r="J323" s="4">
        <v>1956.5</v>
      </c>
      <c r="K323" s="4">
        <v>1956.5</v>
      </c>
      <c r="L323" s="4">
        <v>1956.5</v>
      </c>
      <c r="M323" s="3">
        <v>48</v>
      </c>
      <c r="N323" s="3">
        <v>48</v>
      </c>
      <c r="O323" s="54">
        <v>48</v>
      </c>
    </row>
    <row r="324" spans="2:15" x14ac:dyDescent="0.25">
      <c r="B324" s="7">
        <v>45066</v>
      </c>
      <c r="C324" s="13">
        <v>27129.59</v>
      </c>
      <c r="D324" s="8">
        <v>1978.69995117187</v>
      </c>
      <c r="F324" s="7">
        <v>45066</v>
      </c>
      <c r="G324" s="13">
        <v>27129.59</v>
      </c>
      <c r="H324" s="4">
        <v>27129.59</v>
      </c>
      <c r="I324" s="4">
        <v>27129.59</v>
      </c>
      <c r="J324" s="4">
        <v>1978.69995117187</v>
      </c>
      <c r="K324" s="4">
        <v>1978.69995117187</v>
      </c>
      <c r="L324" s="4">
        <v>1978.69995117187</v>
      </c>
      <c r="M324" s="3">
        <v>48</v>
      </c>
      <c r="N324" s="3">
        <v>48</v>
      </c>
      <c r="O324" s="54">
        <v>48</v>
      </c>
    </row>
    <row r="325" spans="2:15" x14ac:dyDescent="0.25">
      <c r="B325" s="7">
        <v>45067</v>
      </c>
      <c r="C325" s="13">
        <v>26753.83</v>
      </c>
      <c r="D325" s="8">
        <v>1956.5</v>
      </c>
      <c r="F325" s="7">
        <v>45067</v>
      </c>
      <c r="G325" s="13">
        <v>26753.83</v>
      </c>
      <c r="H325" s="4">
        <v>26753.83</v>
      </c>
      <c r="I325" s="4">
        <v>26753.83</v>
      </c>
      <c r="J325" s="4">
        <v>1956.5</v>
      </c>
      <c r="K325" s="4">
        <v>1956.5</v>
      </c>
      <c r="L325" s="4">
        <v>1956.5</v>
      </c>
      <c r="M325" s="3">
        <v>52</v>
      </c>
      <c r="N325" s="3">
        <v>52</v>
      </c>
      <c r="O325" s="54">
        <v>52</v>
      </c>
    </row>
    <row r="326" spans="2:15" x14ac:dyDescent="0.25">
      <c r="B326" s="7">
        <v>45068</v>
      </c>
      <c r="C326" s="13">
        <v>26851.279999999999</v>
      </c>
      <c r="D326" s="8">
        <v>1978.69995117187</v>
      </c>
      <c r="F326" s="7">
        <v>45068</v>
      </c>
      <c r="G326" s="13">
        <v>26851.279999999999</v>
      </c>
      <c r="H326" s="4">
        <v>26851.279999999999</v>
      </c>
      <c r="I326" s="4">
        <v>26851.279999999999</v>
      </c>
      <c r="J326" s="4">
        <v>1978.69995117187</v>
      </c>
      <c r="K326" s="4">
        <v>1978.69995117187</v>
      </c>
      <c r="L326" s="4">
        <v>1978.69995117187</v>
      </c>
      <c r="M326" s="3">
        <v>49</v>
      </c>
      <c r="N326" s="3">
        <v>49</v>
      </c>
      <c r="O326" s="54">
        <v>49</v>
      </c>
    </row>
    <row r="327" spans="2:15" x14ac:dyDescent="0.25">
      <c r="B327" s="7">
        <v>45069</v>
      </c>
      <c r="C327" s="13">
        <v>27225.73</v>
      </c>
      <c r="D327" s="8">
        <v>1974.80004882812</v>
      </c>
      <c r="F327" s="7">
        <v>45069</v>
      </c>
      <c r="G327" s="13">
        <v>27225.73</v>
      </c>
      <c r="H327" s="4">
        <v>27225.73</v>
      </c>
      <c r="I327" s="4">
        <v>27225.73</v>
      </c>
      <c r="J327" s="4">
        <v>1974.80004882812</v>
      </c>
      <c r="K327" s="4">
        <v>1974.80004882812</v>
      </c>
      <c r="L327" s="4">
        <v>1974.80004882812</v>
      </c>
      <c r="M327" s="3">
        <v>50</v>
      </c>
      <c r="N327" s="3">
        <v>50</v>
      </c>
      <c r="O327" s="54">
        <v>50</v>
      </c>
    </row>
    <row r="328" spans="2:15" x14ac:dyDescent="0.25">
      <c r="B328" s="7">
        <v>45070</v>
      </c>
      <c r="C328" s="13">
        <v>26334.82</v>
      </c>
      <c r="D328" s="8">
        <v>1972.40002441406</v>
      </c>
      <c r="F328" s="7">
        <v>45070</v>
      </c>
      <c r="G328" s="13">
        <v>26334.82</v>
      </c>
      <c r="H328" s="4">
        <v>26334.82</v>
      </c>
      <c r="I328" s="4">
        <v>26334.82</v>
      </c>
      <c r="J328" s="4">
        <v>1972.40002441406</v>
      </c>
      <c r="K328" s="4">
        <v>1972.40002441406</v>
      </c>
      <c r="L328" s="4">
        <v>1972.40002441406</v>
      </c>
      <c r="M328" s="3">
        <v>50</v>
      </c>
      <c r="N328" s="3">
        <v>50</v>
      </c>
      <c r="O328" s="54">
        <v>50</v>
      </c>
    </row>
    <row r="329" spans="2:15" x14ac:dyDescent="0.25">
      <c r="B329" s="7">
        <v>45071</v>
      </c>
      <c r="C329" s="13">
        <v>26476.21</v>
      </c>
      <c r="D329" s="8">
        <v>1962.80004882812</v>
      </c>
      <c r="F329" s="7">
        <v>45071</v>
      </c>
      <c r="G329" s="13">
        <v>26476.21</v>
      </c>
      <c r="H329" s="4">
        <v>26476.21</v>
      </c>
      <c r="I329" s="4">
        <v>26476.21</v>
      </c>
      <c r="J329" s="4">
        <v>1962.80004882812</v>
      </c>
      <c r="K329" s="4">
        <v>1962.80004882812</v>
      </c>
      <c r="L329" s="4">
        <v>1962.80004882812</v>
      </c>
      <c r="M329" s="3">
        <v>51</v>
      </c>
      <c r="N329" s="3">
        <v>51</v>
      </c>
      <c r="O329" s="54">
        <v>51</v>
      </c>
    </row>
    <row r="330" spans="2:15" x14ac:dyDescent="0.25">
      <c r="B330" s="7">
        <v>45072</v>
      </c>
      <c r="C330" s="13">
        <v>26719.29</v>
      </c>
      <c r="D330" s="8">
        <v>1943.09997558593</v>
      </c>
      <c r="F330" s="7">
        <v>45072</v>
      </c>
      <c r="G330" s="13">
        <v>26719.29</v>
      </c>
      <c r="H330" s="4">
        <v>26719.29</v>
      </c>
      <c r="I330" s="4">
        <v>26719.29</v>
      </c>
      <c r="J330" s="4">
        <v>1943.09997558593</v>
      </c>
      <c r="K330" s="4">
        <v>1943.09997558593</v>
      </c>
      <c r="L330" s="4">
        <v>1943.09997558593</v>
      </c>
      <c r="M330" s="3">
        <v>49</v>
      </c>
      <c r="N330" s="3">
        <v>49</v>
      </c>
      <c r="O330" s="54">
        <v>49</v>
      </c>
    </row>
    <row r="331" spans="2:15" x14ac:dyDescent="0.25">
      <c r="B331" s="7">
        <v>45073</v>
      </c>
      <c r="C331" s="13">
        <v>26868.35</v>
      </c>
      <c r="D331" s="8">
        <v>1944.09997558593</v>
      </c>
      <c r="F331" s="7">
        <v>45073</v>
      </c>
      <c r="G331" s="13">
        <v>26868.35</v>
      </c>
      <c r="H331" s="4">
        <v>26868.35</v>
      </c>
      <c r="I331" s="4">
        <v>26868.35</v>
      </c>
      <c r="J331" s="4">
        <v>1944.09997558593</v>
      </c>
      <c r="K331" s="4">
        <v>1944.09997558593</v>
      </c>
      <c r="L331" s="4">
        <v>1944.09997558593</v>
      </c>
      <c r="M331" s="3">
        <v>48</v>
      </c>
      <c r="N331" s="3">
        <v>48</v>
      </c>
      <c r="O331" s="54">
        <v>48</v>
      </c>
    </row>
    <row r="332" spans="2:15" x14ac:dyDescent="0.25">
      <c r="B332" s="7">
        <v>45074</v>
      </c>
      <c r="C332" s="13">
        <v>28085.65</v>
      </c>
      <c r="D332" s="8">
        <v>1943.09997558593</v>
      </c>
      <c r="F332" s="7">
        <v>45074</v>
      </c>
      <c r="G332" s="13">
        <v>28085.65</v>
      </c>
      <c r="H332" s="4">
        <v>28085.65</v>
      </c>
      <c r="I332" s="4">
        <v>28085.65</v>
      </c>
      <c r="J332" s="4">
        <v>1943.09997558593</v>
      </c>
      <c r="K332" s="4">
        <v>1943.09997558593</v>
      </c>
      <c r="L332" s="4">
        <v>1943.09997558593</v>
      </c>
      <c r="M332" s="3">
        <v>50</v>
      </c>
      <c r="N332" s="3">
        <v>50</v>
      </c>
      <c r="O332" s="54">
        <v>50</v>
      </c>
    </row>
    <row r="333" spans="2:15" x14ac:dyDescent="0.25">
      <c r="B333" s="7">
        <v>45075</v>
      </c>
      <c r="C333" s="13">
        <v>27745.88</v>
      </c>
      <c r="D333" s="8">
        <v>1944.09997558593</v>
      </c>
      <c r="F333" s="7">
        <v>45075</v>
      </c>
      <c r="G333" s="13">
        <v>27745.88</v>
      </c>
      <c r="H333" s="4">
        <v>27745.88</v>
      </c>
      <c r="I333" s="4">
        <v>27745.88</v>
      </c>
      <c r="J333" s="4">
        <v>1944.09997558593</v>
      </c>
      <c r="K333" s="4">
        <v>1944.09997558593</v>
      </c>
      <c r="L333" s="4">
        <v>1944.09997558593</v>
      </c>
      <c r="M333" s="3">
        <v>52</v>
      </c>
      <c r="N333" s="3">
        <v>52</v>
      </c>
      <c r="O333" s="54">
        <v>52</v>
      </c>
    </row>
    <row r="334" spans="2:15" x14ac:dyDescent="0.25">
      <c r="B334" s="7">
        <v>45076</v>
      </c>
      <c r="C334" s="13">
        <v>27702.35</v>
      </c>
      <c r="D334" s="8">
        <v>1943.09997558593</v>
      </c>
      <c r="F334" s="7">
        <v>45076</v>
      </c>
      <c r="G334" s="13">
        <v>27702.35</v>
      </c>
      <c r="H334" s="4">
        <v>27702.35</v>
      </c>
      <c r="I334" s="4">
        <v>27702.35</v>
      </c>
      <c r="J334" s="4">
        <v>1943.09997558593</v>
      </c>
      <c r="K334" s="4">
        <v>1943.09997558593</v>
      </c>
      <c r="L334" s="4">
        <v>1943.09997558593</v>
      </c>
      <c r="M334" s="3">
        <v>51</v>
      </c>
      <c r="N334" s="3">
        <v>51</v>
      </c>
      <c r="O334" s="54">
        <v>51</v>
      </c>
    </row>
    <row r="335" spans="2:15" x14ac:dyDescent="0.25">
      <c r="B335" s="7">
        <v>45077</v>
      </c>
      <c r="C335" s="13">
        <v>27219.66</v>
      </c>
      <c r="D335" s="8">
        <v>1958</v>
      </c>
      <c r="F335" s="7">
        <v>45077</v>
      </c>
      <c r="G335" s="13">
        <v>27219.66</v>
      </c>
      <c r="H335" s="4">
        <v>27219.66</v>
      </c>
      <c r="I335" s="4">
        <v>27219.66</v>
      </c>
      <c r="J335" s="4">
        <v>1958</v>
      </c>
      <c r="K335" s="4">
        <v>1958</v>
      </c>
      <c r="L335" s="4">
        <v>1958</v>
      </c>
      <c r="M335" s="3">
        <v>51</v>
      </c>
      <c r="N335" s="3">
        <v>51</v>
      </c>
      <c r="O335" s="54">
        <v>51</v>
      </c>
    </row>
    <row r="336" spans="2:15" x14ac:dyDescent="0.25">
      <c r="B336" s="7">
        <v>45078</v>
      </c>
      <c r="C336" s="13">
        <v>26819.97</v>
      </c>
      <c r="D336" s="8">
        <v>1963.90002441406</v>
      </c>
      <c r="F336" s="7">
        <v>45078</v>
      </c>
      <c r="G336" s="13">
        <v>26819.97</v>
      </c>
      <c r="H336" s="4">
        <v>26819.97</v>
      </c>
      <c r="I336" s="4">
        <v>26819.97</v>
      </c>
      <c r="J336" s="4">
        <v>1963.90002441406</v>
      </c>
      <c r="K336" s="4">
        <v>1963.90002441406</v>
      </c>
      <c r="L336" s="4">
        <v>1963.90002441406</v>
      </c>
      <c r="M336" s="3">
        <v>52</v>
      </c>
      <c r="N336" s="3">
        <v>52</v>
      </c>
      <c r="O336" s="54">
        <v>52</v>
      </c>
    </row>
    <row r="337" spans="2:15" x14ac:dyDescent="0.25">
      <c r="B337" s="7">
        <v>45079</v>
      </c>
      <c r="C337" s="13">
        <v>27249.59</v>
      </c>
      <c r="D337" s="8">
        <v>1978</v>
      </c>
      <c r="F337" s="7">
        <v>45079</v>
      </c>
      <c r="G337" s="13">
        <v>27249.59</v>
      </c>
      <c r="H337" s="4">
        <v>27249.59</v>
      </c>
      <c r="I337" s="4">
        <v>27249.59</v>
      </c>
      <c r="J337" s="4">
        <v>1978</v>
      </c>
      <c r="K337" s="4">
        <v>1978</v>
      </c>
      <c r="L337" s="4">
        <v>1978</v>
      </c>
      <c r="M337" s="3">
        <v>50</v>
      </c>
      <c r="N337" s="3">
        <v>50</v>
      </c>
      <c r="O337" s="54">
        <v>50</v>
      </c>
    </row>
    <row r="338" spans="2:15" x14ac:dyDescent="0.25">
      <c r="B338" s="7">
        <v>45080</v>
      </c>
      <c r="C338" s="13">
        <v>27075.13</v>
      </c>
      <c r="D338" s="8">
        <v>1952.40002441406</v>
      </c>
      <c r="F338" s="7">
        <v>45080</v>
      </c>
      <c r="G338" s="13">
        <v>27075.13</v>
      </c>
      <c r="H338" s="4">
        <v>27075.13</v>
      </c>
      <c r="I338" s="4">
        <v>27075.13</v>
      </c>
      <c r="J338" s="4">
        <v>1952.40002441406</v>
      </c>
      <c r="K338" s="4">
        <v>1952.40002441406</v>
      </c>
      <c r="L338" s="4">
        <v>1952.40002441406</v>
      </c>
      <c r="M338" s="3">
        <v>53</v>
      </c>
      <c r="N338" s="3">
        <v>53</v>
      </c>
      <c r="O338" s="54">
        <v>53</v>
      </c>
    </row>
    <row r="339" spans="2:15" x14ac:dyDescent="0.25">
      <c r="B339" s="7">
        <v>45081</v>
      </c>
      <c r="C339" s="13">
        <v>27119.07</v>
      </c>
      <c r="D339" s="8">
        <v>1978</v>
      </c>
      <c r="F339" s="7">
        <v>45081</v>
      </c>
      <c r="G339" s="13">
        <v>27119.07</v>
      </c>
      <c r="H339" s="4">
        <v>27119.07</v>
      </c>
      <c r="I339" s="4">
        <v>27119.07</v>
      </c>
      <c r="J339" s="4">
        <v>1978</v>
      </c>
      <c r="K339" s="4">
        <v>1978</v>
      </c>
      <c r="L339" s="4">
        <v>1978</v>
      </c>
      <c r="M339" s="3">
        <v>52</v>
      </c>
      <c r="N339" s="3">
        <v>52</v>
      </c>
      <c r="O339" s="54">
        <v>52</v>
      </c>
    </row>
    <row r="340" spans="2:15" x14ac:dyDescent="0.25">
      <c r="B340" s="7">
        <v>45082</v>
      </c>
      <c r="C340" s="13">
        <v>25760.1</v>
      </c>
      <c r="D340" s="8">
        <v>1952.40002441406</v>
      </c>
      <c r="F340" s="7">
        <v>45082</v>
      </c>
      <c r="G340" s="13">
        <v>25760.1</v>
      </c>
      <c r="H340" s="4">
        <v>25760.1</v>
      </c>
      <c r="I340" s="4">
        <v>25760.1</v>
      </c>
      <c r="J340" s="4">
        <v>1952.40002441406</v>
      </c>
      <c r="K340" s="4">
        <v>1952.40002441406</v>
      </c>
      <c r="L340" s="4">
        <v>1952.40002441406</v>
      </c>
      <c r="M340" s="3">
        <v>53</v>
      </c>
      <c r="N340" s="3">
        <v>53</v>
      </c>
      <c r="O340" s="54">
        <v>53</v>
      </c>
    </row>
    <row r="341" spans="2:15" x14ac:dyDescent="0.25">
      <c r="B341" s="7">
        <v>45083</v>
      </c>
      <c r="C341" s="13">
        <v>27238.78</v>
      </c>
      <c r="D341" s="8">
        <v>1958</v>
      </c>
      <c r="F341" s="7">
        <v>45083</v>
      </c>
      <c r="G341" s="13">
        <v>27238.78</v>
      </c>
      <c r="H341" s="4">
        <v>27238.78</v>
      </c>
      <c r="I341" s="4">
        <v>27238.78</v>
      </c>
      <c r="J341" s="4">
        <v>1958</v>
      </c>
      <c r="K341" s="4">
        <v>1958</v>
      </c>
      <c r="L341" s="4">
        <v>1958</v>
      </c>
      <c r="M341" s="3">
        <v>44</v>
      </c>
      <c r="N341" s="3">
        <v>44</v>
      </c>
      <c r="O341" s="54">
        <v>44</v>
      </c>
    </row>
    <row r="342" spans="2:15" x14ac:dyDescent="0.25">
      <c r="B342" s="7">
        <v>45084</v>
      </c>
      <c r="C342" s="13">
        <v>26346</v>
      </c>
      <c r="D342" s="8">
        <v>1965.5</v>
      </c>
      <c r="F342" s="7">
        <v>45084</v>
      </c>
      <c r="G342" s="13">
        <v>26346</v>
      </c>
      <c r="H342" s="4">
        <v>26346</v>
      </c>
      <c r="I342" s="4">
        <v>26346</v>
      </c>
      <c r="J342" s="4">
        <v>1965.5</v>
      </c>
      <c r="K342" s="4">
        <v>1965.5</v>
      </c>
      <c r="L342" s="4">
        <v>1965.5</v>
      </c>
      <c r="M342" s="3">
        <v>53</v>
      </c>
      <c r="N342" s="3">
        <v>53</v>
      </c>
      <c r="O342" s="54">
        <v>53</v>
      </c>
    </row>
    <row r="343" spans="2:15" x14ac:dyDescent="0.25">
      <c r="B343" s="7">
        <v>45085</v>
      </c>
      <c r="C343" s="13">
        <v>26508.22</v>
      </c>
      <c r="D343" s="8">
        <v>1942.69995117187</v>
      </c>
      <c r="F343" s="7">
        <v>45085</v>
      </c>
      <c r="G343" s="13">
        <v>26508.22</v>
      </c>
      <c r="H343" s="4">
        <v>26508.22</v>
      </c>
      <c r="I343" s="4">
        <v>26508.22</v>
      </c>
      <c r="J343" s="4">
        <v>1942.69995117187</v>
      </c>
      <c r="K343" s="4">
        <v>1942.69995117187</v>
      </c>
      <c r="L343" s="4">
        <v>1942.69995117187</v>
      </c>
      <c r="M343" s="3">
        <v>50</v>
      </c>
      <c r="N343" s="3">
        <v>50</v>
      </c>
      <c r="O343" s="54">
        <v>50</v>
      </c>
    </row>
    <row r="344" spans="2:15" x14ac:dyDescent="0.25">
      <c r="B344" s="7">
        <v>45086</v>
      </c>
      <c r="C344" s="13">
        <v>26480.38</v>
      </c>
      <c r="D344" s="8">
        <v>1963.59997558593</v>
      </c>
      <c r="F344" s="7">
        <v>45086</v>
      </c>
      <c r="G344" s="13">
        <v>26480.38</v>
      </c>
      <c r="H344" s="4">
        <v>26480.38</v>
      </c>
      <c r="I344" s="4">
        <v>26480.38</v>
      </c>
      <c r="J344" s="4">
        <v>1963.59997558593</v>
      </c>
      <c r="K344" s="4">
        <v>1963.59997558593</v>
      </c>
      <c r="L344" s="4">
        <v>1963.59997558593</v>
      </c>
      <c r="M344" s="3">
        <v>50</v>
      </c>
      <c r="N344" s="3">
        <v>50</v>
      </c>
      <c r="O344" s="54">
        <v>50</v>
      </c>
    </row>
    <row r="345" spans="2:15" x14ac:dyDescent="0.25">
      <c r="B345" s="7">
        <v>45087</v>
      </c>
      <c r="C345" s="13">
        <v>25851.24</v>
      </c>
      <c r="D345" s="8">
        <v>1962.19995117187</v>
      </c>
      <c r="F345" s="7">
        <v>45087</v>
      </c>
      <c r="G345" s="13">
        <v>25851.24</v>
      </c>
      <c r="H345" s="4">
        <v>25851.24</v>
      </c>
      <c r="I345" s="4">
        <v>25851.24</v>
      </c>
      <c r="J345" s="4">
        <v>1962.19995117187</v>
      </c>
      <c r="K345" s="4">
        <v>1962.19995117187</v>
      </c>
      <c r="L345" s="4">
        <v>1962.19995117187</v>
      </c>
      <c r="M345" s="3">
        <v>49</v>
      </c>
      <c r="N345" s="3">
        <v>49</v>
      </c>
      <c r="O345" s="54">
        <v>49</v>
      </c>
    </row>
    <row r="346" spans="2:15" x14ac:dyDescent="0.25">
      <c r="B346" s="7">
        <v>45088</v>
      </c>
      <c r="C346" s="13">
        <v>25940.17</v>
      </c>
      <c r="D346" s="8">
        <v>1963.59997558593</v>
      </c>
      <c r="F346" s="7">
        <v>45088</v>
      </c>
      <c r="G346" s="13">
        <v>25940.17</v>
      </c>
      <c r="H346" s="4">
        <v>25940.17</v>
      </c>
      <c r="I346" s="4">
        <v>25940.17</v>
      </c>
      <c r="J346" s="4">
        <v>1963.59997558593</v>
      </c>
      <c r="K346" s="4">
        <v>1963.59997558593</v>
      </c>
      <c r="L346" s="4">
        <v>1963.59997558593</v>
      </c>
      <c r="M346" s="3">
        <v>47</v>
      </c>
      <c r="N346" s="3">
        <v>47</v>
      </c>
      <c r="O346" s="54">
        <v>47</v>
      </c>
    </row>
    <row r="347" spans="2:15" x14ac:dyDescent="0.25">
      <c r="B347" s="7">
        <v>45089</v>
      </c>
      <c r="C347" s="13">
        <v>25902.5</v>
      </c>
      <c r="D347" s="8">
        <v>1962.19995117187</v>
      </c>
      <c r="F347" s="7">
        <v>45089</v>
      </c>
      <c r="G347" s="13">
        <v>25902.5</v>
      </c>
      <c r="H347" s="4">
        <v>25902.5</v>
      </c>
      <c r="I347" s="4">
        <v>25902.5</v>
      </c>
      <c r="J347" s="4">
        <v>1962.19995117187</v>
      </c>
      <c r="K347" s="4">
        <v>1962.19995117187</v>
      </c>
      <c r="L347" s="4">
        <v>1962.19995117187</v>
      </c>
      <c r="M347" s="3">
        <v>47</v>
      </c>
      <c r="N347" s="3">
        <v>47</v>
      </c>
      <c r="O347" s="54">
        <v>47</v>
      </c>
    </row>
    <row r="348" spans="2:15" x14ac:dyDescent="0.25">
      <c r="B348" s="7">
        <v>45090</v>
      </c>
      <c r="C348" s="13">
        <v>25918.73</v>
      </c>
      <c r="D348" s="8">
        <v>1955.30004882812</v>
      </c>
      <c r="F348" s="7">
        <v>45090</v>
      </c>
      <c r="G348" s="13">
        <v>25918.73</v>
      </c>
      <c r="H348" s="4">
        <v>25918.73</v>
      </c>
      <c r="I348" s="4">
        <v>25918.73</v>
      </c>
      <c r="J348" s="4">
        <v>1955.30004882812</v>
      </c>
      <c r="K348" s="4">
        <v>1955.30004882812</v>
      </c>
      <c r="L348" s="4">
        <v>1955.30004882812</v>
      </c>
      <c r="M348" s="3">
        <v>45</v>
      </c>
      <c r="N348" s="3">
        <v>45</v>
      </c>
      <c r="O348" s="54">
        <v>45</v>
      </c>
    </row>
    <row r="349" spans="2:15" x14ac:dyDescent="0.25">
      <c r="B349" s="7">
        <v>45091</v>
      </c>
      <c r="C349" s="13">
        <v>25124.68</v>
      </c>
      <c r="D349" s="8">
        <v>1944.59997558593</v>
      </c>
      <c r="F349" s="7">
        <v>45091</v>
      </c>
      <c r="G349" s="13">
        <v>25124.68</v>
      </c>
      <c r="H349" s="4">
        <v>25124.68</v>
      </c>
      <c r="I349" s="4">
        <v>25124.68</v>
      </c>
      <c r="J349" s="4">
        <v>1944.59997558593</v>
      </c>
      <c r="K349" s="4">
        <v>1944.59997558593</v>
      </c>
      <c r="L349" s="4">
        <v>1944.59997558593</v>
      </c>
      <c r="M349" s="3">
        <v>46</v>
      </c>
      <c r="N349" s="3">
        <v>46</v>
      </c>
      <c r="O349" s="54">
        <v>46</v>
      </c>
    </row>
    <row r="350" spans="2:15" x14ac:dyDescent="0.25">
      <c r="B350" s="7">
        <v>45092</v>
      </c>
      <c r="C350" s="13">
        <v>25576.39</v>
      </c>
      <c r="D350" s="8">
        <v>1955.30004882812</v>
      </c>
      <c r="F350" s="7">
        <v>45092</v>
      </c>
      <c r="G350" s="13">
        <v>25576.39</v>
      </c>
      <c r="H350" s="4">
        <v>25576.39</v>
      </c>
      <c r="I350" s="4">
        <v>25576.39</v>
      </c>
      <c r="J350" s="4">
        <v>1955.30004882812</v>
      </c>
      <c r="K350" s="4">
        <v>1955.30004882812</v>
      </c>
      <c r="L350" s="4">
        <v>1955.30004882812</v>
      </c>
      <c r="M350" s="3">
        <v>41</v>
      </c>
      <c r="N350" s="3">
        <v>41</v>
      </c>
      <c r="O350" s="54">
        <v>41</v>
      </c>
    </row>
    <row r="351" spans="2:15" x14ac:dyDescent="0.25">
      <c r="B351" s="7">
        <v>45093</v>
      </c>
      <c r="C351" s="13">
        <v>26327.46</v>
      </c>
      <c r="D351" s="8">
        <v>1957.80004882812</v>
      </c>
      <c r="F351" s="7">
        <v>45093</v>
      </c>
      <c r="G351" s="13">
        <v>26327.46</v>
      </c>
      <c r="H351" s="4">
        <v>26327.46</v>
      </c>
      <c r="I351" s="4">
        <v>26327.46</v>
      </c>
      <c r="J351" s="4">
        <v>1957.80004882812</v>
      </c>
      <c r="K351" s="4">
        <v>1957.80004882812</v>
      </c>
      <c r="L351" s="4">
        <v>1957.80004882812</v>
      </c>
      <c r="M351" s="3">
        <v>47</v>
      </c>
      <c r="N351" s="3">
        <v>47</v>
      </c>
      <c r="O351" s="54">
        <v>47</v>
      </c>
    </row>
    <row r="352" spans="2:15" x14ac:dyDescent="0.25">
      <c r="B352" s="7">
        <v>45094</v>
      </c>
      <c r="C352" s="13">
        <v>26510.68</v>
      </c>
      <c r="D352" s="8">
        <v>1958.40002441406</v>
      </c>
      <c r="F352" s="7">
        <v>45094</v>
      </c>
      <c r="G352" s="13">
        <v>26510.68</v>
      </c>
      <c r="H352" s="4">
        <v>26510.68</v>
      </c>
      <c r="I352" s="4">
        <v>26510.68</v>
      </c>
      <c r="J352" s="4">
        <v>1958.40002441406</v>
      </c>
      <c r="K352" s="4">
        <v>1958.40002441406</v>
      </c>
      <c r="L352" s="4">
        <v>1958.40002441406</v>
      </c>
      <c r="M352" s="3">
        <v>47</v>
      </c>
      <c r="N352" s="3">
        <v>47</v>
      </c>
      <c r="O352" s="54">
        <v>47</v>
      </c>
    </row>
    <row r="353" spans="2:15" x14ac:dyDescent="0.25">
      <c r="B353" s="7">
        <v>45095</v>
      </c>
      <c r="C353" s="13">
        <v>26336.21</v>
      </c>
      <c r="D353" s="8">
        <v>1957.80004882812</v>
      </c>
      <c r="F353" s="7">
        <v>45095</v>
      </c>
      <c r="G353" s="13">
        <v>26336.21</v>
      </c>
      <c r="H353" s="4">
        <v>26336.21</v>
      </c>
      <c r="I353" s="4">
        <v>26336.21</v>
      </c>
      <c r="J353" s="4">
        <v>1957.80004882812</v>
      </c>
      <c r="K353" s="4">
        <v>1957.80004882812</v>
      </c>
      <c r="L353" s="4">
        <v>1957.80004882812</v>
      </c>
      <c r="M353" s="3">
        <v>49</v>
      </c>
      <c r="N353" s="3">
        <v>49</v>
      </c>
      <c r="O353" s="54">
        <v>49</v>
      </c>
    </row>
    <row r="354" spans="2:15" x14ac:dyDescent="0.25">
      <c r="B354" s="7">
        <v>45096</v>
      </c>
      <c r="C354" s="13">
        <v>26851.03</v>
      </c>
      <c r="D354" s="8">
        <v>1958.40002441406</v>
      </c>
      <c r="F354" s="7">
        <v>45096</v>
      </c>
      <c r="G354" s="13">
        <v>26851.03</v>
      </c>
      <c r="H354" s="4">
        <v>26851.03</v>
      </c>
      <c r="I354" s="4">
        <v>26851.03</v>
      </c>
      <c r="J354" s="4">
        <v>1958.40002441406</v>
      </c>
      <c r="K354" s="4">
        <v>1958.40002441406</v>
      </c>
      <c r="L354" s="4">
        <v>1958.40002441406</v>
      </c>
      <c r="M354" s="3">
        <v>47</v>
      </c>
      <c r="N354" s="3">
        <v>47</v>
      </c>
      <c r="O354" s="54">
        <v>47</v>
      </c>
    </row>
    <row r="355" spans="2:15" x14ac:dyDescent="0.25">
      <c r="B355" s="7">
        <v>45097</v>
      </c>
      <c r="C355" s="13">
        <v>28327.49</v>
      </c>
      <c r="D355" s="8">
        <v>1957.80004882812</v>
      </c>
      <c r="F355" s="7">
        <v>45097</v>
      </c>
      <c r="G355" s="13">
        <v>28327.49</v>
      </c>
      <c r="H355" s="4">
        <v>28327.49</v>
      </c>
      <c r="I355" s="4">
        <v>28327.49</v>
      </c>
      <c r="J355" s="4">
        <v>1957.80004882812</v>
      </c>
      <c r="K355" s="4">
        <v>1957.80004882812</v>
      </c>
      <c r="L355" s="4">
        <v>1957.80004882812</v>
      </c>
      <c r="M355" s="3">
        <v>49</v>
      </c>
      <c r="N355" s="3">
        <v>49</v>
      </c>
      <c r="O355" s="54">
        <v>49</v>
      </c>
    </row>
    <row r="356" spans="2:15" x14ac:dyDescent="0.25">
      <c r="B356" s="7">
        <v>45098</v>
      </c>
      <c r="C356" s="13">
        <v>30027.3</v>
      </c>
      <c r="D356" s="8">
        <v>1935.5</v>
      </c>
      <c r="F356" s="7">
        <v>45098</v>
      </c>
      <c r="G356" s="13">
        <v>30027.3</v>
      </c>
      <c r="H356" s="4">
        <v>30027.3</v>
      </c>
      <c r="I356" s="4">
        <v>30027.3</v>
      </c>
      <c r="J356" s="4">
        <v>1935.5</v>
      </c>
      <c r="K356" s="4">
        <v>1935.5</v>
      </c>
      <c r="L356" s="4">
        <v>1935.5</v>
      </c>
      <c r="M356" s="3">
        <v>59</v>
      </c>
      <c r="N356" s="3">
        <v>59</v>
      </c>
      <c r="O356" s="54">
        <v>59</v>
      </c>
    </row>
    <row r="357" spans="2:15" x14ac:dyDescent="0.25">
      <c r="B357" s="7">
        <v>45099</v>
      </c>
      <c r="C357" s="13">
        <v>29912.28</v>
      </c>
      <c r="D357" s="8">
        <v>1933.30004882812</v>
      </c>
      <c r="F357" s="7">
        <v>45099</v>
      </c>
      <c r="G357" s="13">
        <v>29912.28</v>
      </c>
      <c r="H357" s="4">
        <v>29912.28</v>
      </c>
      <c r="I357" s="4">
        <v>29912.28</v>
      </c>
      <c r="J357" s="4">
        <v>1933.30004882812</v>
      </c>
      <c r="K357" s="4">
        <v>1933.30004882812</v>
      </c>
      <c r="L357" s="4">
        <v>1933.30004882812</v>
      </c>
      <c r="M357" s="3">
        <v>65</v>
      </c>
      <c r="N357" s="3">
        <v>65</v>
      </c>
      <c r="O357" s="54">
        <v>65</v>
      </c>
    </row>
    <row r="358" spans="2:15" x14ac:dyDescent="0.25">
      <c r="B358" s="7">
        <v>45100</v>
      </c>
      <c r="C358" s="13">
        <v>30695.47</v>
      </c>
      <c r="D358" s="8">
        <v>1912.69995117187</v>
      </c>
      <c r="F358" s="7">
        <v>45100</v>
      </c>
      <c r="G358" s="13">
        <v>30695.47</v>
      </c>
      <c r="H358" s="4">
        <v>30695.47</v>
      </c>
      <c r="I358" s="4">
        <v>30695.47</v>
      </c>
      <c r="J358" s="4">
        <v>1912.69995117187</v>
      </c>
      <c r="K358" s="4">
        <v>1912.69995117187</v>
      </c>
      <c r="L358" s="4">
        <v>1912.69995117187</v>
      </c>
      <c r="M358" s="3">
        <v>65</v>
      </c>
      <c r="N358" s="3">
        <v>65</v>
      </c>
      <c r="O358" s="54">
        <v>65</v>
      </c>
    </row>
    <row r="359" spans="2:15" x14ac:dyDescent="0.25">
      <c r="B359" s="7">
        <v>45101</v>
      </c>
      <c r="C359" s="13">
        <v>30548.7</v>
      </c>
      <c r="D359" s="8">
        <v>1919.09997558593</v>
      </c>
      <c r="F359" s="7">
        <v>45101</v>
      </c>
      <c r="G359" s="13">
        <v>30548.7</v>
      </c>
      <c r="H359" s="4">
        <v>30548.7</v>
      </c>
      <c r="I359" s="4">
        <v>30548.7</v>
      </c>
      <c r="J359" s="4">
        <v>1919.09997558593</v>
      </c>
      <c r="K359" s="4">
        <v>1919.09997558593</v>
      </c>
      <c r="L359" s="4">
        <v>1919.09997558593</v>
      </c>
      <c r="M359" s="3">
        <v>62</v>
      </c>
      <c r="N359" s="3">
        <v>62</v>
      </c>
      <c r="O359" s="54">
        <v>62</v>
      </c>
    </row>
    <row r="360" spans="2:15" x14ac:dyDescent="0.25">
      <c r="B360" s="7">
        <v>45102</v>
      </c>
      <c r="C360" s="13">
        <v>30480.26</v>
      </c>
      <c r="D360" s="8">
        <v>1912.69995117187</v>
      </c>
      <c r="F360" s="7">
        <v>45102</v>
      </c>
      <c r="G360" s="13">
        <v>30480.26</v>
      </c>
      <c r="H360" s="4">
        <v>30480.26</v>
      </c>
      <c r="I360" s="4">
        <v>30480.26</v>
      </c>
      <c r="J360" s="4">
        <v>1912.69995117187</v>
      </c>
      <c r="K360" s="4">
        <v>1912.69995117187</v>
      </c>
      <c r="L360" s="4">
        <v>1912.69995117187</v>
      </c>
      <c r="M360" s="3">
        <v>64</v>
      </c>
      <c r="N360" s="3">
        <v>64</v>
      </c>
      <c r="O360" s="54">
        <v>64</v>
      </c>
    </row>
    <row r="361" spans="2:15" x14ac:dyDescent="0.25">
      <c r="B361" s="7">
        <v>45103</v>
      </c>
      <c r="C361" s="13">
        <v>30271.13</v>
      </c>
      <c r="D361" s="8">
        <v>1919.09997558593</v>
      </c>
      <c r="F361" s="7">
        <v>45103</v>
      </c>
      <c r="G361" s="13">
        <v>30271.13</v>
      </c>
      <c r="H361" s="4">
        <v>30271.13</v>
      </c>
      <c r="I361" s="4">
        <v>30271.13</v>
      </c>
      <c r="J361" s="4">
        <v>1919.09997558593</v>
      </c>
      <c r="K361" s="4">
        <v>1919.09997558593</v>
      </c>
      <c r="L361" s="4">
        <v>1919.09997558593</v>
      </c>
      <c r="M361" s="3">
        <v>55</v>
      </c>
      <c r="N361" s="3">
        <v>55</v>
      </c>
      <c r="O361" s="54">
        <v>55</v>
      </c>
    </row>
    <row r="362" spans="2:15" x14ac:dyDescent="0.25">
      <c r="B362" s="7">
        <v>45104</v>
      </c>
      <c r="C362" s="13">
        <v>30688.16</v>
      </c>
      <c r="D362" s="8">
        <v>1923.69995117187</v>
      </c>
      <c r="F362" s="7">
        <v>45104</v>
      </c>
      <c r="G362" s="13">
        <v>30688.16</v>
      </c>
      <c r="H362" s="4">
        <v>30688.16</v>
      </c>
      <c r="I362" s="4">
        <v>30688.16</v>
      </c>
      <c r="J362" s="4">
        <v>1923.69995117187</v>
      </c>
      <c r="K362" s="4">
        <v>1923.69995117187</v>
      </c>
      <c r="L362" s="4">
        <v>1923.69995117187</v>
      </c>
      <c r="M362" s="3">
        <v>59</v>
      </c>
      <c r="N362" s="3">
        <v>59</v>
      </c>
      <c r="O362" s="54">
        <v>59</v>
      </c>
    </row>
    <row r="363" spans="2:15" x14ac:dyDescent="0.25">
      <c r="B363" s="7">
        <v>45105</v>
      </c>
      <c r="C363" s="13">
        <v>30086.25</v>
      </c>
      <c r="D363" s="8">
        <v>1914</v>
      </c>
      <c r="F363" s="7">
        <v>45105</v>
      </c>
      <c r="G363" s="13">
        <v>30086.25</v>
      </c>
      <c r="H363" s="4">
        <v>30086.25</v>
      </c>
      <c r="I363" s="4">
        <v>30086.25</v>
      </c>
      <c r="J363" s="4">
        <v>1914</v>
      </c>
      <c r="K363" s="4">
        <v>1914</v>
      </c>
      <c r="L363" s="4">
        <v>1914</v>
      </c>
      <c r="M363" s="3">
        <v>62</v>
      </c>
      <c r="N363" s="3">
        <v>62</v>
      </c>
      <c r="O363" s="54">
        <v>62</v>
      </c>
    </row>
    <row r="364" spans="2:15" x14ac:dyDescent="0.25">
      <c r="B364" s="7">
        <v>45106</v>
      </c>
      <c r="C364" s="13">
        <v>30445.35</v>
      </c>
      <c r="D364" s="8">
        <v>1912.30004882812</v>
      </c>
      <c r="F364" s="7">
        <v>45106</v>
      </c>
      <c r="G364" s="13">
        <v>30445.35</v>
      </c>
      <c r="H364" s="4">
        <v>30445.35</v>
      </c>
      <c r="I364" s="4">
        <v>30445.35</v>
      </c>
      <c r="J364" s="4">
        <v>1912.30004882812</v>
      </c>
      <c r="K364" s="4">
        <v>1912.30004882812</v>
      </c>
      <c r="L364" s="4">
        <v>1912.30004882812</v>
      </c>
      <c r="M364" s="3">
        <v>54</v>
      </c>
      <c r="N364" s="3">
        <v>54</v>
      </c>
      <c r="O364" s="54">
        <v>54</v>
      </c>
    </row>
    <row r="365" spans="2:15" x14ac:dyDescent="0.25">
      <c r="B365" s="7">
        <v>45107</v>
      </c>
      <c r="C365" s="13">
        <v>30477.25</v>
      </c>
      <c r="D365" s="8">
        <v>1909.19995117187</v>
      </c>
      <c r="F365" s="7">
        <v>45107</v>
      </c>
      <c r="G365" s="13">
        <v>30477.25</v>
      </c>
      <c r="H365" s="4">
        <v>30477.25</v>
      </c>
      <c r="I365" s="4">
        <v>30477.25</v>
      </c>
      <c r="J365" s="4">
        <v>1909.19995117187</v>
      </c>
      <c r="K365" s="4">
        <v>1909.19995117187</v>
      </c>
      <c r="L365" s="4">
        <v>1909.19995117187</v>
      </c>
      <c r="M365" s="3">
        <v>56</v>
      </c>
      <c r="N365" s="3">
        <v>56</v>
      </c>
      <c r="O365" s="54">
        <v>56</v>
      </c>
    </row>
    <row r="366" spans="2:15" x14ac:dyDescent="0.25">
      <c r="B366" s="7">
        <v>45108</v>
      </c>
      <c r="C366" s="13">
        <v>30590.080000000002</v>
      </c>
      <c r="D366" s="8">
        <v>1921.09997558593</v>
      </c>
      <c r="F366" s="7">
        <v>45108</v>
      </c>
      <c r="G366" s="13">
        <v>30590.080000000002</v>
      </c>
      <c r="H366" s="4">
        <v>30590.080000000002</v>
      </c>
      <c r="I366" s="4">
        <v>30590.080000000002</v>
      </c>
      <c r="J366" s="4">
        <v>1921.09997558593</v>
      </c>
      <c r="K366" s="4">
        <v>1921.09997558593</v>
      </c>
      <c r="L366" s="4">
        <v>1921.09997558593</v>
      </c>
      <c r="M366" s="3">
        <v>59</v>
      </c>
      <c r="N366" s="3">
        <v>59</v>
      </c>
      <c r="O366" s="54">
        <v>59</v>
      </c>
    </row>
    <row r="367" spans="2:15" x14ac:dyDescent="0.25">
      <c r="B367" s="7">
        <v>45109</v>
      </c>
      <c r="C367" s="13">
        <v>30620.77</v>
      </c>
      <c r="D367" s="8">
        <v>1909.19995117187</v>
      </c>
      <c r="F367" s="7">
        <v>45109</v>
      </c>
      <c r="G367" s="13">
        <v>30620.77</v>
      </c>
      <c r="H367" s="4">
        <v>30620.77</v>
      </c>
      <c r="I367" s="4">
        <v>30620.77</v>
      </c>
      <c r="J367" s="4">
        <v>1909.19995117187</v>
      </c>
      <c r="K367" s="4">
        <v>1909.19995117187</v>
      </c>
      <c r="L367" s="4">
        <v>1909.19995117187</v>
      </c>
      <c r="M367" s="3">
        <v>63</v>
      </c>
      <c r="N367" s="3">
        <v>63</v>
      </c>
      <c r="O367" s="54">
        <v>63</v>
      </c>
    </row>
    <row r="368" spans="2:15" x14ac:dyDescent="0.25">
      <c r="B368" s="7">
        <v>45110</v>
      </c>
      <c r="C368" s="13">
        <v>31156.44</v>
      </c>
      <c r="D368" s="8">
        <v>1921.09997558593</v>
      </c>
      <c r="F368" s="7">
        <v>45110</v>
      </c>
      <c r="G368" s="13">
        <v>31156.44</v>
      </c>
      <c r="H368" s="4">
        <v>31156.44</v>
      </c>
      <c r="I368" s="4">
        <v>31156.44</v>
      </c>
      <c r="J368" s="4">
        <v>1921.09997558593</v>
      </c>
      <c r="K368" s="4">
        <v>1921.09997558593</v>
      </c>
      <c r="L368" s="4">
        <v>1921.09997558593</v>
      </c>
      <c r="M368" s="3">
        <v>62</v>
      </c>
      <c r="N368" s="3">
        <v>62</v>
      </c>
      <c r="O368" s="54">
        <v>62</v>
      </c>
    </row>
    <row r="369" spans="2:15" x14ac:dyDescent="0.25">
      <c r="B369" s="7">
        <v>45111</v>
      </c>
      <c r="C369" s="13">
        <v>30777.58</v>
      </c>
      <c r="D369" s="8">
        <v>1921.69995117187</v>
      </c>
      <c r="F369" s="7">
        <v>45111</v>
      </c>
      <c r="G369" s="13">
        <v>30777.58</v>
      </c>
      <c r="H369" s="4">
        <v>30777.58</v>
      </c>
      <c r="I369" s="4">
        <v>30777.58</v>
      </c>
      <c r="J369" s="4">
        <v>1921.69995117187</v>
      </c>
      <c r="K369" s="4">
        <v>1921.69995117187</v>
      </c>
      <c r="L369" s="4">
        <v>1921.69995117187</v>
      </c>
      <c r="M369" s="3">
        <v>64</v>
      </c>
      <c r="N369" s="3">
        <v>64</v>
      </c>
      <c r="O369" s="54">
        <v>64</v>
      </c>
    </row>
    <row r="370" spans="2:15" x14ac:dyDescent="0.25">
      <c r="B370" s="7">
        <v>45112</v>
      </c>
      <c r="C370" s="13">
        <v>30514.17</v>
      </c>
      <c r="D370" s="8">
        <v>1921.09997558593</v>
      </c>
      <c r="F370" s="7">
        <v>45112</v>
      </c>
      <c r="G370" s="13">
        <v>30514.17</v>
      </c>
      <c r="H370" s="4">
        <v>30514.17</v>
      </c>
      <c r="I370" s="4">
        <v>30514.17</v>
      </c>
      <c r="J370" s="4">
        <v>1921.09997558593</v>
      </c>
      <c r="K370" s="4">
        <v>1921.09997558593</v>
      </c>
      <c r="L370" s="4">
        <v>1921.09997558593</v>
      </c>
      <c r="M370" s="3">
        <v>61</v>
      </c>
      <c r="N370" s="3">
        <v>61</v>
      </c>
      <c r="O370" s="54">
        <v>61</v>
      </c>
    </row>
    <row r="371" spans="2:15" x14ac:dyDescent="0.25">
      <c r="B371" s="7">
        <v>45113</v>
      </c>
      <c r="C371" s="13">
        <v>29909.34</v>
      </c>
      <c r="D371" s="8">
        <v>1919.59997558593</v>
      </c>
      <c r="F371" s="7">
        <v>45113</v>
      </c>
      <c r="G371" s="13">
        <v>29909.34</v>
      </c>
      <c r="H371" s="4">
        <v>29909.34</v>
      </c>
      <c r="I371" s="4">
        <v>29909.34</v>
      </c>
      <c r="J371" s="4">
        <v>1919.59997558593</v>
      </c>
      <c r="K371" s="4">
        <v>1919.59997558593</v>
      </c>
      <c r="L371" s="4">
        <v>1919.59997558593</v>
      </c>
      <c r="M371" s="3">
        <v>56</v>
      </c>
      <c r="N371" s="3">
        <v>56</v>
      </c>
      <c r="O371" s="54">
        <v>56</v>
      </c>
    </row>
    <row r="372" spans="2:15" x14ac:dyDescent="0.25">
      <c r="B372" s="7">
        <v>45114</v>
      </c>
      <c r="C372" s="13">
        <v>30342.27</v>
      </c>
      <c r="D372" s="8">
        <v>1908.69995117187</v>
      </c>
      <c r="F372" s="7">
        <v>45114</v>
      </c>
      <c r="G372" s="13">
        <v>30342.27</v>
      </c>
      <c r="H372" s="4">
        <v>30342.27</v>
      </c>
      <c r="I372" s="4">
        <v>30342.27</v>
      </c>
      <c r="J372" s="4">
        <v>1908.69995117187</v>
      </c>
      <c r="K372" s="4">
        <v>1908.69995117187</v>
      </c>
      <c r="L372" s="4">
        <v>1908.69995117187</v>
      </c>
      <c r="M372" s="3">
        <v>55</v>
      </c>
      <c r="N372" s="3">
        <v>55</v>
      </c>
      <c r="O372" s="54">
        <v>55</v>
      </c>
    </row>
    <row r="373" spans="2:15" x14ac:dyDescent="0.25">
      <c r="B373" s="7">
        <v>45115</v>
      </c>
      <c r="C373" s="13">
        <v>30292.54</v>
      </c>
      <c r="D373" s="8">
        <v>1926.19995117187</v>
      </c>
      <c r="F373" s="7">
        <v>45115</v>
      </c>
      <c r="G373" s="13">
        <v>30292.54</v>
      </c>
      <c r="H373" s="4">
        <v>30292.54</v>
      </c>
      <c r="I373" s="4">
        <v>30292.54</v>
      </c>
      <c r="J373" s="4">
        <v>1926.19995117187</v>
      </c>
      <c r="K373" s="4">
        <v>1926.19995117187</v>
      </c>
      <c r="L373" s="4">
        <v>1926.19995117187</v>
      </c>
      <c r="M373" s="3">
        <v>58</v>
      </c>
      <c r="N373" s="3">
        <v>58</v>
      </c>
      <c r="O373" s="54">
        <v>58</v>
      </c>
    </row>
    <row r="374" spans="2:15" x14ac:dyDescent="0.25">
      <c r="B374" s="7">
        <v>45116</v>
      </c>
      <c r="C374" s="13">
        <v>30171.23</v>
      </c>
      <c r="D374" s="8">
        <v>1908.69995117187</v>
      </c>
      <c r="F374" s="7">
        <v>45116</v>
      </c>
      <c r="G374" s="13">
        <v>30171.23</v>
      </c>
      <c r="H374" s="4">
        <v>30171.23</v>
      </c>
      <c r="I374" s="4">
        <v>30171.23</v>
      </c>
      <c r="J374" s="4">
        <v>1908.69995117187</v>
      </c>
      <c r="K374" s="4">
        <v>1908.69995117187</v>
      </c>
      <c r="L374" s="4">
        <v>1908.69995117187</v>
      </c>
      <c r="M374" s="3">
        <v>55</v>
      </c>
      <c r="N374" s="3">
        <v>55</v>
      </c>
      <c r="O374" s="54">
        <v>55</v>
      </c>
    </row>
    <row r="375" spans="2:15" x14ac:dyDescent="0.25">
      <c r="B375" s="7">
        <v>45117</v>
      </c>
      <c r="C375" s="13">
        <v>30414.47</v>
      </c>
      <c r="D375" s="8">
        <v>1926.19995117187</v>
      </c>
      <c r="F375" s="7">
        <v>45117</v>
      </c>
      <c r="G375" s="13">
        <v>30414.47</v>
      </c>
      <c r="H375" s="4">
        <v>30414.47</v>
      </c>
      <c r="I375" s="4">
        <v>30414.47</v>
      </c>
      <c r="J375" s="4">
        <v>1926.19995117187</v>
      </c>
      <c r="K375" s="4">
        <v>1926.19995117187</v>
      </c>
      <c r="L375" s="4">
        <v>1926.19995117187</v>
      </c>
      <c r="M375" s="3">
        <v>56</v>
      </c>
      <c r="N375" s="3">
        <v>56</v>
      </c>
      <c r="O375" s="54">
        <v>56</v>
      </c>
    </row>
    <row r="376" spans="2:15" x14ac:dyDescent="0.25">
      <c r="B376" s="7">
        <v>45118</v>
      </c>
      <c r="C376" s="13">
        <v>30620.95</v>
      </c>
      <c r="D376" s="8">
        <v>1925</v>
      </c>
      <c r="F376" s="7">
        <v>45118</v>
      </c>
      <c r="G376" s="13">
        <v>30620.95</v>
      </c>
      <c r="H376" s="4">
        <v>30620.95</v>
      </c>
      <c r="I376" s="4">
        <v>30620.95</v>
      </c>
      <c r="J376" s="4">
        <v>1925</v>
      </c>
      <c r="K376" s="4">
        <v>1925</v>
      </c>
      <c r="L376" s="4">
        <v>1925</v>
      </c>
      <c r="M376" s="3">
        <v>57</v>
      </c>
      <c r="N376" s="3">
        <v>57</v>
      </c>
      <c r="O376" s="54">
        <v>57</v>
      </c>
    </row>
    <row r="377" spans="2:15" x14ac:dyDescent="0.25">
      <c r="B377" s="7">
        <v>45119</v>
      </c>
      <c r="C377" s="13">
        <v>30391.65</v>
      </c>
      <c r="D377" s="8">
        <v>1931.30004882812</v>
      </c>
      <c r="F377" s="7">
        <v>45119</v>
      </c>
      <c r="G377" s="13">
        <v>30391.65</v>
      </c>
      <c r="H377" s="4">
        <v>30391.65</v>
      </c>
      <c r="I377" s="4">
        <v>30391.65</v>
      </c>
      <c r="J377" s="4">
        <v>1931.30004882812</v>
      </c>
      <c r="K377" s="4">
        <v>1931.30004882812</v>
      </c>
      <c r="L377" s="4">
        <v>1931.30004882812</v>
      </c>
      <c r="M377" s="3">
        <v>64</v>
      </c>
      <c r="N377" s="3">
        <v>64</v>
      </c>
      <c r="O377" s="54">
        <v>64</v>
      </c>
    </row>
    <row r="378" spans="2:15" x14ac:dyDescent="0.25">
      <c r="B378" s="7">
        <v>45120</v>
      </c>
      <c r="C378" s="13">
        <v>31476.05</v>
      </c>
      <c r="D378" s="8">
        <v>1956.19995117187</v>
      </c>
      <c r="F378" s="7">
        <v>45120</v>
      </c>
      <c r="G378" s="13">
        <v>31476.05</v>
      </c>
      <c r="H378" s="4">
        <v>31476.05</v>
      </c>
      <c r="I378" s="4">
        <v>31476.05</v>
      </c>
      <c r="J378" s="4">
        <v>1956.19995117187</v>
      </c>
      <c r="K378" s="4">
        <v>1956.19995117187</v>
      </c>
      <c r="L378" s="4">
        <v>1956.19995117187</v>
      </c>
      <c r="M378" s="3">
        <v>57</v>
      </c>
      <c r="N378" s="3">
        <v>57</v>
      </c>
      <c r="O378" s="54">
        <v>57</v>
      </c>
    </row>
    <row r="379" spans="2:15" x14ac:dyDescent="0.25">
      <c r="B379" s="7">
        <v>45121</v>
      </c>
      <c r="C379" s="13">
        <v>30334.07</v>
      </c>
      <c r="D379" s="8">
        <v>1959.19995117187</v>
      </c>
      <c r="F379" s="7">
        <v>45121</v>
      </c>
      <c r="G379" s="13">
        <v>30334.07</v>
      </c>
      <c r="H379" s="4">
        <v>30334.07</v>
      </c>
      <c r="I379" s="4">
        <v>30334.07</v>
      </c>
      <c r="J379" s="4">
        <v>1959.19995117187</v>
      </c>
      <c r="K379" s="4">
        <v>1959.19995117187</v>
      </c>
      <c r="L379" s="4">
        <v>1959.19995117187</v>
      </c>
      <c r="M379" s="3">
        <v>60</v>
      </c>
      <c r="N379" s="3">
        <v>60</v>
      </c>
      <c r="O379" s="54">
        <v>60</v>
      </c>
    </row>
    <row r="380" spans="2:15" x14ac:dyDescent="0.25">
      <c r="B380" s="7">
        <v>45122</v>
      </c>
      <c r="C380" s="13">
        <v>30295.81</v>
      </c>
      <c r="D380" s="8">
        <v>1960.09997558593</v>
      </c>
      <c r="F380" s="7">
        <v>45122</v>
      </c>
      <c r="G380" s="13">
        <v>30295.81</v>
      </c>
      <c r="H380" s="4">
        <v>30295.81</v>
      </c>
      <c r="I380" s="4">
        <v>30295.81</v>
      </c>
      <c r="J380" s="4">
        <v>1960.09997558593</v>
      </c>
      <c r="K380" s="4">
        <v>1960.09997558593</v>
      </c>
      <c r="L380" s="4">
        <v>1960.09997558593</v>
      </c>
      <c r="M380" s="3">
        <v>56</v>
      </c>
      <c r="N380" s="3">
        <v>56</v>
      </c>
      <c r="O380" s="54">
        <v>56</v>
      </c>
    </row>
    <row r="381" spans="2:15" x14ac:dyDescent="0.25">
      <c r="B381" s="7">
        <v>45123</v>
      </c>
      <c r="C381" s="13">
        <v>30249.13</v>
      </c>
      <c r="D381" s="8">
        <v>1959.19995117187</v>
      </c>
      <c r="F381" s="7">
        <v>45123</v>
      </c>
      <c r="G381" s="13">
        <v>30249.13</v>
      </c>
      <c r="H381" s="4">
        <v>30249.13</v>
      </c>
      <c r="I381" s="4">
        <v>30249.13</v>
      </c>
      <c r="J381" s="4">
        <v>1959.19995117187</v>
      </c>
      <c r="K381" s="4">
        <v>1959.19995117187</v>
      </c>
      <c r="L381" s="4">
        <v>1959.19995117187</v>
      </c>
      <c r="M381" s="3">
        <v>57</v>
      </c>
      <c r="N381" s="3">
        <v>57</v>
      </c>
      <c r="O381" s="54">
        <v>57</v>
      </c>
    </row>
    <row r="382" spans="2:15" x14ac:dyDescent="0.25">
      <c r="B382" s="7">
        <v>45124</v>
      </c>
      <c r="C382" s="13">
        <v>30145.89</v>
      </c>
      <c r="D382" s="8">
        <v>1960.09997558593</v>
      </c>
      <c r="F382" s="7">
        <v>45124</v>
      </c>
      <c r="G382" s="13">
        <v>30145.89</v>
      </c>
      <c r="H382" s="4">
        <v>30145.89</v>
      </c>
      <c r="I382" s="4">
        <v>30145.89</v>
      </c>
      <c r="J382" s="4">
        <v>1960.09997558593</v>
      </c>
      <c r="K382" s="4">
        <v>1960.09997558593</v>
      </c>
      <c r="L382" s="4">
        <v>1960.09997558593</v>
      </c>
      <c r="M382" s="3">
        <v>54</v>
      </c>
      <c r="N382" s="3">
        <v>54</v>
      </c>
      <c r="O382" s="54">
        <v>54</v>
      </c>
    </row>
    <row r="383" spans="2:15" x14ac:dyDescent="0.25">
      <c r="B383" s="7">
        <v>45125</v>
      </c>
      <c r="C383" s="13">
        <v>29856.560000000001</v>
      </c>
      <c r="D383" s="8">
        <v>1952.40002441406</v>
      </c>
      <c r="F383" s="7">
        <v>45125</v>
      </c>
      <c r="G383" s="13">
        <v>29856.560000000001</v>
      </c>
      <c r="H383" s="4">
        <v>29856.560000000001</v>
      </c>
      <c r="I383" s="4">
        <v>29856.560000000001</v>
      </c>
      <c r="J383" s="4">
        <v>1952.40002441406</v>
      </c>
      <c r="K383" s="4">
        <v>1952.40002441406</v>
      </c>
      <c r="L383" s="4">
        <v>1952.40002441406</v>
      </c>
      <c r="M383" s="3">
        <v>56</v>
      </c>
      <c r="N383" s="3">
        <v>56</v>
      </c>
      <c r="O383" s="54">
        <v>56</v>
      </c>
    </row>
    <row r="384" spans="2:15" x14ac:dyDescent="0.25">
      <c r="B384" s="7">
        <v>45126</v>
      </c>
      <c r="C384" s="13">
        <v>29913.919999999998</v>
      </c>
      <c r="D384" s="8">
        <v>1977.19995117187</v>
      </c>
      <c r="F384" s="7">
        <v>45126</v>
      </c>
      <c r="G384" s="13">
        <v>29913.919999999998</v>
      </c>
      <c r="H384" s="4">
        <v>29913.919999999998</v>
      </c>
      <c r="I384" s="4">
        <v>29913.919999999998</v>
      </c>
      <c r="J384" s="4">
        <v>1977.19995117187</v>
      </c>
      <c r="K384" s="4">
        <v>1977.19995117187</v>
      </c>
      <c r="L384" s="4">
        <v>1977.19995117187</v>
      </c>
      <c r="M384" s="3">
        <v>50</v>
      </c>
      <c r="N384" s="3">
        <v>50</v>
      </c>
      <c r="O384" s="54">
        <v>50</v>
      </c>
    </row>
    <row r="385" spans="2:15" x14ac:dyDescent="0.25">
      <c r="B385" s="7">
        <v>45127</v>
      </c>
      <c r="C385" s="13">
        <v>29792.02</v>
      </c>
      <c r="D385" s="8">
        <v>1977.5</v>
      </c>
      <c r="F385" s="7">
        <v>45127</v>
      </c>
      <c r="G385" s="13">
        <v>29792.02</v>
      </c>
      <c r="H385" s="4">
        <v>29792.02</v>
      </c>
      <c r="I385" s="4">
        <v>29792.02</v>
      </c>
      <c r="J385" s="4">
        <v>1977.5</v>
      </c>
      <c r="K385" s="4">
        <v>1977.5</v>
      </c>
      <c r="L385" s="4">
        <v>1977.5</v>
      </c>
      <c r="M385" s="3">
        <v>56</v>
      </c>
      <c r="N385" s="3">
        <v>56</v>
      </c>
      <c r="O385" s="54">
        <v>56</v>
      </c>
    </row>
    <row r="386" spans="2:15" x14ac:dyDescent="0.25">
      <c r="B386" s="7">
        <v>45128</v>
      </c>
      <c r="C386" s="13">
        <v>29908.74</v>
      </c>
      <c r="D386" s="8">
        <v>1968.30004882812</v>
      </c>
      <c r="F386" s="7">
        <v>45128</v>
      </c>
      <c r="G386" s="13">
        <v>29908.74</v>
      </c>
      <c r="H386" s="4">
        <v>29908.74</v>
      </c>
      <c r="I386" s="4">
        <v>29908.74</v>
      </c>
      <c r="J386" s="4">
        <v>1968.30004882812</v>
      </c>
      <c r="K386" s="4">
        <v>1968.30004882812</v>
      </c>
      <c r="L386" s="4">
        <v>1968.30004882812</v>
      </c>
      <c r="M386" s="3">
        <v>50</v>
      </c>
      <c r="N386" s="3">
        <v>50</v>
      </c>
      <c r="O386" s="54">
        <v>50</v>
      </c>
    </row>
    <row r="387" spans="2:15" x14ac:dyDescent="0.25">
      <c r="B387" s="7">
        <v>45129</v>
      </c>
      <c r="C387" s="13">
        <v>29771.8</v>
      </c>
      <c r="D387" s="8">
        <v>1964.30004882812</v>
      </c>
      <c r="F387" s="7">
        <v>45129</v>
      </c>
      <c r="G387" s="13">
        <v>29771.8</v>
      </c>
      <c r="H387" s="4">
        <v>29771.8</v>
      </c>
      <c r="I387" s="4">
        <v>29771.8</v>
      </c>
      <c r="J387" s="4">
        <v>1964.30004882812</v>
      </c>
      <c r="K387" s="4">
        <v>1964.30004882812</v>
      </c>
      <c r="L387" s="4">
        <v>1964.30004882812</v>
      </c>
      <c r="M387" s="3">
        <v>52</v>
      </c>
      <c r="N387" s="3">
        <v>52</v>
      </c>
      <c r="O387" s="54">
        <v>52</v>
      </c>
    </row>
    <row r="388" spans="2:15" x14ac:dyDescent="0.25">
      <c r="B388" s="7">
        <v>45130</v>
      </c>
      <c r="C388" s="13">
        <v>30084.54</v>
      </c>
      <c r="D388" s="8">
        <v>1968.30004882812</v>
      </c>
      <c r="F388" s="7">
        <v>45130</v>
      </c>
      <c r="G388" s="13">
        <v>30084.54</v>
      </c>
      <c r="H388" s="4">
        <v>30084.54</v>
      </c>
      <c r="I388" s="4">
        <v>30084.54</v>
      </c>
      <c r="J388" s="4">
        <v>1968.30004882812</v>
      </c>
      <c r="K388" s="4">
        <v>1968.30004882812</v>
      </c>
      <c r="L388" s="4">
        <v>1968.30004882812</v>
      </c>
      <c r="M388" s="3">
        <v>54</v>
      </c>
      <c r="N388" s="3">
        <v>54</v>
      </c>
      <c r="O388" s="54">
        <v>54</v>
      </c>
    </row>
    <row r="389" spans="2:15" x14ac:dyDescent="0.25">
      <c r="B389" s="7">
        <v>45131</v>
      </c>
      <c r="C389" s="13">
        <v>29176.92</v>
      </c>
      <c r="D389" s="8">
        <v>1964.30004882812</v>
      </c>
      <c r="F389" s="7">
        <v>45131</v>
      </c>
      <c r="G389" s="13">
        <v>29176.92</v>
      </c>
      <c r="H389" s="4">
        <v>29176.92</v>
      </c>
      <c r="I389" s="4">
        <v>29176.92</v>
      </c>
      <c r="J389" s="4">
        <v>1964.30004882812</v>
      </c>
      <c r="K389" s="4">
        <v>1964.30004882812</v>
      </c>
      <c r="L389" s="4">
        <v>1964.30004882812</v>
      </c>
      <c r="M389" s="3">
        <v>55</v>
      </c>
      <c r="N389" s="3">
        <v>55</v>
      </c>
      <c r="O389" s="54">
        <v>55</v>
      </c>
    </row>
    <row r="390" spans="2:15" x14ac:dyDescent="0.25">
      <c r="B390" s="7">
        <v>45132</v>
      </c>
      <c r="C390" s="13">
        <v>29227.39</v>
      </c>
      <c r="D390" s="8">
        <v>1960.30004882812</v>
      </c>
      <c r="F390" s="7">
        <v>45132</v>
      </c>
      <c r="G390" s="13">
        <v>29227.39</v>
      </c>
      <c r="H390" s="4">
        <v>29227.39</v>
      </c>
      <c r="I390" s="4">
        <v>29227.39</v>
      </c>
      <c r="J390" s="4">
        <v>1960.30004882812</v>
      </c>
      <c r="K390" s="4">
        <v>1960.30004882812</v>
      </c>
      <c r="L390" s="4">
        <v>1960.30004882812</v>
      </c>
      <c r="M390" s="3">
        <v>50</v>
      </c>
      <c r="N390" s="3">
        <v>50</v>
      </c>
      <c r="O390" s="54">
        <v>50</v>
      </c>
    </row>
    <row r="391" spans="2:15" x14ac:dyDescent="0.25">
      <c r="B391" s="7">
        <v>45133</v>
      </c>
      <c r="C391" s="13">
        <v>29354.97</v>
      </c>
      <c r="D391" s="8">
        <v>1962.09997558593</v>
      </c>
      <c r="F391" s="7">
        <v>45133</v>
      </c>
      <c r="G391" s="13">
        <v>29354.97</v>
      </c>
      <c r="H391" s="4">
        <v>29354.97</v>
      </c>
      <c r="I391" s="4">
        <v>29354.97</v>
      </c>
      <c r="J391" s="4">
        <v>1962.09997558593</v>
      </c>
      <c r="K391" s="4">
        <v>1962.09997558593</v>
      </c>
      <c r="L391" s="4">
        <v>1962.09997558593</v>
      </c>
      <c r="M391" s="3">
        <v>51</v>
      </c>
      <c r="N391" s="3">
        <v>51</v>
      </c>
      <c r="O391" s="54">
        <v>51</v>
      </c>
    </row>
    <row r="392" spans="2:15" x14ac:dyDescent="0.25">
      <c r="B392" s="7">
        <v>45134</v>
      </c>
      <c r="C392" s="13">
        <v>29210.69</v>
      </c>
      <c r="D392" s="8">
        <v>1968.90002441406</v>
      </c>
      <c r="F392" s="7">
        <v>45134</v>
      </c>
      <c r="G392" s="13">
        <v>29210.69</v>
      </c>
      <c r="H392" s="4">
        <v>29210.69</v>
      </c>
      <c r="I392" s="4">
        <v>29210.69</v>
      </c>
      <c r="J392" s="4">
        <v>1968.90002441406</v>
      </c>
      <c r="K392" s="4">
        <v>1968.90002441406</v>
      </c>
      <c r="L392" s="4">
        <v>1968.90002441406</v>
      </c>
      <c r="M392" s="3">
        <v>51</v>
      </c>
      <c r="N392" s="3">
        <v>51</v>
      </c>
      <c r="O392" s="54">
        <v>51</v>
      </c>
    </row>
    <row r="393" spans="2:15" x14ac:dyDescent="0.25">
      <c r="B393" s="7">
        <v>45135</v>
      </c>
      <c r="C393" s="13">
        <v>29319.25</v>
      </c>
      <c r="D393" s="8">
        <v>1945.40002441406</v>
      </c>
      <c r="F393" s="7">
        <v>45135</v>
      </c>
      <c r="G393" s="13">
        <v>29319.25</v>
      </c>
      <c r="H393" s="4">
        <v>29319.25</v>
      </c>
      <c r="I393" s="4">
        <v>29319.25</v>
      </c>
      <c r="J393" s="4">
        <v>1945.40002441406</v>
      </c>
      <c r="K393" s="4">
        <v>1945.40002441406</v>
      </c>
      <c r="L393" s="4">
        <v>1945.40002441406</v>
      </c>
      <c r="M393" s="3">
        <v>52</v>
      </c>
      <c r="N393" s="3">
        <v>52</v>
      </c>
      <c r="O393" s="54">
        <v>52</v>
      </c>
    </row>
    <row r="394" spans="2:15" x14ac:dyDescent="0.25">
      <c r="B394" s="7">
        <v>45136</v>
      </c>
      <c r="C394" s="13">
        <v>29356.92</v>
      </c>
      <c r="D394" s="8">
        <v>1960.40002441406</v>
      </c>
      <c r="F394" s="7">
        <v>45136</v>
      </c>
      <c r="G394" s="13">
        <v>29356.92</v>
      </c>
      <c r="H394" s="4">
        <v>29356.92</v>
      </c>
      <c r="I394" s="4">
        <v>29356.92</v>
      </c>
      <c r="J394" s="4">
        <v>1960.40002441406</v>
      </c>
      <c r="K394" s="4">
        <v>1960.40002441406</v>
      </c>
      <c r="L394" s="4">
        <v>1960.40002441406</v>
      </c>
      <c r="M394" s="3">
        <v>52</v>
      </c>
      <c r="N394" s="3">
        <v>52</v>
      </c>
      <c r="O394" s="54">
        <v>52</v>
      </c>
    </row>
    <row r="395" spans="2:15" x14ac:dyDescent="0.25">
      <c r="B395" s="7">
        <v>45137</v>
      </c>
      <c r="C395" s="13">
        <v>29275.31</v>
      </c>
      <c r="D395" s="8">
        <v>1945.40002441406</v>
      </c>
      <c r="F395" s="7">
        <v>45137</v>
      </c>
      <c r="G395" s="13">
        <v>29275.31</v>
      </c>
      <c r="H395" s="4">
        <v>29275.31</v>
      </c>
      <c r="I395" s="4">
        <v>29275.31</v>
      </c>
      <c r="J395" s="4">
        <v>1945.40002441406</v>
      </c>
      <c r="K395" s="4">
        <v>1945.40002441406</v>
      </c>
      <c r="L395" s="4">
        <v>1945.40002441406</v>
      </c>
      <c r="M395" s="3">
        <v>52</v>
      </c>
      <c r="N395" s="3">
        <v>52</v>
      </c>
      <c r="O395" s="54">
        <v>52</v>
      </c>
    </row>
    <row r="396" spans="2:15" x14ac:dyDescent="0.25">
      <c r="B396" s="7">
        <v>45138</v>
      </c>
      <c r="C396" s="13">
        <v>29230.11</v>
      </c>
      <c r="D396" s="8">
        <v>1960.40002441406</v>
      </c>
      <c r="F396" s="7">
        <v>45138</v>
      </c>
      <c r="G396" s="13">
        <v>29230.11</v>
      </c>
      <c r="H396" s="4">
        <v>29230.11</v>
      </c>
      <c r="I396" s="4">
        <v>29230.11</v>
      </c>
      <c r="J396" s="4">
        <v>1960.40002441406</v>
      </c>
      <c r="K396" s="4">
        <v>1960.40002441406</v>
      </c>
      <c r="L396" s="4">
        <v>1960.40002441406</v>
      </c>
      <c r="M396" s="3">
        <v>50</v>
      </c>
      <c r="N396" s="3">
        <v>50</v>
      </c>
      <c r="O396" s="54">
        <v>50</v>
      </c>
    </row>
    <row r="397" spans="2:15" x14ac:dyDescent="0.25">
      <c r="B397" s="7">
        <v>45139</v>
      </c>
      <c r="C397" s="13">
        <v>29675.73</v>
      </c>
      <c r="D397" s="8">
        <v>1970.5</v>
      </c>
      <c r="F397" s="7">
        <v>45139</v>
      </c>
      <c r="G397" s="13">
        <v>29675.73</v>
      </c>
      <c r="H397" s="4">
        <v>29675.73</v>
      </c>
      <c r="I397" s="4">
        <v>29675.73</v>
      </c>
      <c r="J397" s="4">
        <v>1970.5</v>
      </c>
      <c r="K397" s="4">
        <v>1970.5</v>
      </c>
      <c r="L397" s="4">
        <v>1970.5</v>
      </c>
      <c r="M397" s="3">
        <v>53</v>
      </c>
      <c r="N397" s="3">
        <v>53</v>
      </c>
      <c r="O397" s="54">
        <v>53</v>
      </c>
    </row>
    <row r="398" spans="2:15" x14ac:dyDescent="0.25">
      <c r="B398" s="7">
        <v>45140</v>
      </c>
      <c r="C398" s="13">
        <v>29151.96</v>
      </c>
      <c r="D398" s="8">
        <v>1940.69995117187</v>
      </c>
      <c r="F398" s="7">
        <v>45140</v>
      </c>
      <c r="G398" s="13">
        <v>29151.96</v>
      </c>
      <c r="H398" s="4">
        <v>29151.96</v>
      </c>
      <c r="I398" s="4">
        <v>29151.96</v>
      </c>
      <c r="J398" s="4">
        <v>1940.69995117187</v>
      </c>
      <c r="K398" s="4">
        <v>1940.69995117187</v>
      </c>
      <c r="L398" s="4">
        <v>1940.69995117187</v>
      </c>
      <c r="M398" s="3">
        <v>53</v>
      </c>
      <c r="N398" s="3">
        <v>53</v>
      </c>
      <c r="O398" s="54">
        <v>53</v>
      </c>
    </row>
    <row r="399" spans="2:15" x14ac:dyDescent="0.25">
      <c r="B399" s="7">
        <v>45141</v>
      </c>
      <c r="C399" s="13">
        <v>29178.68</v>
      </c>
      <c r="D399" s="8">
        <v>1937.40002441406</v>
      </c>
      <c r="F399" s="7">
        <v>45141</v>
      </c>
      <c r="G399" s="13">
        <v>29178.68</v>
      </c>
      <c r="H399" s="4">
        <v>29178.68</v>
      </c>
      <c r="I399" s="4">
        <v>29178.68</v>
      </c>
      <c r="J399" s="4">
        <v>1937.40002441406</v>
      </c>
      <c r="K399" s="4">
        <v>1937.40002441406</v>
      </c>
      <c r="L399" s="4">
        <v>1937.40002441406</v>
      </c>
      <c r="M399" s="3">
        <v>52</v>
      </c>
      <c r="N399" s="3">
        <v>52</v>
      </c>
      <c r="O399" s="54">
        <v>52</v>
      </c>
    </row>
    <row r="400" spans="2:15" x14ac:dyDescent="0.25">
      <c r="B400" s="7">
        <v>45142</v>
      </c>
      <c r="C400" s="13">
        <v>29074.09</v>
      </c>
      <c r="D400" s="8">
        <v>1932</v>
      </c>
      <c r="F400" s="7">
        <v>45142</v>
      </c>
      <c r="G400" s="13">
        <v>29074.09</v>
      </c>
      <c r="H400" s="4">
        <v>29074.09</v>
      </c>
      <c r="I400" s="4">
        <v>29074.09</v>
      </c>
      <c r="J400" s="4">
        <v>1932</v>
      </c>
      <c r="K400" s="4">
        <v>1932</v>
      </c>
      <c r="L400" s="4">
        <v>1932</v>
      </c>
      <c r="M400" s="3">
        <v>54</v>
      </c>
      <c r="N400" s="3">
        <v>54</v>
      </c>
      <c r="O400" s="54">
        <v>54</v>
      </c>
    </row>
    <row r="401" spans="2:15" x14ac:dyDescent="0.25">
      <c r="B401" s="7">
        <v>45143</v>
      </c>
      <c r="C401" s="13">
        <v>29042.13</v>
      </c>
      <c r="D401" s="8">
        <v>1939.59997558593</v>
      </c>
      <c r="F401" s="7">
        <v>45143</v>
      </c>
      <c r="G401" s="13">
        <v>29042.13</v>
      </c>
      <c r="H401" s="4">
        <v>29042.13</v>
      </c>
      <c r="I401" s="4">
        <v>29042.13</v>
      </c>
      <c r="J401" s="4">
        <v>1939.59997558593</v>
      </c>
      <c r="K401" s="4">
        <v>1939.59997558593</v>
      </c>
      <c r="L401" s="4">
        <v>1939.59997558593</v>
      </c>
      <c r="M401" s="3">
        <v>50</v>
      </c>
      <c r="N401" s="3">
        <v>50</v>
      </c>
      <c r="O401" s="54">
        <v>50</v>
      </c>
    </row>
    <row r="402" spans="2:15" x14ac:dyDescent="0.25">
      <c r="B402" s="7">
        <v>45144</v>
      </c>
      <c r="C402" s="13">
        <v>29041.86</v>
      </c>
      <c r="D402" s="8">
        <v>1932</v>
      </c>
      <c r="F402" s="7">
        <v>45144</v>
      </c>
      <c r="G402" s="13">
        <v>29041.86</v>
      </c>
      <c r="H402" s="4">
        <v>29041.86</v>
      </c>
      <c r="I402" s="4">
        <v>29041.86</v>
      </c>
      <c r="J402" s="4">
        <v>1932</v>
      </c>
      <c r="K402" s="4">
        <v>1932</v>
      </c>
      <c r="L402" s="4">
        <v>1932</v>
      </c>
      <c r="M402" s="3">
        <v>49</v>
      </c>
      <c r="N402" s="3">
        <v>49</v>
      </c>
      <c r="O402" s="54">
        <v>49</v>
      </c>
    </row>
    <row r="403" spans="2:15" x14ac:dyDescent="0.25">
      <c r="B403" s="7">
        <v>45145</v>
      </c>
      <c r="C403" s="13">
        <v>29180.58</v>
      </c>
      <c r="D403" s="8">
        <v>1939.59997558593</v>
      </c>
      <c r="F403" s="7">
        <v>45145</v>
      </c>
      <c r="G403" s="13">
        <v>29180.58</v>
      </c>
      <c r="H403" s="4">
        <v>29180.58</v>
      </c>
      <c r="I403" s="4">
        <v>29180.58</v>
      </c>
      <c r="J403" s="4">
        <v>1939.59997558593</v>
      </c>
      <c r="K403" s="4">
        <v>1939.59997558593</v>
      </c>
      <c r="L403" s="4">
        <v>1939.59997558593</v>
      </c>
      <c r="M403" s="3">
        <v>49</v>
      </c>
      <c r="N403" s="3">
        <v>49</v>
      </c>
      <c r="O403" s="54">
        <v>49</v>
      </c>
    </row>
    <row r="404" spans="2:15" x14ac:dyDescent="0.25">
      <c r="B404" s="7">
        <v>45146</v>
      </c>
      <c r="C404" s="13">
        <v>29765.49</v>
      </c>
      <c r="D404" s="8">
        <v>1933.5</v>
      </c>
      <c r="F404" s="7">
        <v>45146</v>
      </c>
      <c r="G404" s="13">
        <v>29765.49</v>
      </c>
      <c r="H404" s="4">
        <v>29765.49</v>
      </c>
      <c r="I404" s="4">
        <v>29765.49</v>
      </c>
      <c r="J404" s="4">
        <v>1933.5</v>
      </c>
      <c r="K404" s="4">
        <v>1933.5</v>
      </c>
      <c r="L404" s="4">
        <v>1933.5</v>
      </c>
      <c r="M404" s="3">
        <v>54</v>
      </c>
      <c r="N404" s="3">
        <v>54</v>
      </c>
      <c r="O404" s="54">
        <v>54</v>
      </c>
    </row>
    <row r="405" spans="2:15" x14ac:dyDescent="0.25">
      <c r="B405" s="7">
        <v>45147</v>
      </c>
      <c r="C405" s="13">
        <v>29561.49</v>
      </c>
      <c r="D405" s="8">
        <v>1924.09997558593</v>
      </c>
      <c r="F405" s="7">
        <v>45147</v>
      </c>
      <c r="G405" s="13">
        <v>29561.49</v>
      </c>
      <c r="H405" s="4">
        <v>29561.49</v>
      </c>
      <c r="I405" s="4">
        <v>29561.49</v>
      </c>
      <c r="J405" s="4">
        <v>1924.09997558593</v>
      </c>
      <c r="K405" s="4">
        <v>1924.09997558593</v>
      </c>
      <c r="L405" s="4">
        <v>1924.09997558593</v>
      </c>
      <c r="M405" s="3">
        <v>50</v>
      </c>
      <c r="N405" s="3">
        <v>50</v>
      </c>
      <c r="O405" s="54">
        <v>50</v>
      </c>
    </row>
    <row r="406" spans="2:15" x14ac:dyDescent="0.25">
      <c r="B406" s="7">
        <v>45148</v>
      </c>
      <c r="C406" s="13">
        <v>29429.59</v>
      </c>
      <c r="D406" s="8">
        <v>1915.40002441406</v>
      </c>
      <c r="F406" s="7">
        <v>45148</v>
      </c>
      <c r="G406" s="13">
        <v>29429.59</v>
      </c>
      <c r="H406" s="4">
        <v>29429.59</v>
      </c>
      <c r="I406" s="4">
        <v>29429.59</v>
      </c>
      <c r="J406" s="4">
        <v>1915.40002441406</v>
      </c>
      <c r="K406" s="4">
        <v>1915.40002441406</v>
      </c>
      <c r="L406" s="4">
        <v>1915.40002441406</v>
      </c>
      <c r="M406" s="3">
        <v>53</v>
      </c>
      <c r="N406" s="3">
        <v>53</v>
      </c>
      <c r="O406" s="54">
        <v>53</v>
      </c>
    </row>
    <row r="407" spans="2:15" x14ac:dyDescent="0.25">
      <c r="B407" s="7">
        <v>45149</v>
      </c>
      <c r="C407" s="13">
        <v>29397.71</v>
      </c>
      <c r="D407" s="8">
        <v>1914.40002441406</v>
      </c>
      <c r="F407" s="7">
        <v>45149</v>
      </c>
      <c r="G407" s="13">
        <v>29397.71</v>
      </c>
      <c r="H407" s="4">
        <v>29397.71</v>
      </c>
      <c r="I407" s="4">
        <v>29397.71</v>
      </c>
      <c r="J407" s="4">
        <v>1914.40002441406</v>
      </c>
      <c r="K407" s="4">
        <v>1914.40002441406</v>
      </c>
      <c r="L407" s="4">
        <v>1914.40002441406</v>
      </c>
      <c r="M407" s="3">
        <v>51</v>
      </c>
      <c r="N407" s="3">
        <v>51</v>
      </c>
      <c r="O407" s="54">
        <v>51</v>
      </c>
    </row>
    <row r="408" spans="2:15" x14ac:dyDescent="0.25">
      <c r="B408" s="7">
        <v>45150</v>
      </c>
      <c r="C408" s="13">
        <v>29415.96</v>
      </c>
      <c r="D408" s="8">
        <v>1912.90002441406</v>
      </c>
      <c r="F408" s="7">
        <v>45150</v>
      </c>
      <c r="G408" s="13">
        <v>29415.96</v>
      </c>
      <c r="H408" s="4">
        <v>29415.96</v>
      </c>
      <c r="I408" s="4">
        <v>29415.96</v>
      </c>
      <c r="J408" s="4">
        <v>1912.90002441406</v>
      </c>
      <c r="K408" s="4">
        <v>1912.90002441406</v>
      </c>
      <c r="L408" s="4">
        <v>1912.90002441406</v>
      </c>
      <c r="M408" s="3">
        <v>54</v>
      </c>
      <c r="N408" s="3">
        <v>54</v>
      </c>
      <c r="O408" s="54">
        <v>54</v>
      </c>
    </row>
    <row r="409" spans="2:15" x14ac:dyDescent="0.25">
      <c r="B409" s="7">
        <v>45151</v>
      </c>
      <c r="C409" s="13">
        <v>29282.91</v>
      </c>
      <c r="D409" s="8">
        <v>1914.40002441406</v>
      </c>
      <c r="F409" s="7">
        <v>45151</v>
      </c>
      <c r="G409" s="13">
        <v>29282.91</v>
      </c>
      <c r="H409" s="4">
        <v>29282.91</v>
      </c>
      <c r="I409" s="4">
        <v>29282.91</v>
      </c>
      <c r="J409" s="4">
        <v>1914.40002441406</v>
      </c>
      <c r="K409" s="4">
        <v>1914.40002441406</v>
      </c>
      <c r="L409" s="4">
        <v>1914.40002441406</v>
      </c>
      <c r="M409" s="3">
        <v>54</v>
      </c>
      <c r="N409" s="3">
        <v>54</v>
      </c>
      <c r="O409" s="54">
        <v>54</v>
      </c>
    </row>
    <row r="410" spans="2:15" x14ac:dyDescent="0.25">
      <c r="B410" s="7">
        <v>45152</v>
      </c>
      <c r="C410" s="13">
        <v>29408.44</v>
      </c>
      <c r="D410" s="8">
        <v>1912.90002441406</v>
      </c>
      <c r="F410" s="7">
        <v>45152</v>
      </c>
      <c r="G410" s="13">
        <v>29408.44</v>
      </c>
      <c r="H410" s="4">
        <v>29408.44</v>
      </c>
      <c r="I410" s="4">
        <v>29408.44</v>
      </c>
      <c r="J410" s="4">
        <v>1912.90002441406</v>
      </c>
      <c r="K410" s="4">
        <v>1912.90002441406</v>
      </c>
      <c r="L410" s="4">
        <v>1912.90002441406</v>
      </c>
      <c r="M410" s="3">
        <v>50</v>
      </c>
      <c r="N410" s="3">
        <v>50</v>
      </c>
      <c r="O410" s="54">
        <v>50</v>
      </c>
    </row>
    <row r="411" spans="2:15" x14ac:dyDescent="0.25">
      <c r="B411" s="7">
        <v>45153</v>
      </c>
      <c r="C411" s="13">
        <v>29170.35</v>
      </c>
      <c r="D411" s="8">
        <v>1910.59997558593</v>
      </c>
      <c r="F411" s="7">
        <v>45153</v>
      </c>
      <c r="G411" s="13">
        <v>29170.35</v>
      </c>
      <c r="H411" s="4">
        <v>29170.35</v>
      </c>
      <c r="I411" s="4">
        <v>29170.35</v>
      </c>
      <c r="J411" s="4">
        <v>1910.59997558593</v>
      </c>
      <c r="K411" s="4">
        <v>1910.59997558593</v>
      </c>
      <c r="L411" s="4">
        <v>1910.59997558593</v>
      </c>
      <c r="M411" s="3">
        <v>53</v>
      </c>
      <c r="N411" s="3">
        <v>53</v>
      </c>
      <c r="O411" s="54">
        <v>53</v>
      </c>
    </row>
    <row r="412" spans="2:15" x14ac:dyDescent="0.25">
      <c r="B412" s="7">
        <v>45154</v>
      </c>
      <c r="C412" s="13">
        <v>28701.78</v>
      </c>
      <c r="D412" s="8">
        <v>1902.5</v>
      </c>
      <c r="F412" s="7">
        <v>45154</v>
      </c>
      <c r="G412" s="13">
        <v>28701.78</v>
      </c>
      <c r="H412" s="4">
        <v>28701.78</v>
      </c>
      <c r="I412" s="4">
        <v>28701.78</v>
      </c>
      <c r="J412" s="4">
        <v>1902.5</v>
      </c>
      <c r="K412" s="4">
        <v>1902.5</v>
      </c>
      <c r="L412" s="4">
        <v>1902.5</v>
      </c>
      <c r="M412" s="3">
        <v>52</v>
      </c>
      <c r="N412" s="3">
        <v>52</v>
      </c>
      <c r="O412" s="54">
        <v>52</v>
      </c>
    </row>
    <row r="413" spans="2:15" x14ac:dyDescent="0.25">
      <c r="B413" s="7">
        <v>45155</v>
      </c>
      <c r="C413" s="13">
        <v>26664.55</v>
      </c>
      <c r="D413" s="8">
        <v>1896.09997558593</v>
      </c>
      <c r="F413" s="7">
        <v>45155</v>
      </c>
      <c r="G413" s="13">
        <v>26664.55</v>
      </c>
      <c r="H413" s="4">
        <v>26664.55</v>
      </c>
      <c r="I413" s="4">
        <v>26664.55</v>
      </c>
      <c r="J413" s="4">
        <v>1896.09997558593</v>
      </c>
      <c r="K413" s="4">
        <v>1896.09997558593</v>
      </c>
      <c r="L413" s="4">
        <v>1896.09997558593</v>
      </c>
      <c r="M413" s="3">
        <v>50</v>
      </c>
      <c r="N413" s="3">
        <v>50</v>
      </c>
      <c r="O413" s="54">
        <v>50</v>
      </c>
    </row>
    <row r="414" spans="2:15" x14ac:dyDescent="0.25">
      <c r="B414" s="7">
        <v>45156</v>
      </c>
      <c r="C414" s="13">
        <v>26049.56</v>
      </c>
      <c r="D414" s="8">
        <v>1884.09997558593</v>
      </c>
      <c r="F414" s="7">
        <v>45156</v>
      </c>
      <c r="G414" s="13">
        <v>26049.56</v>
      </c>
      <c r="H414" s="4">
        <v>26049.56</v>
      </c>
      <c r="I414" s="4">
        <v>26049.56</v>
      </c>
      <c r="J414" s="4">
        <v>1884.09997558593</v>
      </c>
      <c r="K414" s="4">
        <v>1884.09997558593</v>
      </c>
      <c r="L414" s="4">
        <v>1884.09997558593</v>
      </c>
      <c r="M414" s="3">
        <v>37</v>
      </c>
      <c r="N414" s="3">
        <v>37</v>
      </c>
      <c r="O414" s="54">
        <v>37</v>
      </c>
    </row>
    <row r="415" spans="2:15" x14ac:dyDescent="0.25">
      <c r="B415" s="7">
        <v>45157</v>
      </c>
      <c r="C415" s="13">
        <v>26096.21</v>
      </c>
      <c r="D415" s="8">
        <v>1886.09997558593</v>
      </c>
      <c r="F415" s="7">
        <v>45157</v>
      </c>
      <c r="G415" s="13">
        <v>26096.21</v>
      </c>
      <c r="H415" s="4">
        <v>26096.21</v>
      </c>
      <c r="I415" s="4">
        <v>26096.21</v>
      </c>
      <c r="J415" s="4">
        <v>1886.09997558593</v>
      </c>
      <c r="K415" s="4">
        <v>1886.09997558593</v>
      </c>
      <c r="L415" s="4">
        <v>1886.09997558593</v>
      </c>
      <c r="M415" s="3">
        <v>39</v>
      </c>
      <c r="N415" s="3">
        <v>39</v>
      </c>
      <c r="O415" s="54">
        <v>39</v>
      </c>
    </row>
    <row r="416" spans="2:15" x14ac:dyDescent="0.25">
      <c r="B416" s="7">
        <v>45158</v>
      </c>
      <c r="C416" s="13">
        <v>26189.58</v>
      </c>
      <c r="D416" s="8">
        <v>1884.09997558593</v>
      </c>
      <c r="F416" s="7">
        <v>45158</v>
      </c>
      <c r="G416" s="13">
        <v>26189.58</v>
      </c>
      <c r="H416" s="4">
        <v>26189.58</v>
      </c>
      <c r="I416" s="4">
        <v>26189.58</v>
      </c>
      <c r="J416" s="4">
        <v>1884.09997558593</v>
      </c>
      <c r="K416" s="4">
        <v>1884.09997558593</v>
      </c>
      <c r="L416" s="4">
        <v>1884.09997558593</v>
      </c>
      <c r="M416" s="3">
        <v>37</v>
      </c>
      <c r="N416" s="3">
        <v>37</v>
      </c>
      <c r="O416" s="54">
        <v>37</v>
      </c>
    </row>
    <row r="417" spans="2:15" x14ac:dyDescent="0.25">
      <c r="B417" s="7">
        <v>45159</v>
      </c>
      <c r="C417" s="13">
        <v>26124.14</v>
      </c>
      <c r="D417" s="8">
        <v>1886.09997558593</v>
      </c>
      <c r="F417" s="7">
        <v>45159</v>
      </c>
      <c r="G417" s="13">
        <v>26124.14</v>
      </c>
      <c r="H417" s="4">
        <v>26124.14</v>
      </c>
      <c r="I417" s="4">
        <v>26124.14</v>
      </c>
      <c r="J417" s="4">
        <v>1886.09997558593</v>
      </c>
      <c r="K417" s="4">
        <v>1886.09997558593</v>
      </c>
      <c r="L417" s="4">
        <v>1886.09997558593</v>
      </c>
      <c r="M417" s="3">
        <v>38</v>
      </c>
      <c r="N417" s="3">
        <v>38</v>
      </c>
      <c r="O417" s="54">
        <v>38</v>
      </c>
    </row>
    <row r="418" spans="2:15" x14ac:dyDescent="0.25">
      <c r="B418" s="7">
        <v>45160</v>
      </c>
      <c r="C418" s="13">
        <v>26031.66</v>
      </c>
      <c r="D418" s="8">
        <v>1893.30004882812</v>
      </c>
      <c r="F418" s="7">
        <v>45160</v>
      </c>
      <c r="G418" s="13">
        <v>26031.66</v>
      </c>
      <c r="H418" s="4">
        <v>26031.66</v>
      </c>
      <c r="I418" s="4">
        <v>26031.66</v>
      </c>
      <c r="J418" s="4">
        <v>1893.30004882812</v>
      </c>
      <c r="K418" s="4">
        <v>1893.30004882812</v>
      </c>
      <c r="L418" s="4">
        <v>1893.30004882812</v>
      </c>
      <c r="M418" s="3">
        <v>37</v>
      </c>
      <c r="N418" s="3">
        <v>37</v>
      </c>
      <c r="O418" s="54">
        <v>37</v>
      </c>
    </row>
    <row r="419" spans="2:15" x14ac:dyDescent="0.25">
      <c r="B419" s="7">
        <v>45161</v>
      </c>
      <c r="C419" s="13">
        <v>26431.64</v>
      </c>
      <c r="D419" s="8">
        <v>1896.40002441406</v>
      </c>
      <c r="F419" s="7">
        <v>45161</v>
      </c>
      <c r="G419" s="13">
        <v>26431.64</v>
      </c>
      <c r="H419" s="4">
        <v>26431.64</v>
      </c>
      <c r="I419" s="4">
        <v>26431.64</v>
      </c>
      <c r="J419" s="4">
        <v>1896.40002441406</v>
      </c>
      <c r="K419" s="4">
        <v>1896.40002441406</v>
      </c>
      <c r="L419" s="4">
        <v>1896.40002441406</v>
      </c>
      <c r="M419" s="3">
        <v>37</v>
      </c>
      <c r="N419" s="3">
        <v>37</v>
      </c>
      <c r="O419" s="54">
        <v>37</v>
      </c>
    </row>
    <row r="420" spans="2:15" x14ac:dyDescent="0.25">
      <c r="B420" s="7">
        <v>45162</v>
      </c>
      <c r="C420" s="13">
        <v>26162.37</v>
      </c>
      <c r="D420" s="8">
        <v>1918.5</v>
      </c>
      <c r="F420" s="7">
        <v>45162</v>
      </c>
      <c r="G420" s="13">
        <v>26162.37</v>
      </c>
      <c r="H420" s="4">
        <v>26162.37</v>
      </c>
      <c r="I420" s="4">
        <v>26162.37</v>
      </c>
      <c r="J420" s="4">
        <v>1918.5</v>
      </c>
      <c r="K420" s="4">
        <v>1918.5</v>
      </c>
      <c r="L420" s="4">
        <v>1918.5</v>
      </c>
      <c r="M420" s="3">
        <v>41</v>
      </c>
      <c r="N420" s="3">
        <v>41</v>
      </c>
      <c r="O420" s="54">
        <v>41</v>
      </c>
    </row>
    <row r="421" spans="2:15" x14ac:dyDescent="0.25">
      <c r="B421" s="7">
        <v>45163</v>
      </c>
      <c r="C421" s="13">
        <v>26047.67</v>
      </c>
      <c r="D421" s="8">
        <v>1918.19995117187</v>
      </c>
      <c r="F421" s="7">
        <v>45163</v>
      </c>
      <c r="G421" s="13">
        <v>26047.67</v>
      </c>
      <c r="H421" s="4">
        <v>26047.67</v>
      </c>
      <c r="I421" s="4">
        <v>26047.67</v>
      </c>
      <c r="J421" s="4">
        <v>1918.19995117187</v>
      </c>
      <c r="K421" s="4">
        <v>1918.19995117187</v>
      </c>
      <c r="L421" s="4">
        <v>1918.19995117187</v>
      </c>
      <c r="M421" s="3">
        <v>39</v>
      </c>
      <c r="N421" s="3">
        <v>39</v>
      </c>
      <c r="O421" s="54">
        <v>39</v>
      </c>
    </row>
    <row r="422" spans="2:15" x14ac:dyDescent="0.25">
      <c r="B422" s="7">
        <v>45164</v>
      </c>
      <c r="C422" s="13">
        <v>26008.46</v>
      </c>
      <c r="D422" s="8">
        <v>1911.09997558593</v>
      </c>
      <c r="F422" s="7">
        <v>45164</v>
      </c>
      <c r="G422" s="13">
        <v>26008.46</v>
      </c>
      <c r="H422" s="4">
        <v>26008.46</v>
      </c>
      <c r="I422" s="4">
        <v>26008.46</v>
      </c>
      <c r="J422" s="4">
        <v>1911.09997558593</v>
      </c>
      <c r="K422" s="4">
        <v>1911.09997558593</v>
      </c>
      <c r="L422" s="4">
        <v>1911.09997558593</v>
      </c>
      <c r="M422" s="3">
        <v>38</v>
      </c>
      <c r="N422" s="3">
        <v>38</v>
      </c>
      <c r="O422" s="54">
        <v>38</v>
      </c>
    </row>
    <row r="423" spans="2:15" x14ac:dyDescent="0.25">
      <c r="B423" s="7">
        <v>45165</v>
      </c>
      <c r="C423" s="13">
        <v>26089.69</v>
      </c>
      <c r="D423" s="8">
        <v>1918.19995117187</v>
      </c>
      <c r="F423" s="7">
        <v>45165</v>
      </c>
      <c r="G423" s="13">
        <v>26089.69</v>
      </c>
      <c r="H423" s="4">
        <v>26089.69</v>
      </c>
      <c r="I423" s="4">
        <v>26089.69</v>
      </c>
      <c r="J423" s="4">
        <v>1918.19995117187</v>
      </c>
      <c r="K423" s="4">
        <v>1918.19995117187</v>
      </c>
      <c r="L423" s="4">
        <v>1918.19995117187</v>
      </c>
      <c r="M423" s="3">
        <v>38</v>
      </c>
      <c r="N423" s="3">
        <v>38</v>
      </c>
      <c r="O423" s="54">
        <v>38</v>
      </c>
    </row>
    <row r="424" spans="2:15" x14ac:dyDescent="0.25">
      <c r="B424" s="7">
        <v>45166</v>
      </c>
      <c r="C424" s="13">
        <v>26106.15</v>
      </c>
      <c r="D424" s="8">
        <v>1911.09997558593</v>
      </c>
      <c r="F424" s="7">
        <v>45166</v>
      </c>
      <c r="G424" s="13">
        <v>26106.15</v>
      </c>
      <c r="H424" s="4">
        <v>26106.15</v>
      </c>
      <c r="I424" s="4">
        <v>26106.15</v>
      </c>
      <c r="J424" s="4">
        <v>1911.09997558593</v>
      </c>
      <c r="K424" s="4">
        <v>1911.09997558593</v>
      </c>
      <c r="L424" s="4">
        <v>1911.09997558593</v>
      </c>
      <c r="M424" s="3">
        <v>39</v>
      </c>
      <c r="N424" s="3">
        <v>39</v>
      </c>
      <c r="O424" s="54">
        <v>39</v>
      </c>
    </row>
    <row r="425" spans="2:15" x14ac:dyDescent="0.25">
      <c r="B425" s="7">
        <v>45167</v>
      </c>
      <c r="C425" s="13">
        <v>27727.39</v>
      </c>
      <c r="D425" s="8">
        <v>1917.90002441406</v>
      </c>
      <c r="F425" s="7">
        <v>45167</v>
      </c>
      <c r="G425" s="13">
        <v>27727.39</v>
      </c>
      <c r="H425" s="4">
        <v>27727.39</v>
      </c>
      <c r="I425" s="4">
        <v>27727.39</v>
      </c>
      <c r="J425" s="4">
        <v>1917.90002441406</v>
      </c>
      <c r="K425" s="4">
        <v>1917.90002441406</v>
      </c>
      <c r="L425" s="4">
        <v>1917.90002441406</v>
      </c>
      <c r="M425" s="3">
        <v>39</v>
      </c>
      <c r="N425" s="3">
        <v>39</v>
      </c>
      <c r="O425" s="54">
        <v>39</v>
      </c>
    </row>
    <row r="426" spans="2:15" x14ac:dyDescent="0.25">
      <c r="B426" s="7">
        <v>45168</v>
      </c>
      <c r="C426" s="13">
        <v>27297.27</v>
      </c>
      <c r="D426" s="8">
        <v>1936.5</v>
      </c>
      <c r="F426" s="7">
        <v>45168</v>
      </c>
      <c r="G426" s="13">
        <v>27297.27</v>
      </c>
      <c r="H426" s="4">
        <v>27297.27</v>
      </c>
      <c r="I426" s="4">
        <v>27297.27</v>
      </c>
      <c r="J426" s="4">
        <v>1936.5</v>
      </c>
      <c r="K426" s="4">
        <v>1936.5</v>
      </c>
      <c r="L426" s="4">
        <v>1936.5</v>
      </c>
      <c r="M426" s="3">
        <v>49</v>
      </c>
      <c r="N426" s="3">
        <v>49</v>
      </c>
      <c r="O426" s="54">
        <v>49</v>
      </c>
    </row>
    <row r="427" spans="2:15" x14ac:dyDescent="0.25">
      <c r="B427" s="7">
        <v>45169</v>
      </c>
      <c r="C427" s="13">
        <v>25931.47</v>
      </c>
      <c r="D427" s="8">
        <v>1944.30004882812</v>
      </c>
      <c r="F427" s="7">
        <v>45169</v>
      </c>
      <c r="G427" s="13">
        <v>25931.47</v>
      </c>
      <c r="H427" s="4">
        <v>25931.47</v>
      </c>
      <c r="I427" s="4">
        <v>25931.47</v>
      </c>
      <c r="J427" s="4">
        <v>1944.30004882812</v>
      </c>
      <c r="K427" s="4">
        <v>1944.30004882812</v>
      </c>
      <c r="L427" s="4">
        <v>1944.30004882812</v>
      </c>
      <c r="M427" s="3">
        <v>52</v>
      </c>
      <c r="N427" s="3">
        <v>52</v>
      </c>
      <c r="O427" s="54">
        <v>52</v>
      </c>
    </row>
    <row r="428" spans="2:15" x14ac:dyDescent="0.25">
      <c r="B428" s="7">
        <v>45170</v>
      </c>
      <c r="C428" s="13">
        <v>25800.720000000001</v>
      </c>
      <c r="D428" s="8">
        <v>1938.19995117187</v>
      </c>
      <c r="F428" s="7">
        <v>45170</v>
      </c>
      <c r="G428" s="13">
        <v>25800.720000000001</v>
      </c>
      <c r="H428" s="4">
        <v>25800.720000000001</v>
      </c>
      <c r="I428" s="4">
        <v>25800.720000000001</v>
      </c>
      <c r="J428" s="4">
        <v>1938.19995117187</v>
      </c>
      <c r="K428" s="4">
        <v>1938.19995117187</v>
      </c>
      <c r="L428" s="4">
        <v>1938.19995117187</v>
      </c>
      <c r="M428" s="3">
        <v>40</v>
      </c>
      <c r="N428" s="3">
        <v>40</v>
      </c>
      <c r="O428" s="54">
        <v>40</v>
      </c>
    </row>
    <row r="429" spans="2:15" x14ac:dyDescent="0.25">
      <c r="B429" s="7">
        <v>45171</v>
      </c>
      <c r="C429" s="13">
        <v>25868.799999999999</v>
      </c>
      <c r="D429" s="8">
        <v>1939.80004882812</v>
      </c>
      <c r="F429" s="7">
        <v>45171</v>
      </c>
      <c r="G429" s="13">
        <v>25868.799999999999</v>
      </c>
      <c r="H429" s="4">
        <v>25868.799999999999</v>
      </c>
      <c r="I429" s="4">
        <v>25868.799999999999</v>
      </c>
      <c r="J429" s="4">
        <v>1939.80004882812</v>
      </c>
      <c r="K429" s="4">
        <v>1939.80004882812</v>
      </c>
      <c r="L429" s="4">
        <v>1939.80004882812</v>
      </c>
      <c r="M429" s="3">
        <v>39</v>
      </c>
      <c r="N429" s="3">
        <v>39</v>
      </c>
      <c r="O429" s="54">
        <v>39</v>
      </c>
    </row>
    <row r="430" spans="2:15" x14ac:dyDescent="0.25">
      <c r="B430" s="7">
        <v>45172</v>
      </c>
      <c r="C430" s="13">
        <v>25969.57</v>
      </c>
      <c r="D430" s="8">
        <v>1938.19995117187</v>
      </c>
      <c r="F430" s="7">
        <v>45172</v>
      </c>
      <c r="G430" s="13">
        <v>25969.57</v>
      </c>
      <c r="H430" s="4">
        <v>25969.57</v>
      </c>
      <c r="I430" s="4">
        <v>25969.57</v>
      </c>
      <c r="J430" s="4">
        <v>1938.19995117187</v>
      </c>
      <c r="K430" s="4">
        <v>1938.19995117187</v>
      </c>
      <c r="L430" s="4">
        <v>1938.19995117187</v>
      </c>
      <c r="M430" s="3">
        <v>40</v>
      </c>
      <c r="N430" s="3">
        <v>40</v>
      </c>
      <c r="O430" s="54">
        <v>40</v>
      </c>
    </row>
    <row r="431" spans="2:15" x14ac:dyDescent="0.25">
      <c r="B431" s="7">
        <v>45173</v>
      </c>
      <c r="C431" s="13">
        <v>25812.42</v>
      </c>
      <c r="D431" s="8">
        <v>1939.80004882812</v>
      </c>
      <c r="F431" s="7">
        <v>45173</v>
      </c>
      <c r="G431" s="13">
        <v>25812.42</v>
      </c>
      <c r="H431" s="4">
        <v>25812.42</v>
      </c>
      <c r="I431" s="4">
        <v>25812.42</v>
      </c>
      <c r="J431" s="4">
        <v>1939.80004882812</v>
      </c>
      <c r="K431" s="4">
        <v>1939.80004882812</v>
      </c>
      <c r="L431" s="4">
        <v>1939.80004882812</v>
      </c>
      <c r="M431" s="3">
        <v>40</v>
      </c>
      <c r="N431" s="3">
        <v>40</v>
      </c>
      <c r="O431" s="54">
        <v>40</v>
      </c>
    </row>
    <row r="432" spans="2:15" x14ac:dyDescent="0.25">
      <c r="B432" s="7">
        <v>45174</v>
      </c>
      <c r="C432" s="13">
        <v>25779.98</v>
      </c>
      <c r="D432" s="8">
        <v>1938.19995117187</v>
      </c>
      <c r="F432" s="7">
        <v>45174</v>
      </c>
      <c r="G432" s="13">
        <v>25779.98</v>
      </c>
      <c r="H432" s="4">
        <v>25779.98</v>
      </c>
      <c r="I432" s="4">
        <v>25779.98</v>
      </c>
      <c r="J432" s="4">
        <v>1938.19995117187</v>
      </c>
      <c r="K432" s="4">
        <v>1938.19995117187</v>
      </c>
      <c r="L432" s="4">
        <v>1938.19995117187</v>
      </c>
      <c r="M432" s="3">
        <v>40</v>
      </c>
      <c r="N432" s="3">
        <v>40</v>
      </c>
      <c r="O432" s="54">
        <v>40</v>
      </c>
    </row>
    <row r="433" spans="2:15" x14ac:dyDescent="0.25">
      <c r="B433" s="7">
        <v>45175</v>
      </c>
      <c r="C433" s="13">
        <v>25753.24</v>
      </c>
      <c r="D433" s="8">
        <v>1926.19995117187</v>
      </c>
      <c r="F433" s="7">
        <v>45175</v>
      </c>
      <c r="G433" s="13">
        <v>25753.24</v>
      </c>
      <c r="H433" s="4">
        <v>25753.24</v>
      </c>
      <c r="I433" s="4">
        <v>25753.24</v>
      </c>
      <c r="J433" s="4">
        <v>1926.19995117187</v>
      </c>
      <c r="K433" s="4">
        <v>1926.19995117187</v>
      </c>
      <c r="L433" s="4">
        <v>1926.19995117187</v>
      </c>
      <c r="M433" s="3">
        <v>42</v>
      </c>
      <c r="N433" s="3">
        <v>42</v>
      </c>
      <c r="O433" s="54">
        <v>42</v>
      </c>
    </row>
    <row r="434" spans="2:15" x14ac:dyDescent="0.25">
      <c r="B434" s="7">
        <v>45176</v>
      </c>
      <c r="C434" s="13">
        <v>26240.2</v>
      </c>
      <c r="D434" s="8">
        <v>1918.09997558593</v>
      </c>
      <c r="F434" s="7">
        <v>45176</v>
      </c>
      <c r="G434" s="13">
        <v>26240.2</v>
      </c>
      <c r="H434" s="4">
        <v>26240.2</v>
      </c>
      <c r="I434" s="4">
        <v>26240.2</v>
      </c>
      <c r="J434" s="4">
        <v>1918.09997558593</v>
      </c>
      <c r="K434" s="4">
        <v>1918.09997558593</v>
      </c>
      <c r="L434" s="4">
        <v>1918.09997558593</v>
      </c>
      <c r="M434" s="3">
        <v>41</v>
      </c>
      <c r="N434" s="3">
        <v>41</v>
      </c>
      <c r="O434" s="54">
        <v>41</v>
      </c>
    </row>
    <row r="435" spans="2:15" x14ac:dyDescent="0.25">
      <c r="B435" s="7">
        <v>45177</v>
      </c>
      <c r="C435" s="13">
        <v>25905.65</v>
      </c>
      <c r="D435" s="8">
        <v>1917.5</v>
      </c>
      <c r="F435" s="7">
        <v>45177</v>
      </c>
      <c r="G435" s="13">
        <v>25905.65</v>
      </c>
      <c r="H435" s="4">
        <v>25905.65</v>
      </c>
      <c r="I435" s="4">
        <v>25905.65</v>
      </c>
      <c r="J435" s="4">
        <v>1917.5</v>
      </c>
      <c r="K435" s="4">
        <v>1917.5</v>
      </c>
      <c r="L435" s="4">
        <v>1917.5</v>
      </c>
      <c r="M435" s="3">
        <v>46</v>
      </c>
      <c r="N435" s="3">
        <v>46</v>
      </c>
      <c r="O435" s="54">
        <v>46</v>
      </c>
    </row>
    <row r="436" spans="2:15" x14ac:dyDescent="0.25">
      <c r="B436" s="7">
        <v>45178</v>
      </c>
      <c r="C436" s="13">
        <v>25895.68</v>
      </c>
      <c r="D436" s="8">
        <v>1918.40002441406</v>
      </c>
      <c r="F436" s="7">
        <v>45178</v>
      </c>
      <c r="G436" s="13">
        <v>25895.68</v>
      </c>
      <c r="H436" s="4">
        <v>25895.68</v>
      </c>
      <c r="I436" s="4">
        <v>25895.68</v>
      </c>
      <c r="J436" s="4">
        <v>1918.40002441406</v>
      </c>
      <c r="K436" s="4">
        <v>1918.40002441406</v>
      </c>
      <c r="L436" s="4">
        <v>1918.40002441406</v>
      </c>
      <c r="M436" s="3">
        <v>41</v>
      </c>
      <c r="N436" s="3">
        <v>41</v>
      </c>
      <c r="O436" s="54">
        <v>41</v>
      </c>
    </row>
    <row r="437" spans="2:15" x14ac:dyDescent="0.25">
      <c r="B437" s="7">
        <v>45179</v>
      </c>
      <c r="C437" s="13">
        <v>25832.23</v>
      </c>
      <c r="D437" s="8">
        <v>1917.5</v>
      </c>
      <c r="F437" s="7">
        <v>45179</v>
      </c>
      <c r="G437" s="13">
        <v>25832.23</v>
      </c>
      <c r="H437" s="4">
        <v>25832.23</v>
      </c>
      <c r="I437" s="4">
        <v>25832.23</v>
      </c>
      <c r="J437" s="4">
        <v>1917.5</v>
      </c>
      <c r="K437" s="4">
        <v>1917.5</v>
      </c>
      <c r="L437" s="4">
        <v>1917.5</v>
      </c>
      <c r="M437" s="3">
        <v>40</v>
      </c>
      <c r="N437" s="3">
        <v>40</v>
      </c>
      <c r="O437" s="54">
        <v>40</v>
      </c>
    </row>
    <row r="438" spans="2:15" x14ac:dyDescent="0.25">
      <c r="B438" s="7">
        <v>45180</v>
      </c>
      <c r="C438" s="13">
        <v>25162.65</v>
      </c>
      <c r="D438" s="8">
        <v>1918.40002441406</v>
      </c>
      <c r="F438" s="7">
        <v>45180</v>
      </c>
      <c r="G438" s="13">
        <v>25162.65</v>
      </c>
      <c r="H438" s="4">
        <v>25162.65</v>
      </c>
      <c r="I438" s="4">
        <v>25162.65</v>
      </c>
      <c r="J438" s="4">
        <v>1918.40002441406</v>
      </c>
      <c r="K438" s="4">
        <v>1918.40002441406</v>
      </c>
      <c r="L438" s="4">
        <v>1918.40002441406</v>
      </c>
      <c r="M438" s="3">
        <v>40</v>
      </c>
      <c r="N438" s="3">
        <v>40</v>
      </c>
      <c r="O438" s="54">
        <v>40</v>
      </c>
    </row>
    <row r="439" spans="2:15" x14ac:dyDescent="0.25">
      <c r="B439" s="7">
        <v>45181</v>
      </c>
      <c r="C439" s="13">
        <v>25833.34</v>
      </c>
      <c r="D439" s="8">
        <v>1923.30004882812</v>
      </c>
      <c r="F439" s="7">
        <v>45181</v>
      </c>
      <c r="G439" s="13">
        <v>25833.34</v>
      </c>
      <c r="H439" s="4">
        <v>25833.34</v>
      </c>
      <c r="I439" s="4">
        <v>25833.34</v>
      </c>
      <c r="J439" s="4">
        <v>1923.30004882812</v>
      </c>
      <c r="K439" s="4">
        <v>1923.30004882812</v>
      </c>
      <c r="L439" s="4">
        <v>1923.30004882812</v>
      </c>
      <c r="M439" s="3">
        <v>30</v>
      </c>
      <c r="N439" s="3">
        <v>30</v>
      </c>
      <c r="O439" s="54">
        <v>30</v>
      </c>
    </row>
    <row r="440" spans="2:15" x14ac:dyDescent="0.25">
      <c r="B440" s="7">
        <v>45182</v>
      </c>
      <c r="C440" s="13">
        <v>26228.32</v>
      </c>
      <c r="D440" s="8">
        <v>1911.30004882812</v>
      </c>
      <c r="F440" s="7">
        <v>45182</v>
      </c>
      <c r="G440" s="13">
        <v>26228.32</v>
      </c>
      <c r="H440" s="4">
        <v>26228.32</v>
      </c>
      <c r="I440" s="4">
        <v>26228.32</v>
      </c>
      <c r="J440" s="4">
        <v>1911.30004882812</v>
      </c>
      <c r="K440" s="4">
        <v>1911.30004882812</v>
      </c>
      <c r="L440" s="4">
        <v>1911.30004882812</v>
      </c>
      <c r="M440" s="3">
        <v>41</v>
      </c>
      <c r="N440" s="3">
        <v>41</v>
      </c>
      <c r="O440" s="54">
        <v>41</v>
      </c>
    </row>
    <row r="441" spans="2:15" x14ac:dyDescent="0.25">
      <c r="B441" s="7">
        <v>45183</v>
      </c>
      <c r="C441" s="13">
        <v>26539.67</v>
      </c>
      <c r="D441" s="8">
        <v>1909.09997558593</v>
      </c>
      <c r="F441" s="7">
        <v>45183</v>
      </c>
      <c r="G441" s="13">
        <v>26539.67</v>
      </c>
      <c r="H441" s="4">
        <v>26539.67</v>
      </c>
      <c r="I441" s="4">
        <v>26539.67</v>
      </c>
      <c r="J441" s="4">
        <v>1909.09997558593</v>
      </c>
      <c r="K441" s="4">
        <v>1909.09997558593</v>
      </c>
      <c r="L441" s="4">
        <v>1909.09997558593</v>
      </c>
      <c r="M441" s="3">
        <v>45</v>
      </c>
      <c r="N441" s="3">
        <v>45</v>
      </c>
      <c r="O441" s="54">
        <v>45</v>
      </c>
    </row>
    <row r="442" spans="2:15" x14ac:dyDescent="0.25">
      <c r="B442" s="7">
        <v>45184</v>
      </c>
      <c r="C442" s="13">
        <v>26608.69</v>
      </c>
      <c r="D442" s="8">
        <v>1910</v>
      </c>
      <c r="F442" s="7">
        <v>45184</v>
      </c>
      <c r="G442" s="13">
        <v>26608.69</v>
      </c>
      <c r="H442" s="4">
        <v>26608.69</v>
      </c>
      <c r="I442" s="4">
        <v>26608.69</v>
      </c>
      <c r="J442" s="4">
        <v>1910</v>
      </c>
      <c r="K442" s="4">
        <v>1910</v>
      </c>
      <c r="L442" s="4">
        <v>1910</v>
      </c>
      <c r="M442" s="3">
        <v>45</v>
      </c>
      <c r="N442" s="3">
        <v>45</v>
      </c>
      <c r="O442" s="54">
        <v>45</v>
      </c>
    </row>
    <row r="443" spans="2:15" x14ac:dyDescent="0.25">
      <c r="B443" s="7">
        <v>45185</v>
      </c>
      <c r="C443" s="13">
        <v>26568.28</v>
      </c>
      <c r="D443" s="8">
        <v>1923.69995117187</v>
      </c>
      <c r="F443" s="7">
        <v>45185</v>
      </c>
      <c r="G443" s="13">
        <v>26568.28</v>
      </c>
      <c r="H443" s="4">
        <v>26568.28</v>
      </c>
      <c r="I443" s="4">
        <v>26568.28</v>
      </c>
      <c r="J443" s="4">
        <v>1923.69995117187</v>
      </c>
      <c r="K443" s="4">
        <v>1923.69995117187</v>
      </c>
      <c r="L443" s="4">
        <v>1923.69995117187</v>
      </c>
      <c r="M443" s="3">
        <v>43</v>
      </c>
      <c r="N443" s="3">
        <v>43</v>
      </c>
      <c r="O443" s="54">
        <v>43</v>
      </c>
    </row>
    <row r="444" spans="2:15" x14ac:dyDescent="0.25">
      <c r="B444" s="7">
        <v>45186</v>
      </c>
      <c r="C444" s="13">
        <v>26534.19</v>
      </c>
      <c r="D444" s="8">
        <v>1910</v>
      </c>
      <c r="F444" s="7">
        <v>45186</v>
      </c>
      <c r="G444" s="13">
        <v>26534.19</v>
      </c>
      <c r="H444" s="4">
        <v>26534.19</v>
      </c>
      <c r="I444" s="4">
        <v>26534.19</v>
      </c>
      <c r="J444" s="4">
        <v>1910</v>
      </c>
      <c r="K444" s="4">
        <v>1910</v>
      </c>
      <c r="L444" s="4">
        <v>1910</v>
      </c>
      <c r="M444" s="3">
        <v>46</v>
      </c>
      <c r="N444" s="3">
        <v>46</v>
      </c>
      <c r="O444" s="54">
        <v>46</v>
      </c>
    </row>
    <row r="445" spans="2:15" x14ac:dyDescent="0.25">
      <c r="B445" s="7">
        <v>45187</v>
      </c>
      <c r="C445" s="13">
        <v>26754.28</v>
      </c>
      <c r="D445" s="8">
        <v>1923.69995117187</v>
      </c>
      <c r="F445" s="7">
        <v>45187</v>
      </c>
      <c r="G445" s="13">
        <v>26754.28</v>
      </c>
      <c r="H445" s="4">
        <v>26754.28</v>
      </c>
      <c r="I445" s="4">
        <v>26754.28</v>
      </c>
      <c r="J445" s="4">
        <v>1923.69995117187</v>
      </c>
      <c r="K445" s="4">
        <v>1923.69995117187</v>
      </c>
      <c r="L445" s="4">
        <v>1923.69995117187</v>
      </c>
      <c r="M445" s="3">
        <v>46</v>
      </c>
      <c r="N445" s="3">
        <v>46</v>
      </c>
      <c r="O445" s="54">
        <v>46</v>
      </c>
    </row>
    <row r="446" spans="2:15" x14ac:dyDescent="0.25">
      <c r="B446" s="7">
        <v>45188</v>
      </c>
      <c r="C446" s="13">
        <v>27211.119999999999</v>
      </c>
      <c r="D446" s="8">
        <v>1931.5</v>
      </c>
      <c r="F446" s="7">
        <v>45188</v>
      </c>
      <c r="G446" s="13">
        <v>27211.119999999999</v>
      </c>
      <c r="H446" s="4">
        <v>27211.119999999999</v>
      </c>
      <c r="I446" s="4">
        <v>27211.119999999999</v>
      </c>
      <c r="J446" s="4">
        <v>1931.5</v>
      </c>
      <c r="K446" s="4">
        <v>1931.5</v>
      </c>
      <c r="L446" s="4">
        <v>1931.5</v>
      </c>
      <c r="M446" s="3">
        <v>46</v>
      </c>
      <c r="N446" s="3">
        <v>46</v>
      </c>
      <c r="O446" s="54">
        <v>46</v>
      </c>
    </row>
    <row r="447" spans="2:15" x14ac:dyDescent="0.25">
      <c r="B447" s="7">
        <v>45189</v>
      </c>
      <c r="C447" s="13">
        <v>27132.01</v>
      </c>
      <c r="D447" s="8">
        <v>1932</v>
      </c>
      <c r="F447" s="7">
        <v>45189</v>
      </c>
      <c r="G447" s="13">
        <v>27132.01</v>
      </c>
      <c r="H447" s="4">
        <v>27132.01</v>
      </c>
      <c r="I447" s="4">
        <v>27132.01</v>
      </c>
      <c r="J447" s="4">
        <v>1932</v>
      </c>
      <c r="K447" s="4">
        <v>1932</v>
      </c>
      <c r="L447" s="4">
        <v>1932</v>
      </c>
      <c r="M447" s="3">
        <v>47</v>
      </c>
      <c r="N447" s="3">
        <v>47</v>
      </c>
      <c r="O447" s="54">
        <v>47</v>
      </c>
    </row>
    <row r="448" spans="2:15" x14ac:dyDescent="0.25">
      <c r="B448" s="7">
        <v>45190</v>
      </c>
      <c r="C448" s="13">
        <v>26567.63</v>
      </c>
      <c r="D448" s="8">
        <v>1945.59997558593</v>
      </c>
      <c r="F448" s="7">
        <v>45190</v>
      </c>
      <c r="G448" s="13">
        <v>26567.63</v>
      </c>
      <c r="H448" s="4">
        <v>26567.63</v>
      </c>
      <c r="I448" s="4">
        <v>26567.63</v>
      </c>
      <c r="J448" s="4">
        <v>1945.59997558593</v>
      </c>
      <c r="K448" s="4">
        <v>1945.59997558593</v>
      </c>
      <c r="L448" s="4">
        <v>1945.59997558593</v>
      </c>
      <c r="M448" s="3">
        <v>47</v>
      </c>
      <c r="N448" s="3">
        <v>47</v>
      </c>
      <c r="O448" s="54">
        <v>47</v>
      </c>
    </row>
    <row r="449" spans="2:15" x14ac:dyDescent="0.25">
      <c r="B449" s="7">
        <v>45191</v>
      </c>
      <c r="C449" s="13">
        <v>26579.57</v>
      </c>
      <c r="D449" s="8">
        <v>1919.19995117187</v>
      </c>
      <c r="F449" s="7">
        <v>45191</v>
      </c>
      <c r="G449" s="13">
        <v>26579.57</v>
      </c>
      <c r="H449" s="4">
        <v>26579.57</v>
      </c>
      <c r="I449" s="4">
        <v>26579.57</v>
      </c>
      <c r="J449" s="4">
        <v>1919.19995117187</v>
      </c>
      <c r="K449" s="4">
        <v>1919.19995117187</v>
      </c>
      <c r="L449" s="4">
        <v>1919.19995117187</v>
      </c>
      <c r="M449" s="3">
        <v>43</v>
      </c>
      <c r="N449" s="3">
        <v>43</v>
      </c>
      <c r="O449" s="54">
        <v>43</v>
      </c>
    </row>
    <row r="450" spans="2:15" x14ac:dyDescent="0.25">
      <c r="B450" s="7">
        <v>45192</v>
      </c>
      <c r="C450" s="13">
        <v>26579.39</v>
      </c>
      <c r="D450" s="8">
        <v>1925.40002441406</v>
      </c>
      <c r="F450" s="7">
        <v>45192</v>
      </c>
      <c r="G450" s="13">
        <v>26579.39</v>
      </c>
      <c r="H450" s="4">
        <v>26579.39</v>
      </c>
      <c r="I450" s="4">
        <v>26579.39</v>
      </c>
      <c r="J450" s="4">
        <v>1925.40002441406</v>
      </c>
      <c r="K450" s="4">
        <v>1925.40002441406</v>
      </c>
      <c r="L450" s="4">
        <v>1925.40002441406</v>
      </c>
      <c r="M450" s="3">
        <v>47</v>
      </c>
      <c r="N450" s="3">
        <v>47</v>
      </c>
      <c r="O450" s="54">
        <v>47</v>
      </c>
    </row>
    <row r="451" spans="2:15" x14ac:dyDescent="0.25">
      <c r="B451" s="7">
        <v>45193</v>
      </c>
      <c r="C451" s="13">
        <v>26256.83</v>
      </c>
      <c r="D451" s="8">
        <v>1919.19995117187</v>
      </c>
      <c r="F451" s="7">
        <v>45193</v>
      </c>
      <c r="G451" s="13">
        <v>26256.83</v>
      </c>
      <c r="H451" s="4">
        <v>26256.83</v>
      </c>
      <c r="I451" s="4">
        <v>26256.83</v>
      </c>
      <c r="J451" s="4">
        <v>1919.19995117187</v>
      </c>
      <c r="K451" s="4">
        <v>1919.19995117187</v>
      </c>
      <c r="L451" s="4">
        <v>1919.19995117187</v>
      </c>
      <c r="M451" s="3">
        <v>44</v>
      </c>
      <c r="N451" s="3">
        <v>44</v>
      </c>
      <c r="O451" s="54">
        <v>44</v>
      </c>
    </row>
    <row r="452" spans="2:15" x14ac:dyDescent="0.25">
      <c r="B452" s="7">
        <v>45194</v>
      </c>
      <c r="C452" s="13">
        <v>26298.48</v>
      </c>
      <c r="D452" s="8">
        <v>1925.40002441406</v>
      </c>
      <c r="F452" s="7">
        <v>45194</v>
      </c>
      <c r="G452" s="13">
        <v>26298.48</v>
      </c>
      <c r="H452" s="4">
        <v>26298.48</v>
      </c>
      <c r="I452" s="4">
        <v>26298.48</v>
      </c>
      <c r="J452" s="4">
        <v>1925.40002441406</v>
      </c>
      <c r="K452" s="4">
        <v>1925.40002441406</v>
      </c>
      <c r="L452" s="4">
        <v>1925.40002441406</v>
      </c>
      <c r="M452" s="3">
        <v>47</v>
      </c>
      <c r="N452" s="3">
        <v>47</v>
      </c>
      <c r="O452" s="54">
        <v>47</v>
      </c>
    </row>
    <row r="453" spans="2:15" x14ac:dyDescent="0.25">
      <c r="B453" s="7">
        <v>45195</v>
      </c>
      <c r="C453" s="13">
        <v>26217.25</v>
      </c>
      <c r="D453" s="8">
        <v>1916.59997558593</v>
      </c>
      <c r="F453" s="7">
        <v>45195</v>
      </c>
      <c r="G453" s="13">
        <v>26217.25</v>
      </c>
      <c r="H453" s="4">
        <v>26217.25</v>
      </c>
      <c r="I453" s="4">
        <v>26217.25</v>
      </c>
      <c r="J453" s="4">
        <v>1916.59997558593</v>
      </c>
      <c r="K453" s="4">
        <v>1916.59997558593</v>
      </c>
      <c r="L453" s="4">
        <v>1916.59997558593</v>
      </c>
      <c r="M453" s="3">
        <v>46</v>
      </c>
      <c r="N453" s="3">
        <v>46</v>
      </c>
      <c r="O453" s="54">
        <v>46</v>
      </c>
    </row>
    <row r="454" spans="2:15" x14ac:dyDescent="0.25">
      <c r="B454" s="7">
        <v>45196</v>
      </c>
      <c r="C454" s="13">
        <v>26352.720000000001</v>
      </c>
      <c r="D454" s="8">
        <v>1900.40002441406</v>
      </c>
      <c r="F454" s="7">
        <v>45196</v>
      </c>
      <c r="G454" s="13">
        <v>26352.720000000001</v>
      </c>
      <c r="H454" s="4">
        <v>26352.720000000001</v>
      </c>
      <c r="I454" s="4">
        <v>26352.720000000001</v>
      </c>
      <c r="J454" s="4">
        <v>1900.40002441406</v>
      </c>
      <c r="K454" s="4">
        <v>1900.40002441406</v>
      </c>
      <c r="L454" s="4">
        <v>1900.40002441406</v>
      </c>
      <c r="M454" s="3">
        <v>44</v>
      </c>
      <c r="N454" s="3">
        <v>44</v>
      </c>
      <c r="O454" s="54">
        <v>44</v>
      </c>
    </row>
    <row r="455" spans="2:15" x14ac:dyDescent="0.25">
      <c r="B455" s="7">
        <v>45197</v>
      </c>
      <c r="C455" s="13">
        <v>27021.55</v>
      </c>
      <c r="D455" s="8">
        <v>1871.59997558593</v>
      </c>
      <c r="F455" s="7">
        <v>45197</v>
      </c>
      <c r="G455" s="13">
        <v>27021.55</v>
      </c>
      <c r="H455" s="4">
        <v>27021.55</v>
      </c>
      <c r="I455" s="4">
        <v>27021.55</v>
      </c>
      <c r="J455" s="4">
        <v>1871.59997558593</v>
      </c>
      <c r="K455" s="4">
        <v>1871.59997558593</v>
      </c>
      <c r="L455" s="4">
        <v>1871.59997558593</v>
      </c>
      <c r="M455" s="3">
        <v>46</v>
      </c>
      <c r="N455" s="3">
        <v>46</v>
      </c>
      <c r="O455" s="54">
        <v>46</v>
      </c>
    </row>
    <row r="456" spans="2:15" x14ac:dyDescent="0.25">
      <c r="B456" s="7">
        <v>45198</v>
      </c>
      <c r="C456" s="13">
        <v>26911.72</v>
      </c>
      <c r="D456" s="8">
        <v>1860.40002441406</v>
      </c>
      <c r="F456" s="7">
        <v>45198</v>
      </c>
      <c r="G456" s="13">
        <v>26911.72</v>
      </c>
      <c r="H456" s="4">
        <v>26911.72</v>
      </c>
      <c r="I456" s="4">
        <v>26911.72</v>
      </c>
      <c r="J456" s="4">
        <v>1860.40002441406</v>
      </c>
      <c r="K456" s="4">
        <v>1860.40002441406</v>
      </c>
      <c r="L456" s="4">
        <v>1860.40002441406</v>
      </c>
      <c r="M456" s="3">
        <v>48</v>
      </c>
      <c r="N456" s="3">
        <v>48</v>
      </c>
      <c r="O456" s="54">
        <v>48</v>
      </c>
    </row>
    <row r="457" spans="2:15" x14ac:dyDescent="0.25">
      <c r="B457" s="7">
        <v>45199</v>
      </c>
      <c r="C457" s="13">
        <v>26967.919999999998</v>
      </c>
      <c r="D457" s="8">
        <v>1848.09997558593</v>
      </c>
      <c r="F457" s="7">
        <v>45199</v>
      </c>
      <c r="G457" s="13">
        <v>26967.919999999998</v>
      </c>
      <c r="H457" s="4">
        <v>26967.919999999998</v>
      </c>
      <c r="I457" s="4">
        <v>26967.919999999998</v>
      </c>
      <c r="J457" s="4">
        <v>1848.09997558593</v>
      </c>
      <c r="K457" s="4">
        <v>1848.09997558593</v>
      </c>
      <c r="L457" s="4">
        <v>1848.09997558593</v>
      </c>
      <c r="M457" s="3">
        <v>47</v>
      </c>
      <c r="N457" s="3">
        <v>47</v>
      </c>
      <c r="O457" s="54">
        <v>47</v>
      </c>
    </row>
    <row r="458" spans="2:15" x14ac:dyDescent="0.25">
      <c r="B458" s="7">
        <v>45200</v>
      </c>
      <c r="C458" s="13">
        <v>27983.75</v>
      </c>
      <c r="D458" s="8">
        <v>1860.40002441406</v>
      </c>
      <c r="F458" s="7">
        <v>45200</v>
      </c>
      <c r="G458" s="13">
        <v>27983.75</v>
      </c>
      <c r="H458" s="4">
        <v>27983.75</v>
      </c>
      <c r="I458" s="4">
        <v>27983.75</v>
      </c>
      <c r="J458" s="4">
        <v>1860.40002441406</v>
      </c>
      <c r="K458" s="4">
        <v>1860.40002441406</v>
      </c>
      <c r="L458" s="4">
        <v>1860.40002441406</v>
      </c>
      <c r="M458" s="3">
        <v>48</v>
      </c>
      <c r="N458" s="3">
        <v>48</v>
      </c>
      <c r="O458" s="54">
        <v>48</v>
      </c>
    </row>
    <row r="459" spans="2:15" x14ac:dyDescent="0.25">
      <c r="B459" s="7">
        <v>45201</v>
      </c>
      <c r="C459" s="13">
        <v>27530.79</v>
      </c>
      <c r="D459" s="8">
        <v>1848.09997558593</v>
      </c>
      <c r="F459" s="7">
        <v>45201</v>
      </c>
      <c r="G459" s="13">
        <v>27530.79</v>
      </c>
      <c r="H459" s="4">
        <v>27530.79</v>
      </c>
      <c r="I459" s="4">
        <v>27530.79</v>
      </c>
      <c r="J459" s="4">
        <v>1848.09997558593</v>
      </c>
      <c r="K459" s="4">
        <v>1848.09997558593</v>
      </c>
      <c r="L459" s="4">
        <v>1848.09997558593</v>
      </c>
      <c r="M459" s="3">
        <v>50</v>
      </c>
      <c r="N459" s="3">
        <v>50</v>
      </c>
      <c r="O459" s="54">
        <v>50</v>
      </c>
    </row>
    <row r="460" spans="2:15" x14ac:dyDescent="0.25">
      <c r="B460" s="7">
        <v>45202</v>
      </c>
      <c r="C460" s="13">
        <v>27429.98</v>
      </c>
      <c r="D460" s="8">
        <v>1830</v>
      </c>
      <c r="F460" s="7">
        <v>45202</v>
      </c>
      <c r="G460" s="13">
        <v>27429.98</v>
      </c>
      <c r="H460" s="4">
        <v>27429.98</v>
      </c>
      <c r="I460" s="4">
        <v>27429.98</v>
      </c>
      <c r="J460" s="4">
        <v>1830</v>
      </c>
      <c r="K460" s="4">
        <v>1830</v>
      </c>
      <c r="L460" s="4">
        <v>1830</v>
      </c>
      <c r="M460" s="3">
        <v>50</v>
      </c>
      <c r="N460" s="3">
        <v>50</v>
      </c>
      <c r="O460" s="54">
        <v>50</v>
      </c>
    </row>
    <row r="461" spans="2:15" x14ac:dyDescent="0.25">
      <c r="B461" s="7">
        <v>45203</v>
      </c>
      <c r="C461" s="13">
        <v>27799.39</v>
      </c>
      <c r="D461" s="8">
        <v>1824.59997558593</v>
      </c>
      <c r="F461" s="7">
        <v>45203</v>
      </c>
      <c r="G461" s="13">
        <v>27799.39</v>
      </c>
      <c r="H461" s="4">
        <v>27799.39</v>
      </c>
      <c r="I461" s="4">
        <v>27799.39</v>
      </c>
      <c r="J461" s="4">
        <v>1824.59997558593</v>
      </c>
      <c r="K461" s="4">
        <v>1824.59997558593</v>
      </c>
      <c r="L461" s="4">
        <v>1824.59997558593</v>
      </c>
      <c r="M461" s="3">
        <v>49</v>
      </c>
      <c r="N461" s="3">
        <v>49</v>
      </c>
      <c r="O461" s="54">
        <v>49</v>
      </c>
    </row>
    <row r="462" spans="2:15" x14ac:dyDescent="0.25">
      <c r="B462" s="7">
        <v>45204</v>
      </c>
      <c r="C462" s="13">
        <v>27415.91</v>
      </c>
      <c r="D462" s="8">
        <v>1818.5</v>
      </c>
      <c r="F462" s="7">
        <v>45204</v>
      </c>
      <c r="G462" s="13">
        <v>27415.91</v>
      </c>
      <c r="H462" s="4">
        <v>27415.91</v>
      </c>
      <c r="I462" s="4">
        <v>27415.91</v>
      </c>
      <c r="J462" s="4">
        <v>1818.5</v>
      </c>
      <c r="K462" s="4">
        <v>1818.5</v>
      </c>
      <c r="L462" s="4">
        <v>1818.5</v>
      </c>
      <c r="M462" s="3">
        <v>48</v>
      </c>
      <c r="N462" s="3">
        <v>48</v>
      </c>
      <c r="O462" s="54">
        <v>48</v>
      </c>
    </row>
    <row r="463" spans="2:15" x14ac:dyDescent="0.25">
      <c r="B463" s="7">
        <v>45205</v>
      </c>
      <c r="C463" s="13">
        <v>27946.6</v>
      </c>
      <c r="D463" s="8">
        <v>1816.59997558593</v>
      </c>
      <c r="F463" s="7">
        <v>45205</v>
      </c>
      <c r="G463" s="13">
        <v>27946.6</v>
      </c>
      <c r="H463" s="4">
        <v>27946.6</v>
      </c>
      <c r="I463" s="4">
        <v>27946.6</v>
      </c>
      <c r="J463" s="4">
        <v>1816.59997558593</v>
      </c>
      <c r="K463" s="4">
        <v>1816.59997558593</v>
      </c>
      <c r="L463" s="4">
        <v>1816.59997558593</v>
      </c>
      <c r="M463" s="3">
        <v>50</v>
      </c>
      <c r="N463" s="3">
        <v>50</v>
      </c>
      <c r="O463" s="54">
        <v>50</v>
      </c>
    </row>
    <row r="464" spans="2:15" x14ac:dyDescent="0.25">
      <c r="B464" s="7">
        <v>45206</v>
      </c>
      <c r="C464" s="13">
        <v>27968.84</v>
      </c>
      <c r="D464" s="8">
        <v>1830.19995117187</v>
      </c>
      <c r="F464" s="7">
        <v>45206</v>
      </c>
      <c r="G464" s="13">
        <v>27968.84</v>
      </c>
      <c r="H464" s="4">
        <v>27968.84</v>
      </c>
      <c r="I464" s="4">
        <v>27968.84</v>
      </c>
      <c r="J464" s="4">
        <v>1830.19995117187</v>
      </c>
      <c r="K464" s="4">
        <v>1830.19995117187</v>
      </c>
      <c r="L464" s="4">
        <v>1830.19995117187</v>
      </c>
      <c r="M464" s="3">
        <v>49</v>
      </c>
      <c r="N464" s="3">
        <v>49</v>
      </c>
      <c r="O464" s="54">
        <v>49</v>
      </c>
    </row>
    <row r="465" spans="2:15" x14ac:dyDescent="0.25">
      <c r="B465" s="7">
        <v>45207</v>
      </c>
      <c r="C465" s="13">
        <v>27935.09</v>
      </c>
      <c r="D465" s="8">
        <v>1816.59997558593</v>
      </c>
      <c r="F465" s="7">
        <v>45207</v>
      </c>
      <c r="G465" s="13">
        <v>27935.09</v>
      </c>
      <c r="H465" s="4">
        <v>27935.09</v>
      </c>
      <c r="I465" s="4">
        <v>27935.09</v>
      </c>
      <c r="J465" s="4">
        <v>1816.59997558593</v>
      </c>
      <c r="K465" s="4">
        <v>1816.59997558593</v>
      </c>
      <c r="L465" s="4">
        <v>1816.59997558593</v>
      </c>
      <c r="M465" s="3">
        <v>50</v>
      </c>
      <c r="N465" s="3">
        <v>50</v>
      </c>
      <c r="O465" s="54">
        <v>50</v>
      </c>
    </row>
    <row r="466" spans="2:15" x14ac:dyDescent="0.25">
      <c r="B466" s="7">
        <v>45208</v>
      </c>
      <c r="C466" s="13">
        <v>27583.68</v>
      </c>
      <c r="D466" s="8">
        <v>1830.19995117187</v>
      </c>
      <c r="F466" s="7">
        <v>45208</v>
      </c>
      <c r="G466" s="13">
        <v>27583.68</v>
      </c>
      <c r="H466" s="4">
        <v>27583.68</v>
      </c>
      <c r="I466" s="4">
        <v>27583.68</v>
      </c>
      <c r="J466" s="4">
        <v>1830.19995117187</v>
      </c>
      <c r="K466" s="4">
        <v>1830.19995117187</v>
      </c>
      <c r="L466" s="4">
        <v>1830.19995117187</v>
      </c>
      <c r="M466" s="3">
        <v>50</v>
      </c>
      <c r="N466" s="3">
        <v>50</v>
      </c>
      <c r="O466" s="54">
        <v>50</v>
      </c>
    </row>
    <row r="467" spans="2:15" x14ac:dyDescent="0.25">
      <c r="B467" s="7">
        <v>45209</v>
      </c>
      <c r="C467" s="13">
        <v>27391.02</v>
      </c>
      <c r="D467" s="8">
        <v>1849.5</v>
      </c>
      <c r="F467" s="7">
        <v>45209</v>
      </c>
      <c r="G467" s="13">
        <v>27391.02</v>
      </c>
      <c r="H467" s="4">
        <v>27391.02</v>
      </c>
      <c r="I467" s="4">
        <v>27391.02</v>
      </c>
      <c r="J467" s="4">
        <v>1849.5</v>
      </c>
      <c r="K467" s="4">
        <v>1849.5</v>
      </c>
      <c r="L467" s="4">
        <v>1849.5</v>
      </c>
      <c r="M467" s="3">
        <v>50</v>
      </c>
      <c r="N467" s="3">
        <v>50</v>
      </c>
      <c r="O467" s="54">
        <v>50</v>
      </c>
    </row>
    <row r="468" spans="2:15" x14ac:dyDescent="0.25">
      <c r="B468" s="7">
        <v>45210</v>
      </c>
      <c r="C468" s="13">
        <v>26873.32</v>
      </c>
      <c r="D468" s="8">
        <v>1861</v>
      </c>
      <c r="F468" s="7">
        <v>45210</v>
      </c>
      <c r="G468" s="13">
        <v>26873.32</v>
      </c>
      <c r="H468" s="4">
        <v>26873.32</v>
      </c>
      <c r="I468" s="4">
        <v>26873.32</v>
      </c>
      <c r="J468" s="4">
        <v>1861</v>
      </c>
      <c r="K468" s="4">
        <v>1861</v>
      </c>
      <c r="L468" s="4">
        <v>1861</v>
      </c>
      <c r="M468" s="3">
        <v>47</v>
      </c>
      <c r="N468" s="3">
        <v>47</v>
      </c>
      <c r="O468" s="54">
        <v>47</v>
      </c>
    </row>
    <row r="469" spans="2:15" x14ac:dyDescent="0.25">
      <c r="B469" s="7">
        <v>45211</v>
      </c>
      <c r="C469" s="13">
        <v>26756.799999999999</v>
      </c>
      <c r="D469" s="8">
        <v>1872.80004882812</v>
      </c>
      <c r="F469" s="7">
        <v>45211</v>
      </c>
      <c r="G469" s="13">
        <v>26756.799999999999</v>
      </c>
      <c r="H469" s="4">
        <v>26756.799999999999</v>
      </c>
      <c r="I469" s="4">
        <v>26756.799999999999</v>
      </c>
      <c r="J469" s="4">
        <v>1872.80004882812</v>
      </c>
      <c r="K469" s="4">
        <v>1872.80004882812</v>
      </c>
      <c r="L469" s="4">
        <v>1872.80004882812</v>
      </c>
      <c r="M469" s="3">
        <v>45</v>
      </c>
      <c r="N469" s="3">
        <v>45</v>
      </c>
      <c r="O469" s="54">
        <v>45</v>
      </c>
    </row>
    <row r="470" spans="2:15" x14ac:dyDescent="0.25">
      <c r="B470" s="7">
        <v>45212</v>
      </c>
      <c r="C470" s="13">
        <v>26862.38</v>
      </c>
      <c r="D470" s="8">
        <v>1869.30004882812</v>
      </c>
      <c r="F470" s="7">
        <v>45212</v>
      </c>
      <c r="G470" s="13">
        <v>26862.38</v>
      </c>
      <c r="H470" s="4">
        <v>26862.38</v>
      </c>
      <c r="I470" s="4">
        <v>26862.38</v>
      </c>
      <c r="J470" s="4">
        <v>1869.30004882812</v>
      </c>
      <c r="K470" s="4">
        <v>1869.30004882812</v>
      </c>
      <c r="L470" s="4">
        <v>1869.30004882812</v>
      </c>
      <c r="M470" s="3">
        <v>44</v>
      </c>
      <c r="N470" s="3">
        <v>44</v>
      </c>
      <c r="O470" s="54">
        <v>44</v>
      </c>
    </row>
    <row r="471" spans="2:15" x14ac:dyDescent="0.25">
      <c r="B471" s="7">
        <v>45213</v>
      </c>
      <c r="C471" s="13">
        <v>26861.71</v>
      </c>
      <c r="D471" s="8">
        <v>1927.40002441406</v>
      </c>
      <c r="F471" s="7">
        <v>45213</v>
      </c>
      <c r="G471" s="13">
        <v>26861.71</v>
      </c>
      <c r="H471" s="4">
        <v>26861.71</v>
      </c>
      <c r="I471" s="4">
        <v>26861.71</v>
      </c>
      <c r="J471" s="4">
        <v>1927.40002441406</v>
      </c>
      <c r="K471" s="4">
        <v>1927.40002441406</v>
      </c>
      <c r="L471" s="4">
        <v>1927.40002441406</v>
      </c>
      <c r="M471" s="3">
        <v>47</v>
      </c>
      <c r="N471" s="3">
        <v>47</v>
      </c>
      <c r="O471" s="54">
        <v>47</v>
      </c>
    </row>
    <row r="472" spans="2:15" x14ac:dyDescent="0.25">
      <c r="B472" s="7">
        <v>45214</v>
      </c>
      <c r="C472" s="13">
        <v>27159.65</v>
      </c>
      <c r="D472" s="8">
        <v>1869.30004882812</v>
      </c>
      <c r="F472" s="7">
        <v>45214</v>
      </c>
      <c r="G472" s="13">
        <v>27159.65</v>
      </c>
      <c r="H472" s="4">
        <v>27159.65</v>
      </c>
      <c r="I472" s="4">
        <v>27159.65</v>
      </c>
      <c r="J472" s="4">
        <v>1869.30004882812</v>
      </c>
      <c r="K472" s="4">
        <v>1869.30004882812</v>
      </c>
      <c r="L472" s="4">
        <v>1869.30004882812</v>
      </c>
      <c r="M472" s="3">
        <v>45</v>
      </c>
      <c r="N472" s="3">
        <v>45</v>
      </c>
      <c r="O472" s="54">
        <v>45</v>
      </c>
    </row>
    <row r="473" spans="2:15" x14ac:dyDescent="0.25">
      <c r="B473" s="7">
        <v>45215</v>
      </c>
      <c r="C473" s="13">
        <v>28519.47</v>
      </c>
      <c r="D473" s="8">
        <v>1927.40002441406</v>
      </c>
      <c r="F473" s="7">
        <v>45215</v>
      </c>
      <c r="G473" s="13">
        <v>28519.47</v>
      </c>
      <c r="H473" s="4">
        <v>28519.47</v>
      </c>
      <c r="I473" s="4">
        <v>28519.47</v>
      </c>
      <c r="J473" s="4">
        <v>1927.40002441406</v>
      </c>
      <c r="K473" s="4">
        <v>1927.40002441406</v>
      </c>
      <c r="L473" s="4">
        <v>1927.40002441406</v>
      </c>
      <c r="M473" s="3">
        <v>47</v>
      </c>
      <c r="N473" s="3">
        <v>47</v>
      </c>
      <c r="O473" s="54">
        <v>47</v>
      </c>
    </row>
    <row r="474" spans="2:15" x14ac:dyDescent="0.25">
      <c r="B474" s="7">
        <v>45216</v>
      </c>
      <c r="C474" s="13">
        <v>28415.75</v>
      </c>
      <c r="D474" s="8">
        <v>1921.09997558593</v>
      </c>
      <c r="F474" s="7">
        <v>45216</v>
      </c>
      <c r="G474" s="13">
        <v>28415.75</v>
      </c>
      <c r="H474" s="4">
        <v>28415.75</v>
      </c>
      <c r="I474" s="4">
        <v>28415.75</v>
      </c>
      <c r="J474" s="4">
        <v>1921.09997558593</v>
      </c>
      <c r="K474" s="4">
        <v>1921.09997558593</v>
      </c>
      <c r="L474" s="4">
        <v>1921.09997558593</v>
      </c>
      <c r="M474" s="3">
        <v>52</v>
      </c>
      <c r="N474" s="3">
        <v>52</v>
      </c>
      <c r="O474" s="54">
        <v>52</v>
      </c>
    </row>
    <row r="475" spans="2:15" x14ac:dyDescent="0.25">
      <c r="B475" s="7">
        <v>45217</v>
      </c>
      <c r="C475" s="13">
        <v>28328.34</v>
      </c>
      <c r="D475" s="8">
        <v>1922.69995117187</v>
      </c>
      <c r="F475" s="7">
        <v>45217</v>
      </c>
      <c r="G475" s="13">
        <v>28328.34</v>
      </c>
      <c r="H475" s="4">
        <v>28328.34</v>
      </c>
      <c r="I475" s="4">
        <v>28328.34</v>
      </c>
      <c r="J475" s="4">
        <v>1922.69995117187</v>
      </c>
      <c r="K475" s="4">
        <v>1922.69995117187</v>
      </c>
      <c r="L475" s="4">
        <v>1922.69995117187</v>
      </c>
      <c r="M475" s="3">
        <v>50</v>
      </c>
      <c r="N475" s="3">
        <v>50</v>
      </c>
      <c r="O475" s="54">
        <v>50</v>
      </c>
    </row>
    <row r="476" spans="2:15" x14ac:dyDescent="0.25">
      <c r="B476" s="7">
        <v>45218</v>
      </c>
      <c r="C476" s="13">
        <v>28719.81</v>
      </c>
      <c r="D476" s="8">
        <v>1955.30004882812</v>
      </c>
      <c r="F476" s="7">
        <v>45218</v>
      </c>
      <c r="G476" s="13">
        <v>28719.81</v>
      </c>
      <c r="H476" s="4">
        <v>28719.81</v>
      </c>
      <c r="I476" s="4">
        <v>28719.81</v>
      </c>
      <c r="J476" s="4">
        <v>1955.30004882812</v>
      </c>
      <c r="K476" s="4">
        <v>1955.30004882812</v>
      </c>
      <c r="L476" s="4">
        <v>1955.30004882812</v>
      </c>
      <c r="M476" s="3">
        <v>52</v>
      </c>
      <c r="N476" s="3">
        <v>52</v>
      </c>
      <c r="O476" s="54">
        <v>52</v>
      </c>
    </row>
    <row r="477" spans="2:15" x14ac:dyDescent="0.25">
      <c r="B477" s="7">
        <v>45219</v>
      </c>
      <c r="C477" s="13">
        <v>29682.95</v>
      </c>
      <c r="D477" s="8">
        <v>1968.40002441406</v>
      </c>
      <c r="F477" s="7">
        <v>45219</v>
      </c>
      <c r="G477" s="13">
        <v>29682.95</v>
      </c>
      <c r="H477" s="4">
        <v>29682.95</v>
      </c>
      <c r="I477" s="4">
        <v>29682.95</v>
      </c>
      <c r="J477" s="4">
        <v>1968.40002441406</v>
      </c>
      <c r="K477" s="4">
        <v>1968.40002441406</v>
      </c>
      <c r="L477" s="4">
        <v>1968.40002441406</v>
      </c>
      <c r="M477" s="3">
        <v>53</v>
      </c>
      <c r="N477" s="3">
        <v>53</v>
      </c>
      <c r="O477" s="54">
        <v>53</v>
      </c>
    </row>
    <row r="478" spans="2:15" x14ac:dyDescent="0.25">
      <c r="B478" s="7">
        <v>45220</v>
      </c>
      <c r="C478" s="13">
        <v>29918.41</v>
      </c>
      <c r="D478" s="8">
        <v>1982.5</v>
      </c>
      <c r="F478" s="7">
        <v>45220</v>
      </c>
      <c r="G478" s="13">
        <v>29918.41</v>
      </c>
      <c r="H478" s="4">
        <v>29918.41</v>
      </c>
      <c r="I478" s="4">
        <v>29918.41</v>
      </c>
      <c r="J478" s="4">
        <v>1982.5</v>
      </c>
      <c r="K478" s="4">
        <v>1982.5</v>
      </c>
      <c r="L478" s="4">
        <v>1982.5</v>
      </c>
      <c r="M478" s="3">
        <v>63</v>
      </c>
      <c r="N478" s="3">
        <v>63</v>
      </c>
      <c r="O478" s="54">
        <v>63</v>
      </c>
    </row>
    <row r="479" spans="2:15" x14ac:dyDescent="0.25">
      <c r="B479" s="7">
        <v>45221</v>
      </c>
      <c r="C479" s="13">
        <v>29993.9</v>
      </c>
      <c r="D479" s="8">
        <v>1968.40002441406</v>
      </c>
      <c r="F479" s="7">
        <v>45221</v>
      </c>
      <c r="G479" s="13">
        <v>29993.9</v>
      </c>
      <c r="H479" s="4">
        <v>29993.9</v>
      </c>
      <c r="I479" s="4">
        <v>29993.9</v>
      </c>
      <c r="J479" s="4">
        <v>1968.40002441406</v>
      </c>
      <c r="K479" s="4">
        <v>1968.40002441406</v>
      </c>
      <c r="L479" s="4">
        <v>1968.40002441406</v>
      </c>
      <c r="M479" s="3">
        <v>53</v>
      </c>
      <c r="N479" s="3">
        <v>53</v>
      </c>
      <c r="O479" s="54">
        <v>53</v>
      </c>
    </row>
    <row r="480" spans="2:15" x14ac:dyDescent="0.25">
      <c r="B480" s="7">
        <v>45222</v>
      </c>
      <c r="C480" s="13">
        <v>33086.230000000003</v>
      </c>
      <c r="D480" s="8">
        <v>1982.5</v>
      </c>
      <c r="F480" s="7">
        <v>45222</v>
      </c>
      <c r="G480" s="13">
        <v>33086.230000000003</v>
      </c>
      <c r="H480" s="4">
        <v>33086.230000000003</v>
      </c>
      <c r="I480" s="4">
        <v>33086.230000000003</v>
      </c>
      <c r="J480" s="4">
        <v>1982.5</v>
      </c>
      <c r="K480" s="4">
        <v>1982.5</v>
      </c>
      <c r="L480" s="4">
        <v>1982.5</v>
      </c>
      <c r="M480" s="3">
        <v>53</v>
      </c>
      <c r="N480" s="3">
        <v>53</v>
      </c>
      <c r="O480" s="54">
        <v>53</v>
      </c>
    </row>
    <row r="481" spans="2:15" x14ac:dyDescent="0.25">
      <c r="B481" s="7">
        <v>45223</v>
      </c>
      <c r="C481" s="13">
        <v>33901.53</v>
      </c>
      <c r="D481" s="8">
        <v>1976.30004882812</v>
      </c>
      <c r="F481" s="7">
        <v>45223</v>
      </c>
      <c r="G481" s="13">
        <v>33901.53</v>
      </c>
      <c r="H481" s="4">
        <v>33901.53</v>
      </c>
      <c r="I481" s="4">
        <v>33901.53</v>
      </c>
      <c r="J481" s="4">
        <v>1976.30004882812</v>
      </c>
      <c r="K481" s="4">
        <v>1976.30004882812</v>
      </c>
      <c r="L481" s="4">
        <v>1976.30004882812</v>
      </c>
      <c r="M481" s="3">
        <v>66</v>
      </c>
      <c r="N481" s="3">
        <v>66</v>
      </c>
      <c r="O481" s="54">
        <v>66</v>
      </c>
    </row>
    <row r="482" spans="2:15" x14ac:dyDescent="0.25">
      <c r="B482" s="7">
        <v>45224</v>
      </c>
      <c r="C482" s="13">
        <v>34502.82</v>
      </c>
      <c r="D482" s="8">
        <v>1975</v>
      </c>
      <c r="F482" s="7">
        <v>45224</v>
      </c>
      <c r="G482" s="13">
        <v>34502.82</v>
      </c>
      <c r="H482" s="4">
        <v>34502.82</v>
      </c>
      <c r="I482" s="4">
        <v>34502.82</v>
      </c>
      <c r="J482" s="4">
        <v>1975</v>
      </c>
      <c r="K482" s="4">
        <v>1975</v>
      </c>
      <c r="L482" s="4">
        <v>1975</v>
      </c>
      <c r="M482" s="3">
        <v>72</v>
      </c>
      <c r="N482" s="3">
        <v>72</v>
      </c>
      <c r="O482" s="54">
        <v>72</v>
      </c>
    </row>
    <row r="483" spans="2:15" x14ac:dyDescent="0.25">
      <c r="B483" s="7">
        <v>45225</v>
      </c>
      <c r="C483" s="13">
        <v>34156.65</v>
      </c>
      <c r="D483" s="8">
        <v>1984.09997558593</v>
      </c>
      <c r="F483" s="7">
        <v>45225</v>
      </c>
      <c r="G483" s="13">
        <v>34156.65</v>
      </c>
      <c r="H483" s="4">
        <v>34156.65</v>
      </c>
      <c r="I483" s="4">
        <v>34156.65</v>
      </c>
      <c r="J483" s="4">
        <v>1984.09997558593</v>
      </c>
      <c r="K483" s="4">
        <v>1984.09997558593</v>
      </c>
      <c r="L483" s="4">
        <v>1984.09997558593</v>
      </c>
      <c r="M483" s="3">
        <v>71</v>
      </c>
      <c r="N483" s="3">
        <v>71</v>
      </c>
      <c r="O483" s="54">
        <v>71</v>
      </c>
    </row>
    <row r="484" spans="2:15" x14ac:dyDescent="0.25">
      <c r="B484" s="7">
        <v>45226</v>
      </c>
      <c r="C484" s="13">
        <v>33909.800000000003</v>
      </c>
      <c r="D484" s="8">
        <v>1987.19995117187</v>
      </c>
      <c r="F484" s="7">
        <v>45226</v>
      </c>
      <c r="G484" s="13">
        <v>33909.800000000003</v>
      </c>
      <c r="H484" s="4">
        <v>33909.800000000003</v>
      </c>
      <c r="I484" s="4">
        <v>33909.800000000003</v>
      </c>
      <c r="J484" s="4">
        <v>1987.19995117187</v>
      </c>
      <c r="K484" s="4">
        <v>1987.19995117187</v>
      </c>
      <c r="L484" s="4">
        <v>1987.19995117187</v>
      </c>
      <c r="M484" s="3">
        <v>70</v>
      </c>
      <c r="N484" s="3">
        <v>70</v>
      </c>
      <c r="O484" s="54">
        <v>70</v>
      </c>
    </row>
    <row r="485" spans="2:15" x14ac:dyDescent="0.25">
      <c r="B485" s="7">
        <v>45227</v>
      </c>
      <c r="C485" s="13">
        <v>34089.57</v>
      </c>
      <c r="D485" s="8">
        <v>1988.59997558593</v>
      </c>
      <c r="F485" s="7">
        <v>45227</v>
      </c>
      <c r="G485" s="13">
        <v>34089.57</v>
      </c>
      <c r="H485" s="4">
        <v>34089.57</v>
      </c>
      <c r="I485" s="4">
        <v>34089.57</v>
      </c>
      <c r="J485" s="4">
        <v>1988.59997558593</v>
      </c>
      <c r="K485" s="4">
        <v>1988.59997558593</v>
      </c>
      <c r="L485" s="4">
        <v>1988.59997558593</v>
      </c>
      <c r="M485" s="3">
        <v>65</v>
      </c>
      <c r="N485" s="3">
        <v>65</v>
      </c>
      <c r="O485" s="54">
        <v>65</v>
      </c>
    </row>
    <row r="486" spans="2:15" x14ac:dyDescent="0.25">
      <c r="B486" s="7">
        <v>45228</v>
      </c>
      <c r="C486" s="13">
        <v>34538.480000000003</v>
      </c>
      <c r="D486" s="8">
        <v>1987.19995117187</v>
      </c>
      <c r="F486" s="7">
        <v>45228</v>
      </c>
      <c r="G486" s="13">
        <v>34538.480000000003</v>
      </c>
      <c r="H486" s="4">
        <v>34538.480000000003</v>
      </c>
      <c r="I486" s="4">
        <v>34538.480000000003</v>
      </c>
      <c r="J486" s="4">
        <v>1987.19995117187</v>
      </c>
      <c r="K486" s="4">
        <v>1987.19995117187</v>
      </c>
      <c r="L486" s="4">
        <v>1987.19995117187</v>
      </c>
      <c r="M486" s="3">
        <v>72</v>
      </c>
      <c r="N486" s="3">
        <v>72</v>
      </c>
      <c r="O486" s="54">
        <v>72</v>
      </c>
    </row>
    <row r="487" spans="2:15" x14ac:dyDescent="0.25">
      <c r="B487" s="7">
        <v>45229</v>
      </c>
      <c r="C487" s="13">
        <v>34502.36</v>
      </c>
      <c r="D487" s="8">
        <v>1988.59997558593</v>
      </c>
      <c r="F487" s="7">
        <v>45229</v>
      </c>
      <c r="G487" s="13">
        <v>34502.36</v>
      </c>
      <c r="H487" s="4">
        <v>34502.36</v>
      </c>
      <c r="I487" s="4">
        <v>34502.36</v>
      </c>
      <c r="J487" s="4">
        <v>1988.59997558593</v>
      </c>
      <c r="K487" s="4">
        <v>1988.59997558593</v>
      </c>
      <c r="L487" s="4">
        <v>1988.59997558593</v>
      </c>
      <c r="M487" s="3">
        <v>68</v>
      </c>
      <c r="N487" s="3">
        <v>68</v>
      </c>
      <c r="O487" s="54">
        <v>68</v>
      </c>
    </row>
    <row r="488" spans="2:15" x14ac:dyDescent="0.25">
      <c r="B488" s="7">
        <v>45230</v>
      </c>
      <c r="C488" s="13">
        <v>34667.78</v>
      </c>
      <c r="D488" s="8">
        <v>1996.19995117187</v>
      </c>
      <c r="F488" s="7">
        <v>45230</v>
      </c>
      <c r="G488" s="13">
        <v>34667.78</v>
      </c>
      <c r="H488" s="4">
        <v>34667.78</v>
      </c>
      <c r="I488" s="4">
        <v>34667.78</v>
      </c>
      <c r="J488" s="4">
        <v>1996.19995117187</v>
      </c>
      <c r="K488" s="4">
        <v>1996.19995117187</v>
      </c>
      <c r="L488" s="4">
        <v>1996.19995117187</v>
      </c>
      <c r="M488" s="3">
        <v>66</v>
      </c>
      <c r="N488" s="3">
        <v>66</v>
      </c>
      <c r="O488" s="54">
        <v>66</v>
      </c>
    </row>
    <row r="489" spans="2:15" x14ac:dyDescent="0.25">
      <c r="B489" s="7">
        <v>45231</v>
      </c>
      <c r="C489" s="13">
        <v>35437.25</v>
      </c>
      <c r="D489" s="8">
        <v>1985.19995117187</v>
      </c>
      <c r="F489" s="7">
        <v>45231</v>
      </c>
      <c r="G489" s="13">
        <v>35437.25</v>
      </c>
      <c r="H489" s="4">
        <v>35437.25</v>
      </c>
      <c r="I489" s="4">
        <v>35437.25</v>
      </c>
      <c r="J489" s="4">
        <v>1985.19995117187</v>
      </c>
      <c r="K489" s="4">
        <v>1985.19995117187</v>
      </c>
      <c r="L489" s="4">
        <v>1985.19995117187</v>
      </c>
      <c r="M489" s="3">
        <v>66</v>
      </c>
      <c r="N489" s="3">
        <v>66</v>
      </c>
      <c r="O489" s="54">
        <v>66</v>
      </c>
    </row>
    <row r="490" spans="2:15" x14ac:dyDescent="0.25">
      <c r="B490" s="7">
        <v>45232</v>
      </c>
      <c r="C490" s="13">
        <v>34938.239999999998</v>
      </c>
      <c r="D490" s="8">
        <v>1978.80004882812</v>
      </c>
      <c r="F490" s="7">
        <v>45232</v>
      </c>
      <c r="G490" s="13">
        <v>34938.239999999998</v>
      </c>
      <c r="H490" s="4">
        <v>34938.239999999998</v>
      </c>
      <c r="I490" s="4">
        <v>34938.239999999998</v>
      </c>
      <c r="J490" s="4">
        <v>1978.80004882812</v>
      </c>
      <c r="K490" s="4">
        <v>1978.80004882812</v>
      </c>
      <c r="L490" s="4">
        <v>1978.80004882812</v>
      </c>
      <c r="M490" s="3">
        <v>72</v>
      </c>
      <c r="N490" s="3">
        <v>72</v>
      </c>
      <c r="O490" s="54">
        <v>72</v>
      </c>
    </row>
    <row r="491" spans="2:15" x14ac:dyDescent="0.25">
      <c r="B491" s="7">
        <v>45233</v>
      </c>
      <c r="C491" s="13">
        <v>34732.32</v>
      </c>
      <c r="D491" s="8">
        <v>1985.59997558593</v>
      </c>
      <c r="F491" s="7">
        <v>45233</v>
      </c>
      <c r="G491" s="13">
        <v>34732.32</v>
      </c>
      <c r="H491" s="4">
        <v>34732.32</v>
      </c>
      <c r="I491" s="4">
        <v>34732.32</v>
      </c>
      <c r="J491" s="4">
        <v>1985.59997558593</v>
      </c>
      <c r="K491" s="4">
        <v>1985.59997558593</v>
      </c>
      <c r="L491" s="4">
        <v>1985.59997558593</v>
      </c>
      <c r="M491" s="3">
        <v>65</v>
      </c>
      <c r="N491" s="3">
        <v>65</v>
      </c>
      <c r="O491" s="54">
        <v>65</v>
      </c>
    </row>
    <row r="492" spans="2:15" x14ac:dyDescent="0.25">
      <c r="B492" s="7">
        <v>45234</v>
      </c>
      <c r="C492" s="13">
        <v>35082.199999999997</v>
      </c>
      <c r="D492" s="8">
        <v>1991.5</v>
      </c>
      <c r="F492" s="7">
        <v>45234</v>
      </c>
      <c r="G492" s="13">
        <v>35082.199999999997</v>
      </c>
      <c r="H492" s="4">
        <v>35082.199999999997</v>
      </c>
      <c r="I492" s="4">
        <v>35082.199999999997</v>
      </c>
      <c r="J492" s="4">
        <v>1991.5</v>
      </c>
      <c r="K492" s="4">
        <v>1991.5</v>
      </c>
      <c r="L492" s="4">
        <v>1991.5</v>
      </c>
      <c r="M492" s="3">
        <v>68</v>
      </c>
      <c r="N492" s="3">
        <v>68</v>
      </c>
      <c r="O492" s="54">
        <v>68</v>
      </c>
    </row>
    <row r="493" spans="2:15" x14ac:dyDescent="0.25">
      <c r="B493" s="7">
        <v>45235</v>
      </c>
      <c r="C493" s="13">
        <v>35049.360000000001</v>
      </c>
      <c r="D493" s="8">
        <v>1985.59997558593</v>
      </c>
      <c r="F493" s="7">
        <v>45235</v>
      </c>
      <c r="G493" s="13">
        <v>35049.360000000001</v>
      </c>
      <c r="H493" s="4">
        <v>35049.360000000001</v>
      </c>
      <c r="I493" s="4">
        <v>35049.360000000001</v>
      </c>
      <c r="J493" s="4">
        <v>1985.59997558593</v>
      </c>
      <c r="K493" s="4">
        <v>1985.59997558593</v>
      </c>
      <c r="L493" s="4">
        <v>1985.59997558593</v>
      </c>
      <c r="M493" s="3">
        <v>70</v>
      </c>
      <c r="N493" s="3">
        <v>70</v>
      </c>
      <c r="O493" s="54">
        <v>70</v>
      </c>
    </row>
    <row r="494" spans="2:15" x14ac:dyDescent="0.25">
      <c r="B494" s="7">
        <v>45236</v>
      </c>
      <c r="C494" s="13">
        <v>35037.370000000003</v>
      </c>
      <c r="D494" s="8">
        <v>1991.5</v>
      </c>
      <c r="F494" s="7">
        <v>45236</v>
      </c>
      <c r="G494" s="13">
        <v>35037.370000000003</v>
      </c>
      <c r="H494" s="4">
        <v>35037.370000000003</v>
      </c>
      <c r="I494" s="4">
        <v>35037.370000000003</v>
      </c>
      <c r="J494" s="4">
        <v>1991.5</v>
      </c>
      <c r="K494" s="4">
        <v>1991.5</v>
      </c>
      <c r="L494" s="4">
        <v>1991.5</v>
      </c>
      <c r="M494" s="3">
        <v>74</v>
      </c>
      <c r="N494" s="3">
        <v>74</v>
      </c>
      <c r="O494" s="54">
        <v>74</v>
      </c>
    </row>
    <row r="495" spans="2:15" x14ac:dyDescent="0.25">
      <c r="B495" s="7">
        <v>45237</v>
      </c>
      <c r="C495" s="13">
        <v>35443.56</v>
      </c>
      <c r="D495" s="8">
        <v>1981.59997558593</v>
      </c>
      <c r="F495" s="7">
        <v>45237</v>
      </c>
      <c r="G495" s="13">
        <v>35443.56</v>
      </c>
      <c r="H495" s="4">
        <v>35443.56</v>
      </c>
      <c r="I495" s="4">
        <v>35443.56</v>
      </c>
      <c r="J495" s="4">
        <v>1981.59997558593</v>
      </c>
      <c r="K495" s="4">
        <v>1981.59997558593</v>
      </c>
      <c r="L495" s="4">
        <v>1981.59997558593</v>
      </c>
      <c r="M495" s="3">
        <v>68</v>
      </c>
      <c r="N495" s="3">
        <v>68</v>
      </c>
      <c r="O495" s="54">
        <v>68</v>
      </c>
    </row>
    <row r="496" spans="2:15" x14ac:dyDescent="0.25">
      <c r="B496" s="7">
        <v>45238</v>
      </c>
      <c r="C496" s="13">
        <v>35655.279999999999</v>
      </c>
      <c r="D496" s="8">
        <v>1966.80004882812</v>
      </c>
      <c r="F496" s="7">
        <v>45238</v>
      </c>
      <c r="G496" s="13">
        <v>35655.279999999999</v>
      </c>
      <c r="H496" s="4">
        <v>35655.279999999999</v>
      </c>
      <c r="I496" s="4">
        <v>35655.279999999999</v>
      </c>
      <c r="J496" s="4">
        <v>1966.80004882812</v>
      </c>
      <c r="K496" s="4">
        <v>1966.80004882812</v>
      </c>
      <c r="L496" s="4">
        <v>1966.80004882812</v>
      </c>
      <c r="M496" s="3">
        <v>66</v>
      </c>
      <c r="N496" s="3">
        <v>66</v>
      </c>
      <c r="O496" s="54">
        <v>66</v>
      </c>
    </row>
    <row r="497" spans="2:15" x14ac:dyDescent="0.25">
      <c r="B497" s="7">
        <v>45239</v>
      </c>
      <c r="C497" s="13">
        <v>36693.129999999997</v>
      </c>
      <c r="D497" s="8">
        <v>1951.5</v>
      </c>
      <c r="F497" s="7">
        <v>45239</v>
      </c>
      <c r="G497" s="13">
        <v>36693.129999999997</v>
      </c>
      <c r="H497" s="4">
        <v>36693.129999999997</v>
      </c>
      <c r="I497" s="4">
        <v>36693.129999999997</v>
      </c>
      <c r="J497" s="4">
        <v>1951.5</v>
      </c>
      <c r="K497" s="4">
        <v>1951.5</v>
      </c>
      <c r="L497" s="4">
        <v>1951.5</v>
      </c>
      <c r="M497" s="3">
        <v>69</v>
      </c>
      <c r="N497" s="3">
        <v>69</v>
      </c>
      <c r="O497" s="54">
        <v>69</v>
      </c>
    </row>
    <row r="498" spans="2:15" x14ac:dyDescent="0.25">
      <c r="B498" s="7">
        <v>45240</v>
      </c>
      <c r="C498" s="13">
        <v>37313.97</v>
      </c>
      <c r="D498" s="8">
        <v>1964.19995117187</v>
      </c>
      <c r="F498" s="7">
        <v>45240</v>
      </c>
      <c r="G498" s="13">
        <v>37313.97</v>
      </c>
      <c r="H498" s="4">
        <v>37313.97</v>
      </c>
      <c r="I498" s="4">
        <v>37313.97</v>
      </c>
      <c r="J498" s="4">
        <v>1964.19995117187</v>
      </c>
      <c r="K498" s="4">
        <v>1964.19995117187</v>
      </c>
      <c r="L498" s="4">
        <v>1964.19995117187</v>
      </c>
      <c r="M498" s="3">
        <v>70</v>
      </c>
      <c r="N498" s="3">
        <v>70</v>
      </c>
      <c r="O498" s="54">
        <v>70</v>
      </c>
    </row>
    <row r="499" spans="2:15" x14ac:dyDescent="0.25">
      <c r="B499" s="7">
        <v>45241</v>
      </c>
      <c r="C499" s="13">
        <v>37138.050000000003</v>
      </c>
      <c r="D499" s="8">
        <v>1932.59997558593</v>
      </c>
      <c r="F499" s="7">
        <v>45241</v>
      </c>
      <c r="G499" s="13">
        <v>37138.050000000003</v>
      </c>
      <c r="H499" s="4">
        <v>37138.050000000003</v>
      </c>
      <c r="I499" s="4">
        <v>37138.050000000003</v>
      </c>
      <c r="J499" s="4">
        <v>1932.59997558593</v>
      </c>
      <c r="K499" s="4">
        <v>1932.59997558593</v>
      </c>
      <c r="L499" s="4">
        <v>1932.59997558593</v>
      </c>
      <c r="M499" s="3">
        <v>70</v>
      </c>
      <c r="N499" s="3">
        <v>70</v>
      </c>
      <c r="O499" s="54">
        <v>70</v>
      </c>
    </row>
    <row r="500" spans="2:15" x14ac:dyDescent="0.25">
      <c r="B500" s="7">
        <v>45242</v>
      </c>
      <c r="C500" s="13">
        <v>37054.519999999997</v>
      </c>
      <c r="D500" s="8">
        <v>1964.19995117187</v>
      </c>
      <c r="F500" s="7">
        <v>45242</v>
      </c>
      <c r="G500" s="13">
        <v>37054.519999999997</v>
      </c>
      <c r="H500" s="4">
        <v>37054.519999999997</v>
      </c>
      <c r="I500" s="4">
        <v>37054.519999999997</v>
      </c>
      <c r="J500" s="4">
        <v>1964.19995117187</v>
      </c>
      <c r="K500" s="4">
        <v>1964.19995117187</v>
      </c>
      <c r="L500" s="4">
        <v>1964.19995117187</v>
      </c>
      <c r="M500" s="3">
        <v>73</v>
      </c>
      <c r="N500" s="3">
        <v>73</v>
      </c>
      <c r="O500" s="54">
        <v>73</v>
      </c>
    </row>
    <row r="501" spans="2:15" x14ac:dyDescent="0.25">
      <c r="B501" s="7">
        <v>45243</v>
      </c>
      <c r="C501" s="13">
        <v>36502.36</v>
      </c>
      <c r="D501" s="8">
        <v>1932.59997558593</v>
      </c>
      <c r="F501" s="7">
        <v>45243</v>
      </c>
      <c r="G501" s="13">
        <v>36502.36</v>
      </c>
      <c r="H501" s="4">
        <v>36502.36</v>
      </c>
      <c r="I501" s="4">
        <v>36502.36</v>
      </c>
      <c r="J501" s="4">
        <v>1932.59997558593</v>
      </c>
      <c r="K501" s="4">
        <v>1932.59997558593</v>
      </c>
      <c r="L501" s="4">
        <v>1932.59997558593</v>
      </c>
      <c r="M501" s="3">
        <v>72</v>
      </c>
      <c r="N501" s="3">
        <v>72</v>
      </c>
      <c r="O501" s="54">
        <v>72</v>
      </c>
    </row>
    <row r="502" spans="2:15" x14ac:dyDescent="0.25">
      <c r="B502" s="7">
        <v>45244</v>
      </c>
      <c r="C502" s="13">
        <v>35537.64</v>
      </c>
      <c r="D502" s="8">
        <v>1945.5</v>
      </c>
      <c r="F502" s="7">
        <v>45244</v>
      </c>
      <c r="G502" s="13">
        <v>35537.64</v>
      </c>
      <c r="H502" s="4">
        <v>35537.64</v>
      </c>
      <c r="I502" s="4">
        <v>35537.64</v>
      </c>
      <c r="J502" s="4">
        <v>1945.5</v>
      </c>
      <c r="K502" s="4">
        <v>1945.5</v>
      </c>
      <c r="L502" s="4">
        <v>1945.5</v>
      </c>
      <c r="M502" s="3">
        <v>69</v>
      </c>
      <c r="N502" s="3">
        <v>69</v>
      </c>
      <c r="O502" s="54">
        <v>69</v>
      </c>
    </row>
    <row r="503" spans="2:15" x14ac:dyDescent="0.25">
      <c r="B503" s="7">
        <v>45245</v>
      </c>
      <c r="C503" s="13">
        <v>37880.58</v>
      </c>
      <c r="D503" s="8">
        <v>1961.80004882812</v>
      </c>
      <c r="F503" s="7">
        <v>45245</v>
      </c>
      <c r="G503" s="13">
        <v>37880.58</v>
      </c>
      <c r="H503" s="4">
        <v>37880.58</v>
      </c>
      <c r="I503" s="4">
        <v>37880.58</v>
      </c>
      <c r="J503" s="4">
        <v>1961.80004882812</v>
      </c>
      <c r="K503" s="4">
        <v>1961.80004882812</v>
      </c>
      <c r="L503" s="4">
        <v>1961.80004882812</v>
      </c>
      <c r="M503" s="3">
        <v>60</v>
      </c>
      <c r="N503" s="3">
        <v>60</v>
      </c>
      <c r="O503" s="54">
        <v>60</v>
      </c>
    </row>
    <row r="504" spans="2:15" x14ac:dyDescent="0.25">
      <c r="B504" s="7">
        <v>45246</v>
      </c>
      <c r="C504" s="13">
        <v>36154.769999999997</v>
      </c>
      <c r="D504" s="8">
        <v>1960.09997558593</v>
      </c>
      <c r="F504" s="7">
        <v>45246</v>
      </c>
      <c r="G504" s="13">
        <v>36154.769999999997</v>
      </c>
      <c r="H504" s="4">
        <v>36154.769999999997</v>
      </c>
      <c r="I504" s="4">
        <v>36154.769999999997</v>
      </c>
      <c r="J504" s="4">
        <v>1960.09997558593</v>
      </c>
      <c r="K504" s="4">
        <v>1960.09997558593</v>
      </c>
      <c r="L504" s="4">
        <v>1960.09997558593</v>
      </c>
      <c r="M504" s="3">
        <v>70</v>
      </c>
      <c r="N504" s="3">
        <v>70</v>
      </c>
      <c r="O504" s="54">
        <v>70</v>
      </c>
    </row>
    <row r="505" spans="2:15" x14ac:dyDescent="0.25">
      <c r="B505" s="7">
        <v>45247</v>
      </c>
      <c r="C505" s="13">
        <v>36596.68</v>
      </c>
      <c r="D505" s="8">
        <v>1983.90002441406</v>
      </c>
      <c r="F505" s="7">
        <v>45247</v>
      </c>
      <c r="G505" s="13">
        <v>36596.68</v>
      </c>
      <c r="H505" s="4">
        <v>36596.68</v>
      </c>
      <c r="I505" s="4">
        <v>36596.68</v>
      </c>
      <c r="J505" s="4">
        <v>1983.90002441406</v>
      </c>
      <c r="K505" s="4">
        <v>1983.90002441406</v>
      </c>
      <c r="L505" s="4">
        <v>1983.90002441406</v>
      </c>
      <c r="M505" s="3">
        <v>63</v>
      </c>
      <c r="N505" s="3">
        <v>63</v>
      </c>
      <c r="O505" s="54">
        <v>63</v>
      </c>
    </row>
    <row r="506" spans="2:15" x14ac:dyDescent="0.25">
      <c r="B506" s="7">
        <v>45248</v>
      </c>
      <c r="C506" s="13">
        <v>36585.699999999997</v>
      </c>
      <c r="D506" s="8">
        <v>1981.59997558593</v>
      </c>
      <c r="F506" s="7">
        <v>45248</v>
      </c>
      <c r="G506" s="13">
        <v>36585.699999999997</v>
      </c>
      <c r="H506" s="4">
        <v>36585.699999999997</v>
      </c>
      <c r="I506" s="4">
        <v>36585.699999999997</v>
      </c>
      <c r="J506" s="4">
        <v>1981.59997558593</v>
      </c>
      <c r="K506" s="4">
        <v>1981.59997558593</v>
      </c>
      <c r="L506" s="4">
        <v>1981.59997558593</v>
      </c>
      <c r="M506" s="3">
        <v>69</v>
      </c>
      <c r="N506" s="3">
        <v>69</v>
      </c>
      <c r="O506" s="54">
        <v>69</v>
      </c>
    </row>
    <row r="507" spans="2:15" x14ac:dyDescent="0.25">
      <c r="B507" s="7">
        <v>45249</v>
      </c>
      <c r="C507" s="13">
        <v>37386.550000000003</v>
      </c>
      <c r="D507" s="8">
        <v>1983.90002441406</v>
      </c>
      <c r="F507" s="7">
        <v>45249</v>
      </c>
      <c r="G507" s="13">
        <v>37386.550000000003</v>
      </c>
      <c r="H507" s="4">
        <v>37386.550000000003</v>
      </c>
      <c r="I507" s="4">
        <v>37386.550000000003</v>
      </c>
      <c r="J507" s="4">
        <v>1983.90002441406</v>
      </c>
      <c r="K507" s="4">
        <v>1983.90002441406</v>
      </c>
      <c r="L507" s="4">
        <v>1983.90002441406</v>
      </c>
      <c r="M507" s="3">
        <v>66</v>
      </c>
      <c r="N507" s="3">
        <v>66</v>
      </c>
      <c r="O507" s="54">
        <v>66</v>
      </c>
    </row>
    <row r="508" spans="2:15" x14ac:dyDescent="0.25">
      <c r="B508" s="7">
        <v>45250</v>
      </c>
      <c r="C508" s="13">
        <v>37476.959999999999</v>
      </c>
      <c r="D508" s="8">
        <v>1981.59997558593</v>
      </c>
      <c r="F508" s="7">
        <v>45250</v>
      </c>
      <c r="G508" s="13">
        <v>37476.959999999999</v>
      </c>
      <c r="H508" s="4">
        <v>37476.959999999999</v>
      </c>
      <c r="I508" s="4">
        <v>37476.959999999999</v>
      </c>
      <c r="J508" s="4">
        <v>1981.59997558593</v>
      </c>
      <c r="K508" s="4">
        <v>1981.59997558593</v>
      </c>
      <c r="L508" s="4">
        <v>1981.59997558593</v>
      </c>
      <c r="M508" s="3">
        <v>69</v>
      </c>
      <c r="N508" s="3">
        <v>69</v>
      </c>
      <c r="O508" s="54">
        <v>69</v>
      </c>
    </row>
    <row r="509" spans="2:15" x14ac:dyDescent="0.25">
      <c r="B509" s="7">
        <v>45251</v>
      </c>
      <c r="C509" s="13">
        <v>35813.81</v>
      </c>
      <c r="D509" s="8">
        <v>1977.69995117187</v>
      </c>
      <c r="F509" s="7">
        <v>45251</v>
      </c>
      <c r="G509" s="13">
        <v>35813.81</v>
      </c>
      <c r="H509" s="4">
        <v>35813.81</v>
      </c>
      <c r="I509" s="4">
        <v>35813.81</v>
      </c>
      <c r="J509" s="4">
        <v>1977.69995117187</v>
      </c>
      <c r="K509" s="4">
        <v>1977.69995117187</v>
      </c>
      <c r="L509" s="4">
        <v>1977.69995117187</v>
      </c>
      <c r="M509" s="3">
        <v>71</v>
      </c>
      <c r="N509" s="3">
        <v>71</v>
      </c>
      <c r="O509" s="54">
        <v>71</v>
      </c>
    </row>
    <row r="510" spans="2:15" x14ac:dyDescent="0.25">
      <c r="B510" s="7">
        <v>45252</v>
      </c>
      <c r="C510" s="13">
        <v>37432.339999999997</v>
      </c>
      <c r="D510" s="8">
        <v>1999.30004882812</v>
      </c>
      <c r="F510" s="7">
        <v>45252</v>
      </c>
      <c r="G510" s="13">
        <v>37432.339999999997</v>
      </c>
      <c r="H510" s="4">
        <v>37432.339999999997</v>
      </c>
      <c r="I510" s="4">
        <v>37432.339999999997</v>
      </c>
      <c r="J510" s="4">
        <v>1999.30004882812</v>
      </c>
      <c r="K510" s="4">
        <v>1999.30004882812</v>
      </c>
      <c r="L510" s="4">
        <v>1999.30004882812</v>
      </c>
      <c r="M510" s="3">
        <v>62</v>
      </c>
      <c r="N510" s="3">
        <v>62</v>
      </c>
      <c r="O510" s="54">
        <v>62</v>
      </c>
    </row>
    <row r="511" spans="2:15" x14ac:dyDescent="0.25">
      <c r="B511" s="7">
        <v>45253</v>
      </c>
      <c r="C511" s="13">
        <v>37289.620000000003</v>
      </c>
      <c r="D511" s="8">
        <v>1991.40002441406</v>
      </c>
      <c r="F511" s="7">
        <v>45253</v>
      </c>
      <c r="G511" s="13">
        <v>37289.620000000003</v>
      </c>
      <c r="H511" s="4">
        <v>37289.620000000003</v>
      </c>
      <c r="I511" s="4">
        <v>37289.620000000003</v>
      </c>
      <c r="J511" s="4">
        <v>1991.40002441406</v>
      </c>
      <c r="K511" s="4">
        <v>1991.40002441406</v>
      </c>
      <c r="L511" s="4">
        <v>1991.40002441406</v>
      </c>
      <c r="M511" s="3">
        <v>66</v>
      </c>
      <c r="N511" s="3">
        <v>66</v>
      </c>
      <c r="O511" s="54">
        <v>66</v>
      </c>
    </row>
    <row r="512" spans="2:15" x14ac:dyDescent="0.25">
      <c r="B512" s="7">
        <v>45254</v>
      </c>
      <c r="C512" s="13">
        <v>37720.28</v>
      </c>
      <c r="D512" s="8">
        <v>1999.30004882812</v>
      </c>
      <c r="F512" s="7">
        <v>45254</v>
      </c>
      <c r="G512" s="13">
        <v>37720.28</v>
      </c>
      <c r="H512" s="4">
        <v>37720.28</v>
      </c>
      <c r="I512" s="4">
        <v>37720.28</v>
      </c>
      <c r="J512" s="4">
        <v>1999.30004882812</v>
      </c>
      <c r="K512" s="4">
        <v>1999.30004882812</v>
      </c>
      <c r="L512" s="4">
        <v>1999.30004882812</v>
      </c>
      <c r="M512" s="3">
        <v>66</v>
      </c>
      <c r="N512" s="3">
        <v>66</v>
      </c>
      <c r="O512" s="54">
        <v>66</v>
      </c>
    </row>
    <row r="513" spans="2:15" x14ac:dyDescent="0.25">
      <c r="B513" s="7">
        <v>45255</v>
      </c>
      <c r="C513" s="13">
        <v>37796.79</v>
      </c>
      <c r="D513" s="8">
        <v>2002.19995117187</v>
      </c>
      <c r="F513" s="7">
        <v>45255</v>
      </c>
      <c r="G513" s="13">
        <v>37796.79</v>
      </c>
      <c r="H513" s="4">
        <v>37796.79</v>
      </c>
      <c r="I513" s="4">
        <v>37796.79</v>
      </c>
      <c r="J513" s="4">
        <v>2002.19995117187</v>
      </c>
      <c r="K513" s="4">
        <v>2002.19995117187</v>
      </c>
      <c r="L513" s="4">
        <v>2002.19995117187</v>
      </c>
      <c r="M513" s="3">
        <v>73</v>
      </c>
      <c r="N513" s="3">
        <v>73</v>
      </c>
      <c r="O513" s="54">
        <v>73</v>
      </c>
    </row>
    <row r="514" spans="2:15" x14ac:dyDescent="0.25">
      <c r="B514" s="7">
        <v>45256</v>
      </c>
      <c r="C514" s="13">
        <v>37479.120000000003</v>
      </c>
      <c r="D514" s="8">
        <v>1999.30004882812</v>
      </c>
      <c r="F514" s="7">
        <v>45256</v>
      </c>
      <c r="G514" s="13">
        <v>37479.120000000003</v>
      </c>
      <c r="H514" s="4">
        <v>37479.120000000003</v>
      </c>
      <c r="I514" s="4">
        <v>37479.120000000003</v>
      </c>
      <c r="J514" s="4">
        <v>1999.30004882812</v>
      </c>
      <c r="K514" s="4">
        <v>1999.30004882812</v>
      </c>
      <c r="L514" s="4">
        <v>1999.30004882812</v>
      </c>
      <c r="M514" s="3">
        <v>73</v>
      </c>
      <c r="N514" s="3">
        <v>73</v>
      </c>
      <c r="O514" s="54">
        <v>73</v>
      </c>
    </row>
    <row r="515" spans="2:15" x14ac:dyDescent="0.25">
      <c r="B515" s="7">
        <v>45257</v>
      </c>
      <c r="C515" s="13">
        <v>37254.17</v>
      </c>
      <c r="D515" s="8">
        <v>2002.19995117187</v>
      </c>
      <c r="F515" s="7">
        <v>45257</v>
      </c>
      <c r="G515" s="13">
        <v>37254.17</v>
      </c>
      <c r="H515" s="4">
        <v>37254.17</v>
      </c>
      <c r="I515" s="4">
        <v>37254.17</v>
      </c>
      <c r="J515" s="4">
        <v>2002.19995117187</v>
      </c>
      <c r="K515" s="4">
        <v>2002.19995117187</v>
      </c>
      <c r="L515" s="4">
        <v>2002.19995117187</v>
      </c>
      <c r="M515" s="3">
        <v>66</v>
      </c>
      <c r="N515" s="3">
        <v>66</v>
      </c>
      <c r="O515" s="54">
        <v>66</v>
      </c>
    </row>
    <row r="516" spans="2:15" x14ac:dyDescent="0.25">
      <c r="B516" s="7">
        <v>45258</v>
      </c>
      <c r="C516" s="13">
        <v>37831.089999999997</v>
      </c>
      <c r="D516" s="8">
        <v>2011.80004882812</v>
      </c>
      <c r="F516" s="7">
        <v>45258</v>
      </c>
      <c r="G516" s="13">
        <v>37831.089999999997</v>
      </c>
      <c r="H516" s="4">
        <v>37831.089999999997</v>
      </c>
      <c r="I516" s="4">
        <v>37831.089999999997</v>
      </c>
      <c r="J516" s="4">
        <v>2011.80004882812</v>
      </c>
      <c r="K516" s="4">
        <v>2011.80004882812</v>
      </c>
      <c r="L516" s="4">
        <v>2011.80004882812</v>
      </c>
      <c r="M516" s="3">
        <v>68</v>
      </c>
      <c r="N516" s="3">
        <v>68</v>
      </c>
      <c r="O516" s="54">
        <v>68</v>
      </c>
    </row>
    <row r="517" spans="2:15" x14ac:dyDescent="0.25">
      <c r="B517" s="7">
        <v>45259</v>
      </c>
      <c r="C517" s="13">
        <v>37858.49</v>
      </c>
      <c r="D517" s="8">
        <v>2039.69995117187</v>
      </c>
      <c r="F517" s="7">
        <v>45259</v>
      </c>
      <c r="G517" s="13">
        <v>37858.49</v>
      </c>
      <c r="H517" s="4">
        <v>37858.49</v>
      </c>
      <c r="I517" s="4">
        <v>37858.49</v>
      </c>
      <c r="J517" s="4">
        <v>2039.69995117187</v>
      </c>
      <c r="K517" s="4">
        <v>2039.69995117187</v>
      </c>
      <c r="L517" s="4">
        <v>2039.69995117187</v>
      </c>
      <c r="M517" s="3">
        <v>72</v>
      </c>
      <c r="N517" s="3">
        <v>72</v>
      </c>
      <c r="O517" s="54">
        <v>72</v>
      </c>
    </row>
    <row r="518" spans="2:15" x14ac:dyDescent="0.25">
      <c r="B518" s="7">
        <v>45260</v>
      </c>
      <c r="C518" s="13">
        <v>37712.75</v>
      </c>
      <c r="D518" s="8">
        <v>2047.09997558593</v>
      </c>
      <c r="F518" s="7">
        <v>45260</v>
      </c>
      <c r="G518" s="13">
        <v>37712.75</v>
      </c>
      <c r="H518" s="4">
        <v>37712.75</v>
      </c>
      <c r="I518" s="4">
        <v>37712.75</v>
      </c>
      <c r="J518" s="4">
        <v>2047.09997558593</v>
      </c>
      <c r="K518" s="4">
        <v>2047.09997558593</v>
      </c>
      <c r="L518" s="4">
        <v>2047.09997558593</v>
      </c>
      <c r="M518" s="3">
        <v>74</v>
      </c>
      <c r="N518" s="3">
        <v>74</v>
      </c>
      <c r="O518" s="54">
        <v>74</v>
      </c>
    </row>
    <row r="519" spans="2:15" x14ac:dyDescent="0.25">
      <c r="B519" s="7">
        <v>45261</v>
      </c>
      <c r="C519" s="13">
        <v>38688.75</v>
      </c>
      <c r="D519" s="8">
        <v>2038.09997558593</v>
      </c>
      <c r="F519" s="7">
        <v>45261</v>
      </c>
      <c r="G519" s="13">
        <v>38688.75</v>
      </c>
      <c r="H519" s="4">
        <v>38688.75</v>
      </c>
      <c r="I519" s="4">
        <v>38688.75</v>
      </c>
      <c r="J519" s="4">
        <v>2038.09997558593</v>
      </c>
      <c r="K519" s="4">
        <v>2038.09997558593</v>
      </c>
      <c r="L519" s="4">
        <v>2038.09997558593</v>
      </c>
      <c r="M519" s="3">
        <v>71</v>
      </c>
      <c r="N519" s="3">
        <v>71</v>
      </c>
      <c r="O519" s="54">
        <v>71</v>
      </c>
    </row>
    <row r="520" spans="2:15" x14ac:dyDescent="0.25">
      <c r="B520" s="7">
        <v>45262</v>
      </c>
      <c r="C520" s="13">
        <v>39476.33</v>
      </c>
      <c r="D520" s="8">
        <v>2071</v>
      </c>
      <c r="F520" s="7">
        <v>45262</v>
      </c>
      <c r="G520" s="13">
        <v>39476.33</v>
      </c>
      <c r="H520" s="4">
        <v>39476.33</v>
      </c>
      <c r="I520" s="4">
        <v>39476.33</v>
      </c>
      <c r="J520" s="4">
        <v>2071</v>
      </c>
      <c r="K520" s="4">
        <v>2071</v>
      </c>
      <c r="L520" s="4">
        <v>2071</v>
      </c>
      <c r="M520" s="3">
        <v>74</v>
      </c>
      <c r="N520" s="3">
        <v>74</v>
      </c>
      <c r="O520" s="54">
        <v>74</v>
      </c>
    </row>
    <row r="521" spans="2:15" x14ac:dyDescent="0.25">
      <c r="B521" s="7">
        <v>45263</v>
      </c>
      <c r="C521" s="13">
        <v>39978.39</v>
      </c>
      <c r="D521" s="8">
        <v>2038.09997558593</v>
      </c>
      <c r="F521" s="7">
        <v>45263</v>
      </c>
      <c r="G521" s="13">
        <v>39978.39</v>
      </c>
      <c r="H521" s="4">
        <v>39978.39</v>
      </c>
      <c r="I521" s="4">
        <v>39978.39</v>
      </c>
      <c r="J521" s="4">
        <v>2038.09997558593</v>
      </c>
      <c r="K521" s="4">
        <v>2038.09997558593</v>
      </c>
      <c r="L521" s="4">
        <v>2038.09997558593</v>
      </c>
      <c r="M521" s="3">
        <v>73</v>
      </c>
      <c r="N521" s="3">
        <v>73</v>
      </c>
      <c r="O521" s="54">
        <v>73</v>
      </c>
    </row>
    <row r="522" spans="2:15" x14ac:dyDescent="0.25">
      <c r="B522" s="7">
        <v>45264</v>
      </c>
      <c r="C522" s="13">
        <v>41980.1</v>
      </c>
      <c r="D522" s="8">
        <v>2071</v>
      </c>
      <c r="F522" s="7">
        <v>45264</v>
      </c>
      <c r="G522" s="13">
        <v>41980.1</v>
      </c>
      <c r="H522" s="4">
        <v>41980.1</v>
      </c>
      <c r="I522" s="4">
        <v>41980.1</v>
      </c>
      <c r="J522" s="4">
        <v>2071</v>
      </c>
      <c r="K522" s="4">
        <v>2071</v>
      </c>
      <c r="L522" s="4">
        <v>2071</v>
      </c>
      <c r="M522" s="3">
        <v>74</v>
      </c>
      <c r="N522" s="3">
        <v>74</v>
      </c>
      <c r="O522" s="54">
        <v>74</v>
      </c>
    </row>
    <row r="523" spans="2:15" x14ac:dyDescent="0.25">
      <c r="B523" s="7">
        <v>45265</v>
      </c>
      <c r="C523" s="13">
        <v>44080.65</v>
      </c>
      <c r="D523" s="8">
        <v>2024.09997558593</v>
      </c>
      <c r="F523" s="7">
        <v>45265</v>
      </c>
      <c r="G523" s="13">
        <v>44080.65</v>
      </c>
      <c r="H523" s="4">
        <v>44080.65</v>
      </c>
      <c r="I523" s="4">
        <v>44080.65</v>
      </c>
      <c r="J523" s="4">
        <v>2024.09997558593</v>
      </c>
      <c r="K523" s="4">
        <v>2024.09997558593</v>
      </c>
      <c r="L523" s="4">
        <v>2024.09997558593</v>
      </c>
      <c r="M523" s="3">
        <v>75</v>
      </c>
      <c r="N523" s="3">
        <v>75</v>
      </c>
      <c r="O523" s="54">
        <v>75</v>
      </c>
    </row>
    <row r="524" spans="2:15" x14ac:dyDescent="0.25">
      <c r="B524" s="7">
        <v>45266</v>
      </c>
      <c r="C524" s="13">
        <v>43746.45</v>
      </c>
      <c r="D524" s="8">
        <v>2018.5</v>
      </c>
      <c r="F524" s="7">
        <v>45266</v>
      </c>
      <c r="G524" s="13">
        <v>43746.45</v>
      </c>
      <c r="H524" s="4">
        <v>43746.45</v>
      </c>
      <c r="I524" s="4">
        <v>43746.45</v>
      </c>
      <c r="J524" s="4">
        <v>2018.5</v>
      </c>
      <c r="K524" s="4">
        <v>2018.5</v>
      </c>
      <c r="L524" s="4">
        <v>2018.5</v>
      </c>
      <c r="M524" s="3">
        <v>72</v>
      </c>
      <c r="N524" s="3">
        <v>72</v>
      </c>
      <c r="O524" s="54">
        <v>72</v>
      </c>
    </row>
    <row r="525" spans="2:15" x14ac:dyDescent="0.25">
      <c r="B525" s="7">
        <v>45267</v>
      </c>
      <c r="C525" s="13">
        <v>43292.66</v>
      </c>
      <c r="D525" s="8">
        <v>2030.5</v>
      </c>
      <c r="F525" s="7">
        <v>45267</v>
      </c>
      <c r="G525" s="13">
        <v>43292.66</v>
      </c>
      <c r="H525" s="4">
        <v>43292.66</v>
      </c>
      <c r="I525" s="4">
        <v>43292.66</v>
      </c>
      <c r="J525" s="4">
        <v>2030.5</v>
      </c>
      <c r="K525" s="4">
        <v>2030.5</v>
      </c>
      <c r="L525" s="4">
        <v>2030.5</v>
      </c>
      <c r="M525" s="3">
        <v>72</v>
      </c>
      <c r="N525" s="3">
        <v>72</v>
      </c>
      <c r="O525" s="54">
        <v>72</v>
      </c>
    </row>
    <row r="526" spans="2:15" x14ac:dyDescent="0.25">
      <c r="B526" s="7">
        <v>45268</v>
      </c>
      <c r="C526" s="13">
        <v>44166.6</v>
      </c>
      <c r="D526" s="8">
        <v>2029.90002441406</v>
      </c>
      <c r="F526" s="7">
        <v>45268</v>
      </c>
      <c r="G526" s="13">
        <v>44166.6</v>
      </c>
      <c r="H526" s="4">
        <v>44166.6</v>
      </c>
      <c r="I526" s="4">
        <v>44166.6</v>
      </c>
      <c r="J526" s="4">
        <v>2029.90002441406</v>
      </c>
      <c r="K526" s="4">
        <v>2029.90002441406</v>
      </c>
      <c r="L526" s="4">
        <v>2029.90002441406</v>
      </c>
      <c r="M526" s="3">
        <v>72</v>
      </c>
      <c r="N526" s="3">
        <v>72</v>
      </c>
      <c r="O526" s="54">
        <v>72</v>
      </c>
    </row>
    <row r="527" spans="2:15" x14ac:dyDescent="0.25">
      <c r="B527" s="7">
        <v>45269</v>
      </c>
      <c r="C527" s="13">
        <v>43725.98</v>
      </c>
      <c r="D527" s="8">
        <v>1998.30004882812</v>
      </c>
      <c r="F527" s="7">
        <v>45269</v>
      </c>
      <c r="G527" s="13">
        <v>43725.98</v>
      </c>
      <c r="H527" s="4">
        <v>43725.98</v>
      </c>
      <c r="I527" s="4">
        <v>43725.98</v>
      </c>
      <c r="J527" s="4">
        <v>1998.30004882812</v>
      </c>
      <c r="K527" s="4">
        <v>1998.30004882812</v>
      </c>
      <c r="L527" s="4">
        <v>1998.30004882812</v>
      </c>
      <c r="M527" s="3">
        <v>73</v>
      </c>
      <c r="N527" s="3">
        <v>73</v>
      </c>
      <c r="O527" s="54">
        <v>73</v>
      </c>
    </row>
    <row r="528" spans="2:15" x14ac:dyDescent="0.25">
      <c r="B528" s="7">
        <v>45270</v>
      </c>
      <c r="C528" s="13">
        <v>43779.7</v>
      </c>
      <c r="D528" s="8">
        <v>2029.90002441406</v>
      </c>
      <c r="F528" s="7">
        <v>45270</v>
      </c>
      <c r="G528" s="13">
        <v>43779.7</v>
      </c>
      <c r="H528" s="4">
        <v>43779.7</v>
      </c>
      <c r="I528" s="4">
        <v>43779.7</v>
      </c>
      <c r="J528" s="4">
        <v>2029.90002441406</v>
      </c>
      <c r="K528" s="4">
        <v>2029.90002441406</v>
      </c>
      <c r="L528" s="4">
        <v>2029.90002441406</v>
      </c>
      <c r="M528" s="3">
        <v>74</v>
      </c>
      <c r="N528" s="3">
        <v>74</v>
      </c>
      <c r="O528" s="54">
        <v>74</v>
      </c>
    </row>
    <row r="529" spans="2:15" x14ac:dyDescent="0.25">
      <c r="B529" s="7">
        <v>45271</v>
      </c>
      <c r="C529" s="13">
        <v>41243.83</v>
      </c>
      <c r="D529" s="8">
        <v>1998.30004882812</v>
      </c>
      <c r="F529" s="7">
        <v>45271</v>
      </c>
      <c r="G529" s="13">
        <v>41243.83</v>
      </c>
      <c r="H529" s="4">
        <v>41243.83</v>
      </c>
      <c r="I529" s="4">
        <v>41243.83</v>
      </c>
      <c r="J529" s="4">
        <v>1998.30004882812</v>
      </c>
      <c r="K529" s="4">
        <v>1998.30004882812</v>
      </c>
      <c r="L529" s="4">
        <v>1998.30004882812</v>
      </c>
      <c r="M529" s="3">
        <v>74</v>
      </c>
      <c r="N529" s="3">
        <v>74</v>
      </c>
      <c r="O529" s="54">
        <v>74</v>
      </c>
    </row>
    <row r="530" spans="2:15" x14ac:dyDescent="0.25">
      <c r="B530" s="7">
        <v>45272</v>
      </c>
      <c r="C530" s="13">
        <v>41450.22</v>
      </c>
      <c r="D530" s="8">
        <v>1978</v>
      </c>
      <c r="F530" s="7">
        <v>45272</v>
      </c>
      <c r="G530" s="13">
        <v>41450.22</v>
      </c>
      <c r="H530" s="4">
        <v>41450.22</v>
      </c>
      <c r="I530" s="4">
        <v>41450.22</v>
      </c>
      <c r="J530" s="4">
        <v>1978</v>
      </c>
      <c r="K530" s="4">
        <v>1978</v>
      </c>
      <c r="L530" s="4">
        <v>1978</v>
      </c>
      <c r="M530" s="3">
        <v>67</v>
      </c>
      <c r="N530" s="3">
        <v>67</v>
      </c>
      <c r="O530" s="54">
        <v>67</v>
      </c>
    </row>
    <row r="531" spans="2:15" x14ac:dyDescent="0.25">
      <c r="B531" s="7">
        <v>45273</v>
      </c>
      <c r="C531" s="13">
        <v>42890.74</v>
      </c>
      <c r="D531" s="8">
        <v>1977.80004882812</v>
      </c>
      <c r="F531" s="7">
        <v>45273</v>
      </c>
      <c r="G531" s="13">
        <v>42890.74</v>
      </c>
      <c r="H531" s="4">
        <v>42890.74</v>
      </c>
      <c r="I531" s="4">
        <v>42890.74</v>
      </c>
      <c r="J531" s="4">
        <v>1977.80004882812</v>
      </c>
      <c r="K531" s="4">
        <v>1977.80004882812</v>
      </c>
      <c r="L531" s="4">
        <v>1977.80004882812</v>
      </c>
      <c r="M531" s="3">
        <v>65</v>
      </c>
      <c r="N531" s="3">
        <v>65</v>
      </c>
      <c r="O531" s="54">
        <v>65</v>
      </c>
    </row>
    <row r="532" spans="2:15" x14ac:dyDescent="0.25">
      <c r="B532" s="7">
        <v>45274</v>
      </c>
      <c r="C532" s="13">
        <v>43023.97</v>
      </c>
      <c r="D532" s="8">
        <v>1982.30004882812</v>
      </c>
      <c r="F532" s="7">
        <v>45274</v>
      </c>
      <c r="G532" s="13">
        <v>43023.97</v>
      </c>
      <c r="H532" s="4">
        <v>43023.97</v>
      </c>
      <c r="I532" s="4">
        <v>43023.97</v>
      </c>
      <c r="J532" s="4">
        <v>1982.30004882812</v>
      </c>
      <c r="K532" s="4">
        <v>1982.30004882812</v>
      </c>
      <c r="L532" s="4">
        <v>1982.30004882812</v>
      </c>
      <c r="M532" s="3">
        <v>72</v>
      </c>
      <c r="N532" s="3">
        <v>72</v>
      </c>
      <c r="O532" s="54">
        <v>72</v>
      </c>
    </row>
    <row r="533" spans="2:15" x14ac:dyDescent="0.25">
      <c r="B533" s="7">
        <v>45275</v>
      </c>
      <c r="C533" s="13">
        <v>41929.760000000002</v>
      </c>
      <c r="D533" s="8">
        <v>2030.19995117187</v>
      </c>
      <c r="F533" s="7">
        <v>45275</v>
      </c>
      <c r="G533" s="13">
        <v>41929.760000000002</v>
      </c>
      <c r="H533" s="4">
        <v>41929.760000000002</v>
      </c>
      <c r="I533" s="4">
        <v>41929.760000000002</v>
      </c>
      <c r="J533" s="4">
        <v>2030.19995117187</v>
      </c>
      <c r="K533" s="4">
        <v>2030.19995117187</v>
      </c>
      <c r="L533" s="4">
        <v>2030.19995117187</v>
      </c>
      <c r="M533" s="3">
        <v>70</v>
      </c>
      <c r="N533" s="3">
        <v>70</v>
      </c>
      <c r="O533" s="54">
        <v>70</v>
      </c>
    </row>
    <row r="534" spans="2:15" x14ac:dyDescent="0.25">
      <c r="B534" s="7">
        <v>45276</v>
      </c>
      <c r="C534" s="13">
        <v>42240.12</v>
      </c>
      <c r="D534" s="8">
        <v>2021.09997558593</v>
      </c>
      <c r="F534" s="7">
        <v>45276</v>
      </c>
      <c r="G534" s="13">
        <v>42240.12</v>
      </c>
      <c r="H534" s="4">
        <v>42240.12</v>
      </c>
      <c r="I534" s="4">
        <v>42240.12</v>
      </c>
      <c r="J534" s="4">
        <v>2021.09997558593</v>
      </c>
      <c r="K534" s="4">
        <v>2021.09997558593</v>
      </c>
      <c r="L534" s="4">
        <v>2021.09997558593</v>
      </c>
      <c r="M534" s="3">
        <v>67</v>
      </c>
      <c r="N534" s="3">
        <v>67</v>
      </c>
      <c r="O534" s="54">
        <v>67</v>
      </c>
    </row>
    <row r="535" spans="2:15" x14ac:dyDescent="0.25">
      <c r="B535" s="7">
        <v>45277</v>
      </c>
      <c r="C535" s="13">
        <v>41364.660000000003</v>
      </c>
      <c r="D535" s="8">
        <v>2030.19995117187</v>
      </c>
      <c r="F535" s="7">
        <v>45277</v>
      </c>
      <c r="G535" s="13">
        <v>41364.660000000003</v>
      </c>
      <c r="H535" s="4">
        <v>41364.660000000003</v>
      </c>
      <c r="I535" s="4">
        <v>41364.660000000003</v>
      </c>
      <c r="J535" s="4">
        <v>2030.19995117187</v>
      </c>
      <c r="K535" s="4">
        <v>2030.19995117187</v>
      </c>
      <c r="L535" s="4">
        <v>2030.19995117187</v>
      </c>
      <c r="M535" s="3">
        <v>73</v>
      </c>
      <c r="N535" s="3">
        <v>73</v>
      </c>
      <c r="O535" s="54">
        <v>73</v>
      </c>
    </row>
    <row r="536" spans="2:15" x14ac:dyDescent="0.25">
      <c r="B536" s="7">
        <v>45278</v>
      </c>
      <c r="C536" s="13">
        <v>42623.54</v>
      </c>
      <c r="D536" s="8">
        <v>2021.09997558593</v>
      </c>
      <c r="F536" s="7">
        <v>45278</v>
      </c>
      <c r="G536" s="13">
        <v>42623.54</v>
      </c>
      <c r="H536" s="4">
        <v>42623.54</v>
      </c>
      <c r="I536" s="4">
        <v>42623.54</v>
      </c>
      <c r="J536" s="4">
        <v>2021.09997558593</v>
      </c>
      <c r="K536" s="4">
        <v>2021.09997558593</v>
      </c>
      <c r="L536" s="4">
        <v>2021.09997558593</v>
      </c>
      <c r="M536" s="3">
        <v>65</v>
      </c>
      <c r="N536" s="3">
        <v>65</v>
      </c>
      <c r="O536" s="54">
        <v>65</v>
      </c>
    </row>
    <row r="537" spans="2:15" x14ac:dyDescent="0.25">
      <c r="B537" s="7">
        <v>45279</v>
      </c>
      <c r="C537" s="13">
        <v>42270.53</v>
      </c>
      <c r="D537" s="8">
        <v>2026.30004882812</v>
      </c>
      <c r="F537" s="7">
        <v>45279</v>
      </c>
      <c r="G537" s="13">
        <v>42270.53</v>
      </c>
      <c r="H537" s="4">
        <v>42270.53</v>
      </c>
      <c r="I537" s="4">
        <v>42270.53</v>
      </c>
      <c r="J537" s="4">
        <v>2026.30004882812</v>
      </c>
      <c r="K537" s="4">
        <v>2026.30004882812</v>
      </c>
      <c r="L537" s="4">
        <v>2026.30004882812</v>
      </c>
      <c r="M537" s="3">
        <v>73</v>
      </c>
      <c r="N537" s="3">
        <v>73</v>
      </c>
      <c r="O537" s="54">
        <v>73</v>
      </c>
    </row>
    <row r="538" spans="2:15" x14ac:dyDescent="0.25">
      <c r="B538" s="7">
        <v>45280</v>
      </c>
      <c r="C538" s="13">
        <v>43652.25</v>
      </c>
      <c r="D538" s="8">
        <v>2038.40002441406</v>
      </c>
      <c r="F538" s="7">
        <v>45280</v>
      </c>
      <c r="G538" s="13">
        <v>43652.25</v>
      </c>
      <c r="H538" s="4">
        <v>43652.25</v>
      </c>
      <c r="I538" s="4">
        <v>43652.25</v>
      </c>
      <c r="J538" s="4">
        <v>2038.40002441406</v>
      </c>
      <c r="K538" s="4">
        <v>2038.40002441406</v>
      </c>
      <c r="L538" s="4">
        <v>2038.40002441406</v>
      </c>
      <c r="M538" s="3">
        <v>74</v>
      </c>
      <c r="N538" s="3">
        <v>74</v>
      </c>
      <c r="O538" s="54">
        <v>74</v>
      </c>
    </row>
    <row r="539" spans="2:15" x14ac:dyDescent="0.25">
      <c r="B539" s="7">
        <v>45281</v>
      </c>
      <c r="C539" s="13">
        <v>43869.15</v>
      </c>
      <c r="D539" s="8">
        <v>2034.5</v>
      </c>
      <c r="F539" s="7">
        <v>45281</v>
      </c>
      <c r="G539" s="13">
        <v>43869.15</v>
      </c>
      <c r="H539" s="4">
        <v>43869.15</v>
      </c>
      <c r="I539" s="4">
        <v>43869.15</v>
      </c>
      <c r="J539" s="4">
        <v>2034.5</v>
      </c>
      <c r="K539" s="4">
        <v>2034.5</v>
      </c>
      <c r="L539" s="4">
        <v>2034.5</v>
      </c>
      <c r="M539" s="3">
        <v>70</v>
      </c>
      <c r="N539" s="3">
        <v>70</v>
      </c>
      <c r="O539" s="54">
        <v>70</v>
      </c>
    </row>
    <row r="540" spans="2:15" x14ac:dyDescent="0.25">
      <c r="B540" s="7">
        <v>45282</v>
      </c>
      <c r="C540" s="13">
        <v>43997.9</v>
      </c>
      <c r="D540" s="8">
        <v>2039.09997558593</v>
      </c>
      <c r="F540" s="7">
        <v>45282</v>
      </c>
      <c r="G540" s="13">
        <v>43997.9</v>
      </c>
      <c r="H540" s="4">
        <v>43997.9</v>
      </c>
      <c r="I540" s="4">
        <v>43997.9</v>
      </c>
      <c r="J540" s="4">
        <v>2039.09997558593</v>
      </c>
      <c r="K540" s="4">
        <v>2039.09997558593</v>
      </c>
      <c r="L540" s="4">
        <v>2039.09997558593</v>
      </c>
      <c r="M540" s="3">
        <v>74</v>
      </c>
      <c r="N540" s="3">
        <v>74</v>
      </c>
      <c r="O540" s="54">
        <v>74</v>
      </c>
    </row>
    <row r="541" spans="2:15" x14ac:dyDescent="0.25">
      <c r="B541" s="7">
        <v>45283</v>
      </c>
      <c r="C541" s="13">
        <v>43739.54</v>
      </c>
      <c r="D541" s="8">
        <v>2057.10009765625</v>
      </c>
      <c r="F541" s="7">
        <v>45283</v>
      </c>
      <c r="G541" s="13">
        <v>43739.54</v>
      </c>
      <c r="H541" s="4">
        <v>43739.54</v>
      </c>
      <c r="I541" s="4">
        <v>43739.54</v>
      </c>
      <c r="J541" s="4">
        <v>2057.10009765625</v>
      </c>
      <c r="K541" s="4">
        <v>2057.10009765625</v>
      </c>
      <c r="L541" s="4">
        <v>2057.10009765625</v>
      </c>
      <c r="M541" s="3">
        <v>70</v>
      </c>
      <c r="N541" s="3">
        <v>70</v>
      </c>
      <c r="O541" s="54">
        <v>70</v>
      </c>
    </row>
    <row r="542" spans="2:15" x14ac:dyDescent="0.25">
      <c r="B542" s="7">
        <v>45284</v>
      </c>
      <c r="C542" s="13">
        <v>43016.12</v>
      </c>
      <c r="D542" s="8">
        <v>2039.09997558593</v>
      </c>
      <c r="F542" s="7">
        <v>45284</v>
      </c>
      <c r="G542" s="13">
        <v>43016.12</v>
      </c>
      <c r="H542" s="4">
        <v>43016.12</v>
      </c>
      <c r="I542" s="4">
        <v>43016.12</v>
      </c>
      <c r="J542" s="4">
        <v>2039.09997558593</v>
      </c>
      <c r="K542" s="4">
        <v>2039.09997558593</v>
      </c>
      <c r="L542" s="4">
        <v>2039.09997558593</v>
      </c>
      <c r="M542" s="3">
        <v>71</v>
      </c>
      <c r="N542" s="3">
        <v>71</v>
      </c>
      <c r="O542" s="54">
        <v>71</v>
      </c>
    </row>
    <row r="543" spans="2:15" x14ac:dyDescent="0.25">
      <c r="B543" s="7">
        <v>45285</v>
      </c>
      <c r="C543" s="13">
        <v>43613.14</v>
      </c>
      <c r="D543" s="8">
        <v>2057.10009765625</v>
      </c>
      <c r="F543" s="7">
        <v>45285</v>
      </c>
      <c r="G543" s="13">
        <v>43613.14</v>
      </c>
      <c r="H543" s="4">
        <v>43613.14</v>
      </c>
      <c r="I543" s="4">
        <v>43613.14</v>
      </c>
      <c r="J543" s="4">
        <v>2057.10009765625</v>
      </c>
      <c r="K543" s="4">
        <v>2057.10009765625</v>
      </c>
      <c r="L543" s="4">
        <v>2057.10009765625</v>
      </c>
      <c r="M543" s="3">
        <v>73</v>
      </c>
      <c r="N543" s="3">
        <v>73</v>
      </c>
      <c r="O543" s="54">
        <v>73</v>
      </c>
    </row>
    <row r="544" spans="2:15" x14ac:dyDescent="0.25">
      <c r="B544" s="7">
        <v>45286</v>
      </c>
      <c r="C544" s="13">
        <v>42520.4</v>
      </c>
      <c r="D544" s="8">
        <v>2039.09997558593</v>
      </c>
      <c r="F544" s="7">
        <v>45286</v>
      </c>
      <c r="G544" s="13">
        <v>42520.4</v>
      </c>
      <c r="H544" s="4">
        <v>42520.4</v>
      </c>
      <c r="I544" s="4">
        <v>42520.4</v>
      </c>
      <c r="J544" s="4">
        <v>2039.09997558593</v>
      </c>
      <c r="K544" s="4">
        <v>2039.09997558593</v>
      </c>
      <c r="L544" s="4">
        <v>2039.09997558593</v>
      </c>
      <c r="M544" s="3">
        <v>71</v>
      </c>
      <c r="N544" s="3">
        <v>71</v>
      </c>
      <c r="O544" s="54">
        <v>71</v>
      </c>
    </row>
    <row r="545" spans="2:15" x14ac:dyDescent="0.25">
      <c r="B545" s="7">
        <v>45287</v>
      </c>
      <c r="C545" s="13">
        <v>43442.86</v>
      </c>
      <c r="D545" s="8">
        <v>2058.19995117187</v>
      </c>
      <c r="F545" s="7">
        <v>45287</v>
      </c>
      <c r="G545" s="13">
        <v>43442.86</v>
      </c>
      <c r="H545" s="4">
        <v>43442.86</v>
      </c>
      <c r="I545" s="4">
        <v>43442.86</v>
      </c>
      <c r="J545" s="4">
        <v>2058.19995117187</v>
      </c>
      <c r="K545" s="4">
        <v>2058.19995117187</v>
      </c>
      <c r="L545" s="4">
        <v>2058.19995117187</v>
      </c>
      <c r="M545" s="3">
        <v>73</v>
      </c>
      <c r="N545" s="3">
        <v>73</v>
      </c>
      <c r="O545" s="54">
        <v>73</v>
      </c>
    </row>
    <row r="546" spans="2:15" x14ac:dyDescent="0.25">
      <c r="B546" s="7">
        <v>45288</v>
      </c>
      <c r="C546" s="13">
        <v>42627.86</v>
      </c>
      <c r="D546" s="8">
        <v>2081.89990234375</v>
      </c>
      <c r="F546" s="7">
        <v>45288</v>
      </c>
      <c r="G546" s="13">
        <v>42627.86</v>
      </c>
      <c r="H546" s="4">
        <v>42627.86</v>
      </c>
      <c r="I546" s="4">
        <v>42627.86</v>
      </c>
      <c r="J546" s="4">
        <v>2081.89990234375</v>
      </c>
      <c r="K546" s="4">
        <v>2081.89990234375</v>
      </c>
      <c r="L546" s="4">
        <v>2081.89990234375</v>
      </c>
      <c r="M546" s="3">
        <v>73</v>
      </c>
      <c r="N546" s="3">
        <v>73</v>
      </c>
      <c r="O546" s="54">
        <v>73</v>
      </c>
    </row>
    <row r="547" spans="2:15" x14ac:dyDescent="0.25">
      <c r="B547" s="7">
        <v>45289</v>
      </c>
      <c r="C547" s="13">
        <v>42099.4</v>
      </c>
      <c r="D547" s="8">
        <v>2073.89990234375</v>
      </c>
      <c r="F547" s="7">
        <v>45289</v>
      </c>
      <c r="G547" s="13">
        <v>42099.4</v>
      </c>
      <c r="H547" s="4">
        <v>42099.4</v>
      </c>
      <c r="I547" s="4">
        <v>42099.4</v>
      </c>
      <c r="J547" s="4">
        <v>2073.89990234375</v>
      </c>
      <c r="K547" s="4">
        <v>2073.89990234375</v>
      </c>
      <c r="L547" s="4">
        <v>2073.89990234375</v>
      </c>
      <c r="M547" s="3">
        <v>65</v>
      </c>
      <c r="N547" s="3">
        <v>65</v>
      </c>
      <c r="O547" s="54">
        <v>65</v>
      </c>
    </row>
    <row r="548" spans="2:15" x14ac:dyDescent="0.25">
      <c r="B548" s="7">
        <v>45290</v>
      </c>
      <c r="C548" s="13">
        <v>42156.9</v>
      </c>
      <c r="D548" s="8">
        <v>2062.39990234375</v>
      </c>
      <c r="F548" s="7">
        <v>45290</v>
      </c>
      <c r="G548" s="13">
        <v>42156.9</v>
      </c>
      <c r="H548" s="4">
        <v>42156.9</v>
      </c>
      <c r="I548" s="4">
        <v>42156.9</v>
      </c>
      <c r="J548" s="4">
        <v>2062.39990234375</v>
      </c>
      <c r="K548" s="4">
        <v>2062.39990234375</v>
      </c>
      <c r="L548" s="4">
        <v>2062.39990234375</v>
      </c>
      <c r="M548" s="3">
        <v>68</v>
      </c>
      <c r="N548" s="3">
        <v>68</v>
      </c>
      <c r="O548" s="54">
        <v>68</v>
      </c>
    </row>
    <row r="549" spans="2:15" x14ac:dyDescent="0.25">
      <c r="B549" s="7">
        <v>45291</v>
      </c>
      <c r="C549" s="13">
        <v>42265.19</v>
      </c>
      <c r="D549" s="8">
        <v>2073.89990234375</v>
      </c>
      <c r="F549" s="7">
        <v>45291</v>
      </c>
      <c r="G549" s="13">
        <v>42265.19</v>
      </c>
      <c r="H549" s="4">
        <v>42265.19</v>
      </c>
      <c r="I549" s="4">
        <v>42265.19</v>
      </c>
      <c r="J549" s="4">
        <v>2073.89990234375</v>
      </c>
      <c r="K549" s="4">
        <v>2073.89990234375</v>
      </c>
      <c r="L549" s="4">
        <v>2073.89990234375</v>
      </c>
      <c r="M549" s="3">
        <v>67</v>
      </c>
      <c r="N549" s="3">
        <v>67</v>
      </c>
      <c r="O549" s="54">
        <v>67</v>
      </c>
    </row>
    <row r="550" spans="2:15" x14ac:dyDescent="0.25">
      <c r="B550" s="7">
        <v>45292</v>
      </c>
      <c r="C550" s="13">
        <v>44167.33</v>
      </c>
      <c r="D550" s="8">
        <v>2062.39990234375</v>
      </c>
      <c r="F550" s="7">
        <v>45292</v>
      </c>
      <c r="G550" s="13">
        <v>44167.33</v>
      </c>
      <c r="H550" s="4">
        <v>44167.33</v>
      </c>
      <c r="I550" s="4">
        <v>44167.33</v>
      </c>
      <c r="J550" s="4">
        <v>2062.39990234375</v>
      </c>
      <c r="K550" s="4">
        <v>2062.39990234375</v>
      </c>
      <c r="L550" s="4">
        <v>2062.39990234375</v>
      </c>
      <c r="M550" s="3">
        <v>65</v>
      </c>
      <c r="N550" s="3">
        <v>65</v>
      </c>
      <c r="O550" s="54">
        <v>65</v>
      </c>
    </row>
    <row r="551" spans="2:15" x14ac:dyDescent="0.25">
      <c r="B551" s="7">
        <v>45293</v>
      </c>
      <c r="C551" s="13">
        <v>44957.97</v>
      </c>
      <c r="D551" s="8">
        <v>2073.89990234375</v>
      </c>
      <c r="F551" s="7">
        <v>45293</v>
      </c>
      <c r="G551" s="13">
        <v>44957.97</v>
      </c>
      <c r="H551" s="4">
        <v>44957.97</v>
      </c>
      <c r="I551" s="4">
        <v>44957.97</v>
      </c>
      <c r="J551" s="4">
        <v>2073.89990234375</v>
      </c>
      <c r="K551" s="4">
        <v>2073.89990234375</v>
      </c>
      <c r="L551" s="4">
        <v>2073.89990234375</v>
      </c>
      <c r="M551" s="3">
        <v>71</v>
      </c>
      <c r="N551" s="3">
        <v>71</v>
      </c>
      <c r="O551" s="54">
        <v>71</v>
      </c>
    </row>
    <row r="552" spans="2:15" x14ac:dyDescent="0.25">
      <c r="B552" s="7">
        <v>45294</v>
      </c>
      <c r="C552" s="13">
        <v>42848.18</v>
      </c>
      <c r="D552" s="8">
        <v>2064.39990234375</v>
      </c>
      <c r="F552" s="7">
        <v>45294</v>
      </c>
      <c r="G552" s="13">
        <v>42848.18</v>
      </c>
      <c r="H552" s="4">
        <v>42848.18</v>
      </c>
      <c r="I552" s="4">
        <v>42848.18</v>
      </c>
      <c r="J552" s="4">
        <v>2064.39990234375</v>
      </c>
      <c r="K552" s="4">
        <v>2064.39990234375</v>
      </c>
      <c r="L552" s="4">
        <v>2064.39990234375</v>
      </c>
      <c r="M552" s="3">
        <v>70</v>
      </c>
      <c r="N552" s="3">
        <v>70</v>
      </c>
      <c r="O552" s="54">
        <v>70</v>
      </c>
    </row>
    <row r="553" spans="2:15" x14ac:dyDescent="0.25">
      <c r="B553" s="7">
        <v>45295</v>
      </c>
      <c r="C553" s="13">
        <v>44179.92</v>
      </c>
      <c r="D553" s="8">
        <v>2034.19995117187</v>
      </c>
      <c r="F553" s="7">
        <v>45295</v>
      </c>
      <c r="G553" s="13">
        <v>44179.92</v>
      </c>
      <c r="H553" s="4">
        <v>44179.92</v>
      </c>
      <c r="I553" s="4">
        <v>44179.92</v>
      </c>
      <c r="J553" s="4">
        <v>2034.19995117187</v>
      </c>
      <c r="K553" s="4">
        <v>2034.19995117187</v>
      </c>
      <c r="L553" s="4">
        <v>2034.19995117187</v>
      </c>
      <c r="M553" s="3">
        <v>68</v>
      </c>
      <c r="N553" s="3">
        <v>68</v>
      </c>
      <c r="O553" s="54">
        <v>68</v>
      </c>
    </row>
    <row r="554" spans="2:15" x14ac:dyDescent="0.25">
      <c r="B554" s="7">
        <v>45296</v>
      </c>
      <c r="C554" s="13">
        <v>44162.69</v>
      </c>
      <c r="D554" s="8">
        <v>2042.30004882812</v>
      </c>
      <c r="F554" s="7">
        <v>45296</v>
      </c>
      <c r="G554" s="13">
        <v>44162.69</v>
      </c>
      <c r="H554" s="4">
        <v>44162.69</v>
      </c>
      <c r="I554" s="4">
        <v>44162.69</v>
      </c>
      <c r="J554" s="4">
        <v>2042.30004882812</v>
      </c>
      <c r="K554" s="4">
        <v>2042.30004882812</v>
      </c>
      <c r="L554" s="4">
        <v>2042.30004882812</v>
      </c>
      <c r="M554" s="3">
        <v>72</v>
      </c>
      <c r="N554" s="3">
        <v>72</v>
      </c>
      <c r="O554" s="54">
        <v>72</v>
      </c>
    </row>
    <row r="555" spans="2:15" x14ac:dyDescent="0.25">
      <c r="B555" s="7">
        <v>45297</v>
      </c>
      <c r="C555" s="13">
        <v>43989.2</v>
      </c>
      <c r="D555" s="8">
        <v>2042.40002441406</v>
      </c>
      <c r="F555" s="7">
        <v>45297</v>
      </c>
      <c r="G555" s="13">
        <v>43989.2</v>
      </c>
      <c r="H555" s="4">
        <v>43989.2</v>
      </c>
      <c r="I555" s="4">
        <v>43989.2</v>
      </c>
      <c r="J555" s="4">
        <v>2042.40002441406</v>
      </c>
      <c r="K555" s="4">
        <v>2042.40002441406</v>
      </c>
      <c r="L555" s="4">
        <v>2042.40002441406</v>
      </c>
      <c r="M555" s="3">
        <v>70</v>
      </c>
      <c r="N555" s="3">
        <v>70</v>
      </c>
      <c r="O555" s="54">
        <v>70</v>
      </c>
    </row>
    <row r="556" spans="2:15" x14ac:dyDescent="0.25">
      <c r="B556" s="7">
        <v>45298</v>
      </c>
      <c r="C556" s="13">
        <v>43943.1</v>
      </c>
      <c r="D556" s="8">
        <v>2042.30004882812</v>
      </c>
      <c r="F556" s="7">
        <v>45298</v>
      </c>
      <c r="G556" s="13">
        <v>43943.1</v>
      </c>
      <c r="H556" s="4">
        <v>43943.1</v>
      </c>
      <c r="I556" s="4">
        <v>43943.1</v>
      </c>
      <c r="J556" s="4">
        <v>2042.30004882812</v>
      </c>
      <c r="K556" s="4">
        <v>2042.30004882812</v>
      </c>
      <c r="L556" s="4">
        <v>2042.30004882812</v>
      </c>
      <c r="M556" s="3">
        <v>71</v>
      </c>
      <c r="N556" s="3">
        <v>71</v>
      </c>
      <c r="O556" s="54">
        <v>71</v>
      </c>
    </row>
    <row r="557" spans="2:15" x14ac:dyDescent="0.25">
      <c r="B557" s="7">
        <v>45299</v>
      </c>
      <c r="C557" s="13">
        <v>46970.5</v>
      </c>
      <c r="D557" s="8">
        <v>2042.40002441406</v>
      </c>
      <c r="F557" s="7">
        <v>45299</v>
      </c>
      <c r="G557" s="13">
        <v>46970.5</v>
      </c>
      <c r="H557" s="4">
        <v>46970.5</v>
      </c>
      <c r="I557" s="4">
        <v>46970.5</v>
      </c>
      <c r="J557" s="4">
        <v>2042.40002441406</v>
      </c>
      <c r="K557" s="4">
        <v>2042.40002441406</v>
      </c>
      <c r="L557" s="4">
        <v>2042.40002441406</v>
      </c>
      <c r="M557" s="3">
        <v>71</v>
      </c>
      <c r="N557" s="3">
        <v>71</v>
      </c>
      <c r="O557" s="54">
        <v>71</v>
      </c>
    </row>
    <row r="558" spans="2:15" x14ac:dyDescent="0.25">
      <c r="B558" s="7">
        <v>45300</v>
      </c>
      <c r="C558" s="13">
        <v>46139.73</v>
      </c>
      <c r="D558" s="8">
        <v>2026.59997558593</v>
      </c>
      <c r="F558" s="7">
        <v>45300</v>
      </c>
      <c r="G558" s="13">
        <v>46139.73</v>
      </c>
      <c r="H558" s="4">
        <v>46139.73</v>
      </c>
      <c r="I558" s="4">
        <v>46139.73</v>
      </c>
      <c r="J558" s="4">
        <v>2026.59997558593</v>
      </c>
      <c r="K558" s="4">
        <v>2026.59997558593</v>
      </c>
      <c r="L558" s="4">
        <v>2026.59997558593</v>
      </c>
      <c r="M558" s="3">
        <v>76</v>
      </c>
      <c r="N558" s="3">
        <v>76</v>
      </c>
      <c r="O558" s="54">
        <v>76</v>
      </c>
    </row>
    <row r="559" spans="2:15" x14ac:dyDescent="0.25">
      <c r="B559" s="7">
        <v>45301</v>
      </c>
      <c r="C559" s="13">
        <v>46627.78</v>
      </c>
      <c r="D559" s="8">
        <v>2026.40002441406</v>
      </c>
      <c r="F559" s="7">
        <v>45301</v>
      </c>
      <c r="G559" s="13">
        <v>46627.78</v>
      </c>
      <c r="H559" s="4">
        <v>46627.78</v>
      </c>
      <c r="I559" s="4">
        <v>46627.78</v>
      </c>
      <c r="J559" s="4">
        <v>2026.40002441406</v>
      </c>
      <c r="K559" s="4">
        <v>2026.40002441406</v>
      </c>
      <c r="L559" s="4">
        <v>2026.40002441406</v>
      </c>
      <c r="M559" s="3">
        <v>73</v>
      </c>
      <c r="N559" s="3">
        <v>73</v>
      </c>
      <c r="O559" s="54">
        <v>73</v>
      </c>
    </row>
    <row r="560" spans="2:15" x14ac:dyDescent="0.25">
      <c r="B560" s="7">
        <v>45302</v>
      </c>
      <c r="C560" s="13">
        <v>46368.59</v>
      </c>
      <c r="D560" s="8">
        <v>2021.69995117187</v>
      </c>
      <c r="F560" s="7">
        <v>45302</v>
      </c>
      <c r="G560" s="13">
        <v>46368.59</v>
      </c>
      <c r="H560" s="4">
        <v>46368.59</v>
      </c>
      <c r="I560" s="4">
        <v>46368.59</v>
      </c>
      <c r="J560" s="4">
        <v>2021.69995117187</v>
      </c>
      <c r="K560" s="4">
        <v>2021.69995117187</v>
      </c>
      <c r="L560" s="4">
        <v>2021.69995117187</v>
      </c>
      <c r="M560" s="3">
        <v>76</v>
      </c>
      <c r="N560" s="3">
        <v>76</v>
      </c>
      <c r="O560" s="54">
        <v>76</v>
      </c>
    </row>
    <row r="561" spans="2:15" x14ac:dyDescent="0.25">
      <c r="B561" s="7">
        <v>45303</v>
      </c>
      <c r="C561" s="13">
        <v>42853.17</v>
      </c>
      <c r="D561" s="8">
        <v>2014.30004882812</v>
      </c>
      <c r="F561" s="7">
        <v>45303</v>
      </c>
      <c r="G561" s="13">
        <v>42853.17</v>
      </c>
      <c r="H561" s="4">
        <v>42853.17</v>
      </c>
      <c r="I561" s="4">
        <v>42853.17</v>
      </c>
      <c r="J561" s="4">
        <v>2014.30004882812</v>
      </c>
      <c r="K561" s="4">
        <v>2014.30004882812</v>
      </c>
      <c r="L561" s="4">
        <v>2014.30004882812</v>
      </c>
      <c r="M561" s="3">
        <v>71</v>
      </c>
      <c r="N561" s="3">
        <v>71</v>
      </c>
      <c r="O561" s="54">
        <v>71</v>
      </c>
    </row>
    <row r="562" spans="2:15" x14ac:dyDescent="0.25">
      <c r="B562" s="7">
        <v>45304</v>
      </c>
      <c r="C562" s="13">
        <v>42842.38</v>
      </c>
      <c r="D562" s="8">
        <v>2046.69995117187</v>
      </c>
      <c r="F562" s="7">
        <v>45304</v>
      </c>
      <c r="G562" s="13">
        <v>42842.38</v>
      </c>
      <c r="H562" s="4">
        <v>42842.38</v>
      </c>
      <c r="I562" s="4">
        <v>42842.38</v>
      </c>
      <c r="J562" s="4">
        <v>2046.69995117187</v>
      </c>
      <c r="K562" s="4">
        <v>2046.69995117187</v>
      </c>
      <c r="L562" s="4">
        <v>2046.69995117187</v>
      </c>
      <c r="M562" s="3">
        <v>64</v>
      </c>
      <c r="N562" s="3">
        <v>64</v>
      </c>
      <c r="O562" s="54">
        <v>64</v>
      </c>
    </row>
    <row r="563" spans="2:15" x14ac:dyDescent="0.25">
      <c r="B563" s="7">
        <v>45305</v>
      </c>
      <c r="C563" s="13">
        <v>41796.269999999997</v>
      </c>
      <c r="D563" s="8">
        <v>2014.30004882812</v>
      </c>
      <c r="F563" s="7">
        <v>45305</v>
      </c>
      <c r="G563" s="13">
        <v>41796.269999999997</v>
      </c>
      <c r="H563" s="4">
        <v>41796.269999999997</v>
      </c>
      <c r="I563" s="4">
        <v>41796.269999999997</v>
      </c>
      <c r="J563" s="4">
        <v>2014.30004882812</v>
      </c>
      <c r="K563" s="4">
        <v>2014.30004882812</v>
      </c>
      <c r="L563" s="4">
        <v>2014.30004882812</v>
      </c>
      <c r="M563" s="3">
        <v>60</v>
      </c>
      <c r="N563" s="3">
        <v>60</v>
      </c>
      <c r="O563" s="54">
        <v>60</v>
      </c>
    </row>
    <row r="564" spans="2:15" x14ac:dyDescent="0.25">
      <c r="B564" s="7">
        <v>45306</v>
      </c>
      <c r="C564" s="13">
        <v>42511.97</v>
      </c>
      <c r="D564" s="8">
        <v>2046.69995117187</v>
      </c>
      <c r="F564" s="7">
        <v>45306</v>
      </c>
      <c r="G564" s="13">
        <v>42511.97</v>
      </c>
      <c r="H564" s="4">
        <v>42511.97</v>
      </c>
      <c r="I564" s="4">
        <v>42511.97</v>
      </c>
      <c r="J564" s="4">
        <v>2046.69995117187</v>
      </c>
      <c r="K564" s="4">
        <v>2046.69995117187</v>
      </c>
      <c r="L564" s="4">
        <v>2046.69995117187</v>
      </c>
      <c r="M564" s="3">
        <v>52</v>
      </c>
      <c r="N564" s="3">
        <v>52</v>
      </c>
      <c r="O564" s="54">
        <v>52</v>
      </c>
    </row>
    <row r="565" spans="2:15" x14ac:dyDescent="0.25">
      <c r="B565" s="7">
        <v>45307</v>
      </c>
      <c r="C565" s="13">
        <v>43154.95</v>
      </c>
      <c r="D565" s="8">
        <v>2014.30004882812</v>
      </c>
      <c r="F565" s="7">
        <v>45307</v>
      </c>
      <c r="G565" s="13">
        <v>43154.95</v>
      </c>
      <c r="H565" s="4">
        <v>43154.95</v>
      </c>
      <c r="I565" s="4">
        <v>43154.95</v>
      </c>
      <c r="J565" s="4">
        <v>2014.30004882812</v>
      </c>
      <c r="K565" s="4">
        <v>2014.30004882812</v>
      </c>
      <c r="L565" s="4">
        <v>2014.30004882812</v>
      </c>
      <c r="M565" s="3">
        <v>64</v>
      </c>
      <c r="N565" s="3">
        <v>64</v>
      </c>
      <c r="O565" s="54">
        <v>64</v>
      </c>
    </row>
    <row r="566" spans="2:15" x14ac:dyDescent="0.25">
      <c r="B566" s="7">
        <v>45308</v>
      </c>
      <c r="C566" s="13">
        <v>42742.65</v>
      </c>
      <c r="D566" s="8">
        <v>2026</v>
      </c>
      <c r="F566" s="7">
        <v>45308</v>
      </c>
      <c r="G566" s="13">
        <v>42742.65</v>
      </c>
      <c r="H566" s="4">
        <v>42742.65</v>
      </c>
      <c r="I566" s="4">
        <v>42742.65</v>
      </c>
      <c r="J566" s="4">
        <v>2026</v>
      </c>
      <c r="K566" s="4">
        <v>2026</v>
      </c>
      <c r="L566" s="4">
        <v>2026</v>
      </c>
      <c r="M566" s="3">
        <v>60</v>
      </c>
      <c r="N566" s="3">
        <v>60</v>
      </c>
      <c r="O566" s="54">
        <v>60</v>
      </c>
    </row>
    <row r="567" spans="2:15" x14ac:dyDescent="0.25">
      <c r="B567" s="7">
        <v>45309</v>
      </c>
      <c r="C567" s="13">
        <v>41262.06</v>
      </c>
      <c r="D567" s="8">
        <v>2002.59997558593</v>
      </c>
      <c r="F567" s="7">
        <v>45309</v>
      </c>
      <c r="G567" s="13">
        <v>41262.06</v>
      </c>
      <c r="H567" s="4">
        <v>41262.06</v>
      </c>
      <c r="I567" s="4">
        <v>41262.06</v>
      </c>
      <c r="J567" s="4">
        <v>2002.59997558593</v>
      </c>
      <c r="K567" s="4">
        <v>2002.59997558593</v>
      </c>
      <c r="L567" s="4">
        <v>2002.59997558593</v>
      </c>
      <c r="M567" s="3">
        <v>63</v>
      </c>
      <c r="N567" s="3">
        <v>63</v>
      </c>
      <c r="O567" s="54">
        <v>63</v>
      </c>
    </row>
    <row r="568" spans="2:15" x14ac:dyDescent="0.25">
      <c r="B568" s="7">
        <v>45310</v>
      </c>
      <c r="C568" s="13">
        <v>41618.410000000003</v>
      </c>
      <c r="D568" s="8">
        <v>2018.59997558593</v>
      </c>
      <c r="F568" s="7">
        <v>45310</v>
      </c>
      <c r="G568" s="13">
        <v>41618.410000000003</v>
      </c>
      <c r="H568" s="4">
        <v>41618.410000000003</v>
      </c>
      <c r="I568" s="4">
        <v>41618.410000000003</v>
      </c>
      <c r="J568" s="4">
        <v>2018.59997558593</v>
      </c>
      <c r="K568" s="4">
        <v>2018.59997558593</v>
      </c>
      <c r="L568" s="4">
        <v>2018.59997558593</v>
      </c>
      <c r="M568" s="3">
        <v>51</v>
      </c>
      <c r="N568" s="3">
        <v>51</v>
      </c>
      <c r="O568" s="54">
        <v>51</v>
      </c>
    </row>
    <row r="569" spans="2:15" x14ac:dyDescent="0.25">
      <c r="B569" s="7">
        <v>45311</v>
      </c>
      <c r="C569" s="13">
        <v>41665.589999999997</v>
      </c>
      <c r="D569" s="8">
        <v>2026.5</v>
      </c>
      <c r="F569" s="7">
        <v>45311</v>
      </c>
      <c r="G569" s="13">
        <v>41665.589999999997</v>
      </c>
      <c r="H569" s="4">
        <v>41665.589999999997</v>
      </c>
      <c r="I569" s="4">
        <v>41665.589999999997</v>
      </c>
      <c r="J569" s="4">
        <v>2026.5</v>
      </c>
      <c r="K569" s="4">
        <v>2026.5</v>
      </c>
      <c r="L569" s="4">
        <v>2026.5</v>
      </c>
      <c r="M569" s="3">
        <v>52</v>
      </c>
      <c r="N569" s="3">
        <v>52</v>
      </c>
      <c r="O569" s="54">
        <v>52</v>
      </c>
    </row>
    <row r="570" spans="2:15" x14ac:dyDescent="0.25">
      <c r="B570" s="7">
        <v>45312</v>
      </c>
      <c r="C570" s="13">
        <v>41545.79</v>
      </c>
      <c r="D570" s="8">
        <v>2018.59997558593</v>
      </c>
      <c r="F570" s="7">
        <v>45312</v>
      </c>
      <c r="G570" s="13">
        <v>41545.79</v>
      </c>
      <c r="H570" s="4">
        <v>41545.79</v>
      </c>
      <c r="I570" s="4">
        <v>41545.79</v>
      </c>
      <c r="J570" s="4">
        <v>2018.59997558593</v>
      </c>
      <c r="K570" s="4">
        <v>2018.59997558593</v>
      </c>
      <c r="L570" s="4">
        <v>2018.59997558593</v>
      </c>
      <c r="M570" s="3">
        <v>56</v>
      </c>
      <c r="N570" s="3">
        <v>56</v>
      </c>
      <c r="O570" s="54">
        <v>56</v>
      </c>
    </row>
    <row r="571" spans="2:15" x14ac:dyDescent="0.25">
      <c r="B571" s="7">
        <v>45313</v>
      </c>
      <c r="C571" s="13">
        <v>39507.370000000003</v>
      </c>
      <c r="D571" s="8">
        <v>2026.5</v>
      </c>
      <c r="F571" s="7">
        <v>45313</v>
      </c>
      <c r="G571" s="13">
        <v>39507.370000000003</v>
      </c>
      <c r="H571" s="4">
        <v>39507.370000000003</v>
      </c>
      <c r="I571" s="4">
        <v>39507.370000000003</v>
      </c>
      <c r="J571" s="4">
        <v>2026.5</v>
      </c>
      <c r="K571" s="4">
        <v>2026.5</v>
      </c>
      <c r="L571" s="4">
        <v>2026.5</v>
      </c>
      <c r="M571" s="3">
        <v>55</v>
      </c>
      <c r="N571" s="3">
        <v>55</v>
      </c>
      <c r="O571" s="54">
        <v>55</v>
      </c>
    </row>
    <row r="572" spans="2:15" x14ac:dyDescent="0.25">
      <c r="B572" s="7">
        <v>45314</v>
      </c>
      <c r="C572" s="13">
        <v>39845.550000000003</v>
      </c>
      <c r="D572" s="8">
        <v>2019.80004882812</v>
      </c>
      <c r="F572" s="7">
        <v>45314</v>
      </c>
      <c r="G572" s="13">
        <v>39845.550000000003</v>
      </c>
      <c r="H572" s="4">
        <v>39845.550000000003</v>
      </c>
      <c r="I572" s="4">
        <v>39845.550000000003</v>
      </c>
      <c r="J572" s="4">
        <v>2019.80004882812</v>
      </c>
      <c r="K572" s="4">
        <v>2019.80004882812</v>
      </c>
      <c r="L572" s="4">
        <v>2019.80004882812</v>
      </c>
      <c r="M572" s="3">
        <v>50</v>
      </c>
      <c r="N572" s="3">
        <v>50</v>
      </c>
      <c r="O572" s="54">
        <v>50</v>
      </c>
    </row>
    <row r="573" spans="2:15" x14ac:dyDescent="0.25">
      <c r="B573" s="7">
        <v>45315</v>
      </c>
      <c r="C573" s="13">
        <v>40077.07</v>
      </c>
      <c r="D573" s="8">
        <v>2023.69995117187</v>
      </c>
      <c r="F573" s="7">
        <v>45315</v>
      </c>
      <c r="G573" s="13">
        <v>40077.07</v>
      </c>
      <c r="H573" s="4">
        <v>40077.07</v>
      </c>
      <c r="I573" s="4">
        <v>40077.07</v>
      </c>
      <c r="J573" s="4">
        <v>2023.69995117187</v>
      </c>
      <c r="K573" s="4">
        <v>2023.69995117187</v>
      </c>
      <c r="L573" s="4">
        <v>2023.69995117187</v>
      </c>
      <c r="M573" s="3">
        <v>48</v>
      </c>
      <c r="N573" s="3">
        <v>48</v>
      </c>
      <c r="O573" s="54">
        <v>48</v>
      </c>
    </row>
    <row r="574" spans="2:15" x14ac:dyDescent="0.25">
      <c r="B574" s="7">
        <v>45316</v>
      </c>
      <c r="C574" s="13">
        <v>39933.81</v>
      </c>
      <c r="D574" s="8">
        <v>2013.90002441406</v>
      </c>
      <c r="F574" s="7">
        <v>45316</v>
      </c>
      <c r="G574" s="13">
        <v>39933.81</v>
      </c>
      <c r="H574" s="4">
        <v>39933.81</v>
      </c>
      <c r="I574" s="4">
        <v>39933.81</v>
      </c>
      <c r="J574" s="4">
        <v>2013.90002441406</v>
      </c>
      <c r="K574" s="4">
        <v>2013.90002441406</v>
      </c>
      <c r="L574" s="4">
        <v>2013.90002441406</v>
      </c>
      <c r="M574" s="3">
        <v>52</v>
      </c>
      <c r="N574" s="3">
        <v>52</v>
      </c>
      <c r="O574" s="54">
        <v>52</v>
      </c>
    </row>
    <row r="575" spans="2:15" x14ac:dyDescent="0.25">
      <c r="B575" s="7">
        <v>45317</v>
      </c>
      <c r="C575" s="13">
        <v>41816.870000000003</v>
      </c>
      <c r="D575" s="8">
        <v>2016.90002441406</v>
      </c>
      <c r="F575" s="7">
        <v>45317</v>
      </c>
      <c r="G575" s="13">
        <v>41816.870000000003</v>
      </c>
      <c r="H575" s="4">
        <v>41816.870000000003</v>
      </c>
      <c r="I575" s="4">
        <v>41816.870000000003</v>
      </c>
      <c r="J575" s="4">
        <v>2016.90002441406</v>
      </c>
      <c r="K575" s="4">
        <v>2016.90002441406</v>
      </c>
      <c r="L575" s="4">
        <v>2016.90002441406</v>
      </c>
      <c r="M575" s="3">
        <v>49</v>
      </c>
      <c r="N575" s="3">
        <v>49</v>
      </c>
      <c r="O575" s="54">
        <v>49</v>
      </c>
    </row>
    <row r="576" spans="2:15" x14ac:dyDescent="0.25">
      <c r="B576" s="7">
        <v>45318</v>
      </c>
      <c r="C576" s="13">
        <v>42120.05</v>
      </c>
      <c r="D576" s="8">
        <v>2016.80004882812</v>
      </c>
      <c r="F576" s="7">
        <v>45318</v>
      </c>
      <c r="G576" s="13">
        <v>42120.05</v>
      </c>
      <c r="H576" s="4">
        <v>42120.05</v>
      </c>
      <c r="I576" s="4">
        <v>42120.05</v>
      </c>
      <c r="J576" s="4">
        <v>2016.80004882812</v>
      </c>
      <c r="K576" s="4">
        <v>2016.80004882812</v>
      </c>
      <c r="L576" s="4">
        <v>2016.80004882812</v>
      </c>
      <c r="M576" s="3">
        <v>55</v>
      </c>
      <c r="N576" s="3">
        <v>55</v>
      </c>
      <c r="O576" s="54">
        <v>55</v>
      </c>
    </row>
    <row r="577" spans="2:15" x14ac:dyDescent="0.25">
      <c r="B577" s="7">
        <v>45319</v>
      </c>
      <c r="C577" s="13">
        <v>42035.59</v>
      </c>
      <c r="D577" s="8">
        <v>2016.90002441406</v>
      </c>
      <c r="F577" s="7">
        <v>45319</v>
      </c>
      <c r="G577" s="13">
        <v>42035.59</v>
      </c>
      <c r="H577" s="4">
        <v>42035.59</v>
      </c>
      <c r="I577" s="4">
        <v>42035.59</v>
      </c>
      <c r="J577" s="4">
        <v>2016.90002441406</v>
      </c>
      <c r="K577" s="4">
        <v>2016.90002441406</v>
      </c>
      <c r="L577" s="4">
        <v>2016.90002441406</v>
      </c>
      <c r="M577" s="3">
        <v>54</v>
      </c>
      <c r="N577" s="3">
        <v>54</v>
      </c>
      <c r="O577" s="54">
        <v>54</v>
      </c>
    </row>
    <row r="578" spans="2:15" x14ac:dyDescent="0.25">
      <c r="B578" s="7">
        <v>45320</v>
      </c>
      <c r="C578" s="13">
        <v>43288.25</v>
      </c>
      <c r="D578" s="8">
        <v>2016.80004882812</v>
      </c>
      <c r="F578" s="7">
        <v>45320</v>
      </c>
      <c r="G578" s="13">
        <v>43288.25</v>
      </c>
      <c r="H578" s="4">
        <v>43288.25</v>
      </c>
      <c r="I578" s="4">
        <v>43288.25</v>
      </c>
      <c r="J578" s="4">
        <v>2016.80004882812</v>
      </c>
      <c r="K578" s="4">
        <v>2016.80004882812</v>
      </c>
      <c r="L578" s="4">
        <v>2016.80004882812</v>
      </c>
      <c r="M578" s="3">
        <v>55</v>
      </c>
      <c r="N578" s="3">
        <v>55</v>
      </c>
      <c r="O578" s="54">
        <v>55</v>
      </c>
    </row>
    <row r="579" spans="2:15" x14ac:dyDescent="0.25">
      <c r="B579" s="7">
        <v>45321</v>
      </c>
      <c r="C579" s="13">
        <v>42952.61</v>
      </c>
      <c r="D579" s="8">
        <v>2025.19995117187</v>
      </c>
      <c r="F579" s="7">
        <v>45321</v>
      </c>
      <c r="G579" s="13">
        <v>42952.61</v>
      </c>
      <c r="H579" s="4">
        <v>42952.61</v>
      </c>
      <c r="I579" s="4">
        <v>42952.61</v>
      </c>
      <c r="J579" s="4">
        <v>2025.19995117187</v>
      </c>
      <c r="K579" s="4">
        <v>2025.19995117187</v>
      </c>
      <c r="L579" s="4">
        <v>2025.19995117187</v>
      </c>
      <c r="M579" s="3">
        <v>61</v>
      </c>
      <c r="N579" s="3">
        <v>61</v>
      </c>
      <c r="O579" s="54">
        <v>61</v>
      </c>
    </row>
    <row r="580" spans="2:15" x14ac:dyDescent="0.25">
      <c r="B580" s="7">
        <v>45322</v>
      </c>
      <c r="C580" s="13">
        <v>42582.61</v>
      </c>
      <c r="D580" s="8">
        <v>2031.5</v>
      </c>
      <c r="F580" s="7">
        <v>45322</v>
      </c>
      <c r="G580" s="13">
        <v>42582.61</v>
      </c>
      <c r="H580" s="4">
        <v>42582.61</v>
      </c>
      <c r="I580" s="4">
        <v>42582.61</v>
      </c>
      <c r="J580" s="4">
        <v>2031.5</v>
      </c>
      <c r="K580" s="4">
        <v>2031.5</v>
      </c>
      <c r="L580" s="4">
        <v>2031.5</v>
      </c>
      <c r="M580" s="3">
        <v>60</v>
      </c>
      <c r="N580" s="3">
        <v>60</v>
      </c>
      <c r="O580" s="54">
        <v>60</v>
      </c>
    </row>
    <row r="581" spans="2:15" x14ac:dyDescent="0.25">
      <c r="B581" s="7">
        <v>45323</v>
      </c>
      <c r="C581" s="13">
        <v>43075.77</v>
      </c>
      <c r="D581" s="8">
        <v>2048.39990234375</v>
      </c>
      <c r="F581" s="7">
        <v>45323</v>
      </c>
      <c r="G581" s="13">
        <v>43075.77</v>
      </c>
      <c r="H581" s="4">
        <v>43075.77</v>
      </c>
      <c r="I581" s="4">
        <v>43075.77</v>
      </c>
      <c r="J581" s="4">
        <v>2048.39990234375</v>
      </c>
      <c r="K581" s="4">
        <v>2048.39990234375</v>
      </c>
      <c r="L581" s="4">
        <v>2048.39990234375</v>
      </c>
      <c r="M581" s="3">
        <v>63</v>
      </c>
      <c r="N581" s="3">
        <v>63</v>
      </c>
      <c r="O581" s="54">
        <v>63</v>
      </c>
    </row>
    <row r="582" spans="2:15" x14ac:dyDescent="0.25">
      <c r="B582" s="7">
        <v>45324</v>
      </c>
      <c r="C582" s="13">
        <v>43185.86</v>
      </c>
      <c r="D582" s="8">
        <v>2053</v>
      </c>
      <c r="F582" s="7">
        <v>45324</v>
      </c>
      <c r="G582" s="13">
        <v>43185.86</v>
      </c>
      <c r="H582" s="4">
        <v>43185.86</v>
      </c>
      <c r="I582" s="4">
        <v>43185.86</v>
      </c>
      <c r="J582" s="4">
        <v>2053</v>
      </c>
      <c r="K582" s="4">
        <v>2053</v>
      </c>
      <c r="L582" s="4">
        <v>2053</v>
      </c>
      <c r="M582" s="3">
        <v>63</v>
      </c>
      <c r="N582" s="3">
        <v>63</v>
      </c>
      <c r="O582" s="54">
        <v>63</v>
      </c>
    </row>
    <row r="583" spans="2:15" x14ac:dyDescent="0.25">
      <c r="B583" s="7">
        <v>45325</v>
      </c>
      <c r="C583" s="13">
        <v>42992.25</v>
      </c>
      <c r="D583" s="8">
        <v>2036.09997558593</v>
      </c>
      <c r="F583" s="7">
        <v>45325</v>
      </c>
      <c r="G583" s="13">
        <v>42992.25</v>
      </c>
      <c r="H583" s="4">
        <v>42992.25</v>
      </c>
      <c r="I583" s="4">
        <v>42992.25</v>
      </c>
      <c r="J583" s="4">
        <v>2036.09997558593</v>
      </c>
      <c r="K583" s="4">
        <v>2036.09997558593</v>
      </c>
      <c r="L583" s="4">
        <v>2036.09997558593</v>
      </c>
      <c r="M583" s="3">
        <v>60</v>
      </c>
      <c r="N583" s="3">
        <v>60</v>
      </c>
      <c r="O583" s="54">
        <v>60</v>
      </c>
    </row>
    <row r="584" spans="2:15" x14ac:dyDescent="0.25">
      <c r="B584" s="7">
        <v>45326</v>
      </c>
      <c r="C584" s="13">
        <v>42583.58</v>
      </c>
      <c r="D584" s="8">
        <v>2053</v>
      </c>
      <c r="F584" s="7">
        <v>45326</v>
      </c>
      <c r="G584" s="13">
        <v>42583.58</v>
      </c>
      <c r="H584" s="4">
        <v>42583.58</v>
      </c>
      <c r="I584" s="4">
        <v>42583.58</v>
      </c>
      <c r="J584" s="4">
        <v>2053</v>
      </c>
      <c r="K584" s="4">
        <v>2053</v>
      </c>
      <c r="L584" s="4">
        <v>2053</v>
      </c>
      <c r="M584" s="3">
        <v>60</v>
      </c>
      <c r="N584" s="3">
        <v>60</v>
      </c>
      <c r="O584" s="54">
        <v>60</v>
      </c>
    </row>
    <row r="585" spans="2:15" x14ac:dyDescent="0.25">
      <c r="B585" s="7">
        <v>45327</v>
      </c>
      <c r="C585" s="13">
        <v>42658.67</v>
      </c>
      <c r="D585" s="8">
        <v>2036.09997558593</v>
      </c>
      <c r="F585" s="7">
        <v>45327</v>
      </c>
      <c r="G585" s="13">
        <v>42658.67</v>
      </c>
      <c r="H585" s="4">
        <v>42658.67</v>
      </c>
      <c r="I585" s="4">
        <v>42658.67</v>
      </c>
      <c r="J585" s="4">
        <v>2036.09997558593</v>
      </c>
      <c r="K585" s="4">
        <v>2036.09997558593</v>
      </c>
      <c r="L585" s="4">
        <v>2036.09997558593</v>
      </c>
      <c r="M585" s="3">
        <v>60</v>
      </c>
      <c r="N585" s="3">
        <v>60</v>
      </c>
      <c r="O585" s="54">
        <v>60</v>
      </c>
    </row>
    <row r="586" spans="2:15" x14ac:dyDescent="0.25">
      <c r="B586" s="7">
        <v>45328</v>
      </c>
      <c r="C586" s="13">
        <v>43084.67</v>
      </c>
      <c r="D586" s="8">
        <v>2025.69995117187</v>
      </c>
      <c r="F586" s="7">
        <v>45328</v>
      </c>
      <c r="G586" s="13">
        <v>43084.67</v>
      </c>
      <c r="H586" s="4">
        <v>43084.67</v>
      </c>
      <c r="I586" s="4">
        <v>43084.67</v>
      </c>
      <c r="J586" s="4">
        <v>2025.69995117187</v>
      </c>
      <c r="K586" s="4">
        <v>2025.69995117187</v>
      </c>
      <c r="L586" s="4">
        <v>2025.69995117187</v>
      </c>
      <c r="M586" s="3">
        <v>64</v>
      </c>
      <c r="N586" s="3">
        <v>64</v>
      </c>
      <c r="O586" s="54">
        <v>64</v>
      </c>
    </row>
    <row r="587" spans="2:15" x14ac:dyDescent="0.25">
      <c r="B587" s="7">
        <v>45329</v>
      </c>
      <c r="C587" s="13">
        <v>44318.22</v>
      </c>
      <c r="D587" s="8">
        <v>2034.5</v>
      </c>
      <c r="F587" s="7">
        <v>45329</v>
      </c>
      <c r="G587" s="13">
        <v>44318.22</v>
      </c>
      <c r="H587" s="4">
        <v>44318.22</v>
      </c>
      <c r="I587" s="4">
        <v>44318.22</v>
      </c>
      <c r="J587" s="4">
        <v>2034.5</v>
      </c>
      <c r="K587" s="4">
        <v>2034.5</v>
      </c>
      <c r="L587" s="4">
        <v>2034.5</v>
      </c>
      <c r="M587" s="3">
        <v>62</v>
      </c>
      <c r="N587" s="3">
        <v>62</v>
      </c>
      <c r="O587" s="54">
        <v>62</v>
      </c>
    </row>
    <row r="588" spans="2:15" x14ac:dyDescent="0.25">
      <c r="B588" s="7">
        <v>45330</v>
      </c>
      <c r="C588" s="13">
        <v>45301.57</v>
      </c>
      <c r="D588" s="8">
        <v>2035.19995117187</v>
      </c>
      <c r="F588" s="7">
        <v>45330</v>
      </c>
      <c r="G588" s="13">
        <v>45301.57</v>
      </c>
      <c r="H588" s="4">
        <v>45301.57</v>
      </c>
      <c r="I588" s="4">
        <v>45301.57</v>
      </c>
      <c r="J588" s="4">
        <v>2035.19995117187</v>
      </c>
      <c r="K588" s="4">
        <v>2035.19995117187</v>
      </c>
      <c r="L588" s="4">
        <v>2035.19995117187</v>
      </c>
      <c r="M588" s="3">
        <v>66</v>
      </c>
      <c r="N588" s="3">
        <v>66</v>
      </c>
      <c r="O588" s="54">
        <v>66</v>
      </c>
    </row>
    <row r="589" spans="2:15" x14ac:dyDescent="0.25">
      <c r="B589" s="7">
        <v>45331</v>
      </c>
      <c r="C589" s="13">
        <v>47147.199999999997</v>
      </c>
      <c r="D589" s="8">
        <v>2032.19995117187</v>
      </c>
      <c r="F589" s="7">
        <v>45331</v>
      </c>
      <c r="G589" s="13">
        <v>47147.199999999997</v>
      </c>
      <c r="H589" s="4">
        <v>47147.199999999997</v>
      </c>
      <c r="I589" s="4">
        <v>47147.199999999997</v>
      </c>
      <c r="J589" s="4">
        <v>2032.19995117187</v>
      </c>
      <c r="K589" s="4">
        <v>2032.19995117187</v>
      </c>
      <c r="L589" s="4">
        <v>2032.19995117187</v>
      </c>
      <c r="M589" s="3">
        <v>72</v>
      </c>
      <c r="N589" s="3">
        <v>72</v>
      </c>
      <c r="O589" s="54">
        <v>72</v>
      </c>
    </row>
    <row r="590" spans="2:15" x14ac:dyDescent="0.25">
      <c r="B590" s="7">
        <v>45332</v>
      </c>
      <c r="C590" s="13">
        <v>47771.28</v>
      </c>
      <c r="D590" s="8">
        <v>2023.30004882812</v>
      </c>
      <c r="F590" s="7">
        <v>45332</v>
      </c>
      <c r="G590" s="13">
        <v>47771.28</v>
      </c>
      <c r="H590" s="4">
        <v>47771.28</v>
      </c>
      <c r="I590" s="4">
        <v>47771.28</v>
      </c>
      <c r="J590" s="4">
        <v>2023.30004882812</v>
      </c>
      <c r="K590" s="4">
        <v>2023.30004882812</v>
      </c>
      <c r="L590" s="4">
        <v>2023.30004882812</v>
      </c>
      <c r="M590" s="3">
        <v>74</v>
      </c>
      <c r="N590" s="3">
        <v>74</v>
      </c>
      <c r="O590" s="54">
        <v>74</v>
      </c>
    </row>
    <row r="591" spans="2:15" x14ac:dyDescent="0.25">
      <c r="B591" s="7">
        <v>45333</v>
      </c>
      <c r="C591" s="13">
        <v>48293.919999999998</v>
      </c>
      <c r="D591" s="8">
        <v>2032.19995117187</v>
      </c>
      <c r="F591" s="7">
        <v>45333</v>
      </c>
      <c r="G591" s="13">
        <v>48293.919999999998</v>
      </c>
      <c r="H591" s="4">
        <v>48293.919999999998</v>
      </c>
      <c r="I591" s="4">
        <v>48293.919999999998</v>
      </c>
      <c r="J591" s="4">
        <v>2032.19995117187</v>
      </c>
      <c r="K591" s="4">
        <v>2032.19995117187</v>
      </c>
      <c r="L591" s="4">
        <v>2032.19995117187</v>
      </c>
      <c r="M591" s="3">
        <v>71</v>
      </c>
      <c r="N591" s="3">
        <v>71</v>
      </c>
      <c r="O591" s="54">
        <v>71</v>
      </c>
    </row>
    <row r="592" spans="2:15" x14ac:dyDescent="0.25">
      <c r="B592" s="7">
        <v>45334</v>
      </c>
      <c r="C592" s="13">
        <v>49958.22</v>
      </c>
      <c r="D592" s="8">
        <v>2023.30004882812</v>
      </c>
      <c r="F592" s="7">
        <v>45334</v>
      </c>
      <c r="G592" s="13">
        <v>49958.22</v>
      </c>
      <c r="H592" s="4">
        <v>49958.22</v>
      </c>
      <c r="I592" s="4">
        <v>49958.22</v>
      </c>
      <c r="J592" s="4">
        <v>2023.30004882812</v>
      </c>
      <c r="K592" s="4">
        <v>2023.30004882812</v>
      </c>
      <c r="L592" s="4">
        <v>2023.30004882812</v>
      </c>
      <c r="M592" s="3">
        <v>70</v>
      </c>
      <c r="N592" s="3">
        <v>70</v>
      </c>
      <c r="O592" s="54">
        <v>70</v>
      </c>
    </row>
    <row r="593" spans="2:15" x14ac:dyDescent="0.25">
      <c r="B593" s="7">
        <v>45335</v>
      </c>
      <c r="C593" s="13">
        <v>49742.44</v>
      </c>
      <c r="D593" s="8">
        <v>2018.19995117187</v>
      </c>
      <c r="F593" s="7">
        <v>45335</v>
      </c>
      <c r="G593" s="13">
        <v>49742.44</v>
      </c>
      <c r="H593" s="4">
        <v>49742.44</v>
      </c>
      <c r="I593" s="4">
        <v>49742.44</v>
      </c>
      <c r="J593" s="4">
        <v>2018.19995117187</v>
      </c>
      <c r="K593" s="4">
        <v>2018.19995117187</v>
      </c>
      <c r="L593" s="4">
        <v>2018.19995117187</v>
      </c>
      <c r="M593" s="3">
        <v>79</v>
      </c>
      <c r="N593" s="3">
        <v>79</v>
      </c>
      <c r="O593" s="54">
        <v>79</v>
      </c>
    </row>
    <row r="594" spans="2:15" x14ac:dyDescent="0.25">
      <c r="B594" s="7">
        <v>45336</v>
      </c>
      <c r="C594" s="13">
        <v>51826.7</v>
      </c>
      <c r="D594" s="8">
        <v>1992.90002441406</v>
      </c>
      <c r="F594" s="7">
        <v>45336</v>
      </c>
      <c r="G594" s="13">
        <v>51826.7</v>
      </c>
      <c r="H594" s="4">
        <v>51826.7</v>
      </c>
      <c r="I594" s="4">
        <v>51826.7</v>
      </c>
      <c r="J594" s="4">
        <v>1992.90002441406</v>
      </c>
      <c r="K594" s="4">
        <v>1992.90002441406</v>
      </c>
      <c r="L594" s="4">
        <v>1992.90002441406</v>
      </c>
      <c r="M594" s="3">
        <v>74</v>
      </c>
      <c r="N594" s="3">
        <v>74</v>
      </c>
      <c r="O594" s="54">
        <v>74</v>
      </c>
    </row>
    <row r="595" spans="2:15" x14ac:dyDescent="0.25">
      <c r="B595" s="7">
        <v>45337</v>
      </c>
      <c r="C595" s="13">
        <v>51938.55</v>
      </c>
      <c r="D595" s="8">
        <v>1990.30004882812</v>
      </c>
      <c r="F595" s="7">
        <v>45337</v>
      </c>
      <c r="G595" s="13">
        <v>51938.55</v>
      </c>
      <c r="H595" s="4">
        <v>51938.55</v>
      </c>
      <c r="I595" s="4">
        <v>51938.55</v>
      </c>
      <c r="J595" s="4">
        <v>1990.30004882812</v>
      </c>
      <c r="K595" s="4">
        <v>1990.30004882812</v>
      </c>
      <c r="L595" s="4">
        <v>1990.30004882812</v>
      </c>
      <c r="M595" s="3">
        <v>72</v>
      </c>
      <c r="N595" s="3">
        <v>72</v>
      </c>
      <c r="O595" s="54">
        <v>72</v>
      </c>
    </row>
    <row r="596" spans="2:15" x14ac:dyDescent="0.25">
      <c r="B596" s="7">
        <v>45338</v>
      </c>
      <c r="C596" s="13">
        <v>52160.2</v>
      </c>
      <c r="D596" s="8">
        <v>2002.09997558593</v>
      </c>
      <c r="F596" s="7">
        <v>45338</v>
      </c>
      <c r="G596" s="13">
        <v>52160.2</v>
      </c>
      <c r="H596" s="4">
        <v>52160.2</v>
      </c>
      <c r="I596" s="4">
        <v>52160.2</v>
      </c>
      <c r="J596" s="4">
        <v>2002.09997558593</v>
      </c>
      <c r="K596" s="4">
        <v>2002.09997558593</v>
      </c>
      <c r="L596" s="4">
        <v>2002.09997558593</v>
      </c>
      <c r="M596" s="3">
        <v>72</v>
      </c>
      <c r="N596" s="3">
        <v>72</v>
      </c>
      <c r="O596" s="54">
        <v>72</v>
      </c>
    </row>
    <row r="597" spans="2:15" x14ac:dyDescent="0.25">
      <c r="B597" s="7">
        <v>45339</v>
      </c>
      <c r="C597" s="13">
        <v>51663</v>
      </c>
      <c r="D597" s="8">
        <v>2011.5</v>
      </c>
      <c r="F597" s="7">
        <v>45339</v>
      </c>
      <c r="G597" s="13">
        <v>51663</v>
      </c>
      <c r="H597" s="4">
        <v>51663</v>
      </c>
      <c r="I597" s="4">
        <v>51663</v>
      </c>
      <c r="J597" s="4">
        <v>2011.5</v>
      </c>
      <c r="K597" s="4">
        <v>2011.5</v>
      </c>
      <c r="L597" s="4">
        <v>2011.5</v>
      </c>
      <c r="M597" s="3">
        <v>76</v>
      </c>
      <c r="N597" s="3">
        <v>76</v>
      </c>
      <c r="O597" s="54">
        <v>76</v>
      </c>
    </row>
    <row r="598" spans="2:15" x14ac:dyDescent="0.25">
      <c r="B598" s="7">
        <v>45340</v>
      </c>
      <c r="C598" s="13">
        <v>52122.55</v>
      </c>
      <c r="D598" s="8">
        <v>2002.09997558593</v>
      </c>
      <c r="F598" s="7">
        <v>45340</v>
      </c>
      <c r="G598" s="13">
        <v>52122.55</v>
      </c>
      <c r="H598" s="4">
        <v>52122.55</v>
      </c>
      <c r="I598" s="4">
        <v>52122.55</v>
      </c>
      <c r="J598" s="4">
        <v>2002.09997558593</v>
      </c>
      <c r="K598" s="4">
        <v>2002.09997558593</v>
      </c>
      <c r="L598" s="4">
        <v>2002.09997558593</v>
      </c>
      <c r="M598" s="3">
        <v>72</v>
      </c>
      <c r="N598" s="3">
        <v>72</v>
      </c>
      <c r="O598" s="54">
        <v>72</v>
      </c>
    </row>
    <row r="599" spans="2:15" x14ac:dyDescent="0.25">
      <c r="B599" s="7">
        <v>45341</v>
      </c>
      <c r="C599" s="13">
        <v>51779.14</v>
      </c>
      <c r="D599" s="8">
        <v>2011.5</v>
      </c>
      <c r="F599" s="7">
        <v>45341</v>
      </c>
      <c r="G599" s="13">
        <v>51779.14</v>
      </c>
      <c r="H599" s="4">
        <v>51779.14</v>
      </c>
      <c r="I599" s="4">
        <v>51779.14</v>
      </c>
      <c r="J599" s="4">
        <v>2011.5</v>
      </c>
      <c r="K599" s="4">
        <v>2011.5</v>
      </c>
      <c r="L599" s="4">
        <v>2011.5</v>
      </c>
      <c r="M599" s="3">
        <v>75</v>
      </c>
      <c r="N599" s="3">
        <v>75</v>
      </c>
      <c r="O599" s="54">
        <v>75</v>
      </c>
    </row>
    <row r="600" spans="2:15" x14ac:dyDescent="0.25">
      <c r="B600" s="7">
        <v>45342</v>
      </c>
      <c r="C600" s="13">
        <v>52284.88</v>
      </c>
      <c r="D600" s="8">
        <v>2002.09997558593</v>
      </c>
      <c r="F600" s="7">
        <v>45342</v>
      </c>
      <c r="G600" s="13">
        <v>52284.88</v>
      </c>
      <c r="H600" s="4">
        <v>52284.88</v>
      </c>
      <c r="I600" s="4">
        <v>52284.88</v>
      </c>
      <c r="J600" s="4">
        <v>2002.09997558593</v>
      </c>
      <c r="K600" s="4">
        <v>2002.09997558593</v>
      </c>
      <c r="L600" s="4">
        <v>2002.09997558593</v>
      </c>
      <c r="M600" s="3">
        <v>72</v>
      </c>
      <c r="N600" s="3">
        <v>72</v>
      </c>
      <c r="O600" s="54">
        <v>72</v>
      </c>
    </row>
    <row r="601" spans="2:15" x14ac:dyDescent="0.25">
      <c r="B601" s="7">
        <v>45343</v>
      </c>
      <c r="C601" s="13">
        <v>51839.18</v>
      </c>
      <c r="D601" s="8">
        <v>2027.5</v>
      </c>
      <c r="F601" s="7">
        <v>45343</v>
      </c>
      <c r="G601" s="13">
        <v>51839.18</v>
      </c>
      <c r="H601" s="4">
        <v>51839.18</v>
      </c>
      <c r="I601" s="4">
        <v>51839.18</v>
      </c>
      <c r="J601" s="4">
        <v>2027.5</v>
      </c>
      <c r="K601" s="4">
        <v>2027.5</v>
      </c>
      <c r="L601" s="4">
        <v>2027.5</v>
      </c>
      <c r="M601" s="3">
        <v>78</v>
      </c>
      <c r="N601" s="3">
        <v>78</v>
      </c>
      <c r="O601" s="54">
        <v>78</v>
      </c>
    </row>
    <row r="602" spans="2:15" x14ac:dyDescent="0.25">
      <c r="B602" s="7">
        <v>45344</v>
      </c>
      <c r="C602" s="13">
        <v>51304.97</v>
      </c>
      <c r="D602" s="8">
        <v>2022.30004882812</v>
      </c>
      <c r="F602" s="7">
        <v>45344</v>
      </c>
      <c r="G602" s="13">
        <v>51304.97</v>
      </c>
      <c r="H602" s="4">
        <v>51304.97</v>
      </c>
      <c r="I602" s="4">
        <v>51304.97</v>
      </c>
      <c r="J602" s="4">
        <v>2022.30004882812</v>
      </c>
      <c r="K602" s="4">
        <v>2022.30004882812</v>
      </c>
      <c r="L602" s="4">
        <v>2022.30004882812</v>
      </c>
      <c r="M602" s="3">
        <v>74</v>
      </c>
      <c r="N602" s="3">
        <v>74</v>
      </c>
      <c r="O602" s="54">
        <v>74</v>
      </c>
    </row>
    <row r="603" spans="2:15" x14ac:dyDescent="0.25">
      <c r="B603" s="7">
        <v>45345</v>
      </c>
      <c r="C603" s="13">
        <v>50731.95</v>
      </c>
      <c r="D603" s="8">
        <v>2019.69995117187</v>
      </c>
      <c r="F603" s="7">
        <v>45345</v>
      </c>
      <c r="G603" s="13">
        <v>50731.95</v>
      </c>
      <c r="H603" s="4">
        <v>50731.95</v>
      </c>
      <c r="I603" s="4">
        <v>50731.95</v>
      </c>
      <c r="J603" s="4">
        <v>2019.69995117187</v>
      </c>
      <c r="K603" s="4">
        <v>2019.69995117187</v>
      </c>
      <c r="L603" s="4">
        <v>2019.69995117187</v>
      </c>
      <c r="M603" s="3">
        <v>76</v>
      </c>
      <c r="N603" s="3">
        <v>76</v>
      </c>
      <c r="O603" s="54">
        <v>76</v>
      </c>
    </row>
    <row r="604" spans="2:15" x14ac:dyDescent="0.25">
      <c r="B604" s="7">
        <v>45346</v>
      </c>
      <c r="C604" s="13">
        <v>51571.1</v>
      </c>
      <c r="D604" s="8">
        <v>2038.59997558593</v>
      </c>
      <c r="F604" s="7">
        <v>45346</v>
      </c>
      <c r="G604" s="13">
        <v>51571.1</v>
      </c>
      <c r="H604" s="4">
        <v>51571.1</v>
      </c>
      <c r="I604" s="4">
        <v>51571.1</v>
      </c>
      <c r="J604" s="4">
        <v>2038.59997558593</v>
      </c>
      <c r="K604" s="4">
        <v>2038.59997558593</v>
      </c>
      <c r="L604" s="4">
        <v>2038.59997558593</v>
      </c>
      <c r="M604" s="3">
        <v>72</v>
      </c>
      <c r="N604" s="3">
        <v>72</v>
      </c>
      <c r="O604" s="54">
        <v>72</v>
      </c>
    </row>
    <row r="605" spans="2:15" x14ac:dyDescent="0.25">
      <c r="B605" s="7">
        <v>45347</v>
      </c>
      <c r="C605" s="13">
        <v>51733.24</v>
      </c>
      <c r="D605" s="8">
        <v>2019.69995117187</v>
      </c>
      <c r="F605" s="7">
        <v>45347</v>
      </c>
      <c r="G605" s="13">
        <v>51733.24</v>
      </c>
      <c r="H605" s="4">
        <v>51733.24</v>
      </c>
      <c r="I605" s="4">
        <v>51733.24</v>
      </c>
      <c r="J605" s="4">
        <v>2019.69995117187</v>
      </c>
      <c r="K605" s="4">
        <v>2019.69995117187</v>
      </c>
      <c r="L605" s="4">
        <v>2019.69995117187</v>
      </c>
      <c r="M605" s="3">
        <v>74</v>
      </c>
      <c r="N605" s="3">
        <v>74</v>
      </c>
      <c r="O605" s="54">
        <v>74</v>
      </c>
    </row>
    <row r="606" spans="2:15" x14ac:dyDescent="0.25">
      <c r="B606" s="7">
        <v>45348</v>
      </c>
      <c r="C606" s="13">
        <v>54522.400000000001</v>
      </c>
      <c r="D606" s="8">
        <v>2038.59997558593</v>
      </c>
      <c r="F606" s="7">
        <v>45348</v>
      </c>
      <c r="G606" s="13">
        <v>54522.400000000001</v>
      </c>
      <c r="H606" s="4">
        <v>54522.400000000001</v>
      </c>
      <c r="I606" s="4">
        <v>54522.400000000001</v>
      </c>
      <c r="J606" s="4">
        <v>2038.59997558593</v>
      </c>
      <c r="K606" s="4">
        <v>2038.59997558593</v>
      </c>
      <c r="L606" s="4">
        <v>2038.59997558593</v>
      </c>
      <c r="M606" s="3">
        <v>72</v>
      </c>
      <c r="N606" s="3">
        <v>72</v>
      </c>
      <c r="O606" s="54">
        <v>72</v>
      </c>
    </row>
    <row r="607" spans="2:15" x14ac:dyDescent="0.25">
      <c r="B607" s="7">
        <v>45349</v>
      </c>
      <c r="C607" s="13">
        <v>57085.37</v>
      </c>
      <c r="D607" s="8">
        <v>2028.5</v>
      </c>
      <c r="F607" s="7">
        <v>45349</v>
      </c>
      <c r="G607" s="13">
        <v>57085.37</v>
      </c>
      <c r="H607" s="4">
        <v>57085.37</v>
      </c>
      <c r="I607" s="4">
        <v>57085.37</v>
      </c>
      <c r="J607" s="4">
        <v>2028.5</v>
      </c>
      <c r="K607" s="4">
        <v>2028.5</v>
      </c>
      <c r="L607" s="4">
        <v>2028.5</v>
      </c>
      <c r="M607" s="3">
        <v>79</v>
      </c>
      <c r="N607" s="3">
        <v>79</v>
      </c>
      <c r="O607" s="54">
        <v>79</v>
      </c>
    </row>
    <row r="608" spans="2:15" x14ac:dyDescent="0.25">
      <c r="B608" s="7">
        <v>45350</v>
      </c>
      <c r="C608" s="13">
        <v>62504.79</v>
      </c>
      <c r="D608" s="8">
        <v>2034</v>
      </c>
      <c r="F608" s="7">
        <v>45350</v>
      </c>
      <c r="G608" s="13">
        <v>62504.79</v>
      </c>
      <c r="H608" s="4">
        <v>62504.79</v>
      </c>
      <c r="I608" s="4">
        <v>62504.79</v>
      </c>
      <c r="J608" s="4">
        <v>2034</v>
      </c>
      <c r="K608" s="4">
        <v>2034</v>
      </c>
      <c r="L608" s="4">
        <v>2034</v>
      </c>
      <c r="M608" s="3">
        <v>82</v>
      </c>
      <c r="N608" s="3">
        <v>82</v>
      </c>
      <c r="O608" s="54">
        <v>82</v>
      </c>
    </row>
    <row r="609" spans="2:15" x14ac:dyDescent="0.25">
      <c r="B609" s="7">
        <v>45351</v>
      </c>
      <c r="C609" s="13">
        <v>61198.38</v>
      </c>
      <c r="D609" s="8">
        <v>2033</v>
      </c>
      <c r="F609" s="7">
        <v>45351</v>
      </c>
      <c r="G609" s="13">
        <v>61198.38</v>
      </c>
      <c r="H609" s="4">
        <v>61198.38</v>
      </c>
      <c r="I609" s="4">
        <v>61198.38</v>
      </c>
      <c r="J609" s="4">
        <v>2033</v>
      </c>
      <c r="K609" s="4">
        <v>2033</v>
      </c>
      <c r="L609" s="4">
        <v>2033</v>
      </c>
      <c r="M609" s="3">
        <v>80</v>
      </c>
      <c r="N609" s="3">
        <v>80</v>
      </c>
      <c r="O609" s="54">
        <v>80</v>
      </c>
    </row>
    <row r="610" spans="2:15" x14ac:dyDescent="0.25">
      <c r="B610" s="7">
        <v>45352</v>
      </c>
      <c r="C610" s="13">
        <v>62440.63</v>
      </c>
      <c r="D610" s="8">
        <v>2045.69995117187</v>
      </c>
      <c r="F610" s="7">
        <v>45352</v>
      </c>
      <c r="G610" s="13">
        <v>62440.63</v>
      </c>
      <c r="H610" s="4">
        <v>62440.63</v>
      </c>
      <c r="I610" s="4">
        <v>62440.63</v>
      </c>
      <c r="J610" s="4">
        <v>2045.69995117187</v>
      </c>
      <c r="K610" s="4">
        <v>2045.69995117187</v>
      </c>
      <c r="L610" s="4">
        <v>2045.69995117187</v>
      </c>
      <c r="M610" s="3">
        <v>80</v>
      </c>
      <c r="N610" s="3">
        <v>80</v>
      </c>
      <c r="O610" s="54">
        <v>80</v>
      </c>
    </row>
    <row r="611" spans="2:15" x14ac:dyDescent="0.25">
      <c r="B611" s="7">
        <v>45353</v>
      </c>
      <c r="C611" s="13">
        <v>62029.85</v>
      </c>
      <c r="D611" s="8">
        <v>2086.89990234375</v>
      </c>
      <c r="F611" s="7">
        <v>45353</v>
      </c>
      <c r="G611" s="13">
        <v>62029.85</v>
      </c>
      <c r="H611" s="4">
        <v>62029.85</v>
      </c>
      <c r="I611" s="4">
        <v>62029.85</v>
      </c>
      <c r="J611" s="4">
        <v>2086.89990234375</v>
      </c>
      <c r="K611" s="4">
        <v>2086.89990234375</v>
      </c>
      <c r="L611" s="4">
        <v>2086.89990234375</v>
      </c>
      <c r="M611" s="3">
        <v>80</v>
      </c>
      <c r="N611" s="3">
        <v>80</v>
      </c>
      <c r="O611" s="54">
        <v>80</v>
      </c>
    </row>
    <row r="612" spans="2:15" x14ac:dyDescent="0.25">
      <c r="B612" s="7">
        <v>45354</v>
      </c>
      <c r="C612" s="13">
        <v>63167.37</v>
      </c>
      <c r="D612" s="8">
        <v>2045.69995117187</v>
      </c>
      <c r="F612" s="7">
        <v>45354</v>
      </c>
      <c r="G612" s="13">
        <v>63167.37</v>
      </c>
      <c r="H612" s="4">
        <v>63167.37</v>
      </c>
      <c r="I612" s="4">
        <v>63167.37</v>
      </c>
      <c r="J612" s="4">
        <v>2045.69995117187</v>
      </c>
      <c r="K612" s="4">
        <v>2045.69995117187</v>
      </c>
      <c r="L612" s="4">
        <v>2045.69995117187</v>
      </c>
      <c r="M612" s="3">
        <v>83</v>
      </c>
      <c r="N612" s="3">
        <v>83</v>
      </c>
      <c r="O612" s="54">
        <v>83</v>
      </c>
    </row>
    <row r="613" spans="2:15" x14ac:dyDescent="0.25">
      <c r="B613" s="7">
        <v>45355</v>
      </c>
      <c r="C613" s="13">
        <v>68330.41</v>
      </c>
      <c r="D613" s="8">
        <v>2086.89990234375</v>
      </c>
      <c r="F613" s="7">
        <v>45355</v>
      </c>
      <c r="G613" s="13">
        <v>68330.41</v>
      </c>
      <c r="H613" s="4">
        <v>68330.41</v>
      </c>
      <c r="I613" s="4">
        <v>68330.41</v>
      </c>
      <c r="J613" s="4">
        <v>2086.89990234375</v>
      </c>
      <c r="K613" s="4">
        <v>2086.89990234375</v>
      </c>
      <c r="L613" s="4">
        <v>2086.89990234375</v>
      </c>
      <c r="M613" s="3">
        <v>82</v>
      </c>
      <c r="N613" s="3">
        <v>82</v>
      </c>
      <c r="O613" s="54">
        <v>82</v>
      </c>
    </row>
    <row r="614" spans="2:15" x14ac:dyDescent="0.25">
      <c r="B614" s="7">
        <v>45356</v>
      </c>
      <c r="C614" s="13">
        <v>63801.2</v>
      </c>
      <c r="D614" s="8">
        <v>2117.69995117187</v>
      </c>
      <c r="F614" s="7">
        <v>45356</v>
      </c>
      <c r="G614" s="13">
        <v>63801.2</v>
      </c>
      <c r="H614" s="4">
        <v>63801.2</v>
      </c>
      <c r="I614" s="4">
        <v>63801.2</v>
      </c>
      <c r="J614" s="4">
        <v>2117.69995117187</v>
      </c>
      <c r="K614" s="4">
        <v>2117.69995117187</v>
      </c>
      <c r="L614" s="4">
        <v>2117.69995117187</v>
      </c>
      <c r="M614" s="3">
        <v>90</v>
      </c>
      <c r="N614" s="3">
        <v>90</v>
      </c>
      <c r="O614" s="54">
        <v>90</v>
      </c>
    </row>
    <row r="615" spans="2:15" x14ac:dyDescent="0.25">
      <c r="B615" s="7">
        <v>45357</v>
      </c>
      <c r="C615" s="13">
        <v>66106.8</v>
      </c>
      <c r="D615" s="8">
        <v>2133.5</v>
      </c>
      <c r="F615" s="7">
        <v>45357</v>
      </c>
      <c r="G615" s="13">
        <v>66106.8</v>
      </c>
      <c r="H615" s="4">
        <v>66106.8</v>
      </c>
      <c r="I615" s="4">
        <v>66106.8</v>
      </c>
      <c r="J615" s="4">
        <v>2133.5</v>
      </c>
      <c r="K615" s="4">
        <v>2133.5</v>
      </c>
      <c r="L615" s="4">
        <v>2133.5</v>
      </c>
      <c r="M615" s="3">
        <v>75</v>
      </c>
      <c r="N615" s="3">
        <v>75</v>
      </c>
      <c r="O615" s="54">
        <v>75</v>
      </c>
    </row>
    <row r="616" spans="2:15" x14ac:dyDescent="0.25">
      <c r="B616" s="7">
        <v>45358</v>
      </c>
      <c r="C616" s="13">
        <v>66925.48</v>
      </c>
      <c r="D616" s="8">
        <v>2150.30004882812</v>
      </c>
      <c r="F616" s="7">
        <v>45358</v>
      </c>
      <c r="G616" s="13">
        <v>66925.48</v>
      </c>
      <c r="H616" s="4">
        <v>66925.48</v>
      </c>
      <c r="I616" s="4">
        <v>66925.48</v>
      </c>
      <c r="J616" s="4">
        <v>2150.30004882812</v>
      </c>
      <c r="K616" s="4">
        <v>2150.30004882812</v>
      </c>
      <c r="L616" s="4">
        <v>2150.30004882812</v>
      </c>
      <c r="M616" s="3">
        <v>82</v>
      </c>
      <c r="N616" s="3">
        <v>82</v>
      </c>
      <c r="O616" s="54">
        <v>82</v>
      </c>
    </row>
    <row r="617" spans="2:15" x14ac:dyDescent="0.25">
      <c r="B617" s="7">
        <v>45359</v>
      </c>
      <c r="C617" s="13">
        <v>68300.09</v>
      </c>
      <c r="D617" s="8">
        <v>2158</v>
      </c>
      <c r="F617" s="7">
        <v>45359</v>
      </c>
      <c r="G617" s="13">
        <v>68300.09</v>
      </c>
      <c r="H617" s="4">
        <v>68300.09</v>
      </c>
      <c r="I617" s="4">
        <v>68300.09</v>
      </c>
      <c r="J617" s="4">
        <v>2158</v>
      </c>
      <c r="K617" s="4">
        <v>2158</v>
      </c>
      <c r="L617" s="4">
        <v>2158</v>
      </c>
      <c r="M617" s="3">
        <v>81</v>
      </c>
      <c r="N617" s="3">
        <v>81</v>
      </c>
      <c r="O617" s="54">
        <v>81</v>
      </c>
    </row>
    <row r="618" spans="2:15" x14ac:dyDescent="0.25">
      <c r="B618" s="7">
        <v>45360</v>
      </c>
      <c r="C618" s="13">
        <v>68498.880000000005</v>
      </c>
      <c r="D618" s="8">
        <v>2178.60009765625</v>
      </c>
      <c r="F618" s="7">
        <v>45360</v>
      </c>
      <c r="G618" s="13">
        <v>68498.880000000005</v>
      </c>
      <c r="H618" s="4">
        <v>68498.880000000005</v>
      </c>
      <c r="I618" s="4">
        <v>68498.880000000005</v>
      </c>
      <c r="J618" s="4">
        <v>2178.60009765625</v>
      </c>
      <c r="K618" s="4">
        <v>2178.60009765625</v>
      </c>
      <c r="L618" s="4">
        <v>2178.60009765625</v>
      </c>
      <c r="M618" s="3">
        <v>84</v>
      </c>
      <c r="N618" s="3">
        <v>84</v>
      </c>
      <c r="O618" s="54">
        <v>84</v>
      </c>
    </row>
    <row r="619" spans="2:15" x14ac:dyDescent="0.25">
      <c r="B619" s="7">
        <v>45361</v>
      </c>
      <c r="C619" s="13">
        <v>69019.789999999994</v>
      </c>
      <c r="D619" s="8">
        <v>2158</v>
      </c>
      <c r="F619" s="7">
        <v>45361</v>
      </c>
      <c r="G619" s="13">
        <v>69019.789999999994</v>
      </c>
      <c r="H619" s="4">
        <v>69019.789999999994</v>
      </c>
      <c r="I619" s="4">
        <v>69019.789999999994</v>
      </c>
      <c r="J619" s="4">
        <v>2158</v>
      </c>
      <c r="K619" s="4">
        <v>2158</v>
      </c>
      <c r="L619" s="4">
        <v>2158</v>
      </c>
      <c r="M619" s="3">
        <v>79</v>
      </c>
      <c r="N619" s="3">
        <v>79</v>
      </c>
      <c r="O619" s="54">
        <v>79</v>
      </c>
    </row>
    <row r="620" spans="2:15" x14ac:dyDescent="0.25">
      <c r="B620" s="7">
        <v>45362</v>
      </c>
      <c r="C620" s="13">
        <v>72123.91</v>
      </c>
      <c r="D620" s="8">
        <v>2178.60009765625</v>
      </c>
      <c r="F620" s="7">
        <v>45362</v>
      </c>
      <c r="G620" s="13">
        <v>72123.91</v>
      </c>
      <c r="H620" s="4">
        <v>72123.91</v>
      </c>
      <c r="I620" s="4">
        <v>72123.91</v>
      </c>
      <c r="J620" s="4">
        <v>2178.60009765625</v>
      </c>
      <c r="K620" s="4">
        <v>2178.60009765625</v>
      </c>
      <c r="L620" s="4">
        <v>2178.60009765625</v>
      </c>
      <c r="M620" s="3">
        <v>82</v>
      </c>
      <c r="N620" s="3">
        <v>82</v>
      </c>
      <c r="O620" s="54">
        <v>82</v>
      </c>
    </row>
    <row r="621" spans="2:15" x14ac:dyDescent="0.25">
      <c r="B621" s="7">
        <v>45363</v>
      </c>
      <c r="C621" s="13">
        <v>71481.289999999994</v>
      </c>
      <c r="D621" s="8">
        <v>2182.5</v>
      </c>
      <c r="F621" s="7">
        <v>45363</v>
      </c>
      <c r="G621" s="13">
        <v>71481.289999999994</v>
      </c>
      <c r="H621" s="4">
        <v>71481.289999999994</v>
      </c>
      <c r="I621" s="4">
        <v>71481.289999999994</v>
      </c>
      <c r="J621" s="4">
        <v>2182.5</v>
      </c>
      <c r="K621" s="4">
        <v>2182.5</v>
      </c>
      <c r="L621" s="4">
        <v>2182.5</v>
      </c>
      <c r="M621" s="3">
        <v>81</v>
      </c>
      <c r="N621" s="3">
        <v>81</v>
      </c>
      <c r="O621" s="54">
        <v>81</v>
      </c>
    </row>
    <row r="622" spans="2:15" x14ac:dyDescent="0.25">
      <c r="B622" s="7">
        <v>45364</v>
      </c>
      <c r="C622" s="13">
        <v>73083.5</v>
      </c>
      <c r="D622" s="8">
        <v>2160.39990234375</v>
      </c>
      <c r="F622" s="7">
        <v>45364</v>
      </c>
      <c r="G622" s="13">
        <v>73083.5</v>
      </c>
      <c r="H622" s="4">
        <v>73083.5</v>
      </c>
      <c r="I622" s="4">
        <v>73083.5</v>
      </c>
      <c r="J622" s="4">
        <v>2160.39990234375</v>
      </c>
      <c r="K622" s="4">
        <v>2160.39990234375</v>
      </c>
      <c r="L622" s="4">
        <v>2160.39990234375</v>
      </c>
      <c r="M622" s="3">
        <v>81</v>
      </c>
      <c r="N622" s="3">
        <v>81</v>
      </c>
      <c r="O622" s="54">
        <v>81</v>
      </c>
    </row>
    <row r="623" spans="2:15" x14ac:dyDescent="0.25">
      <c r="B623" s="7">
        <v>45365</v>
      </c>
      <c r="C623" s="13">
        <v>71396.59</v>
      </c>
      <c r="D623" s="8">
        <v>2175.39990234375</v>
      </c>
      <c r="F623" s="7">
        <v>45365</v>
      </c>
      <c r="G623" s="13">
        <v>71396.59</v>
      </c>
      <c r="H623" s="4">
        <v>71396.59</v>
      </c>
      <c r="I623" s="4">
        <v>71396.59</v>
      </c>
      <c r="J623" s="4">
        <v>2175.39990234375</v>
      </c>
      <c r="K623" s="4">
        <v>2175.39990234375</v>
      </c>
      <c r="L623" s="4">
        <v>2175.39990234375</v>
      </c>
      <c r="M623" s="3">
        <v>88</v>
      </c>
      <c r="N623" s="3">
        <v>88</v>
      </c>
      <c r="O623" s="54">
        <v>88</v>
      </c>
    </row>
    <row r="624" spans="2:15" x14ac:dyDescent="0.25">
      <c r="B624" s="7">
        <v>45366</v>
      </c>
      <c r="C624" s="13">
        <v>69403.77</v>
      </c>
      <c r="D624" s="8">
        <v>2163</v>
      </c>
      <c r="F624" s="7">
        <v>45366</v>
      </c>
      <c r="G624" s="13">
        <v>69403.77</v>
      </c>
      <c r="H624" s="4">
        <v>69403.77</v>
      </c>
      <c r="I624" s="4">
        <v>69403.77</v>
      </c>
      <c r="J624" s="4">
        <v>2163</v>
      </c>
      <c r="K624" s="4">
        <v>2163</v>
      </c>
      <c r="L624" s="4">
        <v>2163</v>
      </c>
      <c r="M624" s="3">
        <v>83</v>
      </c>
      <c r="N624" s="3">
        <v>83</v>
      </c>
      <c r="O624" s="54">
        <v>83</v>
      </c>
    </row>
    <row r="625" spans="2:15" x14ac:dyDescent="0.25">
      <c r="B625" s="7">
        <v>45367</v>
      </c>
      <c r="C625" s="13">
        <v>65315.12</v>
      </c>
      <c r="D625" s="8">
        <v>2157.30004882812</v>
      </c>
      <c r="F625" s="7">
        <v>45367</v>
      </c>
      <c r="G625" s="13">
        <v>65315.12</v>
      </c>
      <c r="H625" s="4">
        <v>65315.12</v>
      </c>
      <c r="I625" s="4">
        <v>65315.12</v>
      </c>
      <c r="J625" s="4">
        <v>2157.30004882812</v>
      </c>
      <c r="K625" s="4">
        <v>2157.30004882812</v>
      </c>
      <c r="L625" s="4">
        <v>2157.30004882812</v>
      </c>
      <c r="M625" s="3">
        <v>81</v>
      </c>
      <c r="N625" s="3">
        <v>81</v>
      </c>
      <c r="O625" s="54">
        <v>81</v>
      </c>
    </row>
    <row r="626" spans="2:15" x14ac:dyDescent="0.25">
      <c r="B626" s="7">
        <v>45368</v>
      </c>
      <c r="C626" s="13">
        <v>68390.63</v>
      </c>
      <c r="D626" s="8">
        <v>2163</v>
      </c>
      <c r="F626" s="7">
        <v>45368</v>
      </c>
      <c r="G626" s="13">
        <v>68390.63</v>
      </c>
      <c r="H626" s="4">
        <v>68390.63</v>
      </c>
      <c r="I626" s="4">
        <v>68390.63</v>
      </c>
      <c r="J626" s="4">
        <v>2163</v>
      </c>
      <c r="K626" s="4">
        <v>2163</v>
      </c>
      <c r="L626" s="4">
        <v>2163</v>
      </c>
      <c r="M626" s="3">
        <v>79</v>
      </c>
      <c r="N626" s="3">
        <v>79</v>
      </c>
      <c r="O626" s="54">
        <v>79</v>
      </c>
    </row>
    <row r="627" spans="2:15" x14ac:dyDescent="0.25">
      <c r="B627" s="7">
        <v>45369</v>
      </c>
      <c r="C627" s="13">
        <v>67548.59</v>
      </c>
      <c r="D627" s="8">
        <v>2157.30004882812</v>
      </c>
      <c r="F627" s="7">
        <v>45369</v>
      </c>
      <c r="G627" s="13">
        <v>67548.59</v>
      </c>
      <c r="H627" s="4">
        <v>67548.59</v>
      </c>
      <c r="I627" s="4">
        <v>67548.59</v>
      </c>
      <c r="J627" s="4">
        <v>2157.30004882812</v>
      </c>
      <c r="K627" s="4">
        <v>2157.30004882812</v>
      </c>
      <c r="L627" s="4">
        <v>2157.30004882812</v>
      </c>
      <c r="M627" s="3">
        <v>77</v>
      </c>
      <c r="N627" s="3">
        <v>77</v>
      </c>
      <c r="O627" s="54">
        <v>77</v>
      </c>
    </row>
    <row r="628" spans="2:15" x14ac:dyDescent="0.25">
      <c r="B628" s="7">
        <v>45370</v>
      </c>
      <c r="C628" s="13">
        <v>61912.77</v>
      </c>
      <c r="D628" s="8">
        <v>2160.69995117187</v>
      </c>
      <c r="F628" s="7">
        <v>45370</v>
      </c>
      <c r="G628" s="13">
        <v>61912.77</v>
      </c>
      <c r="H628" s="4">
        <v>61912.77</v>
      </c>
      <c r="I628" s="4">
        <v>61912.77</v>
      </c>
      <c r="J628" s="4">
        <v>2160.69995117187</v>
      </c>
      <c r="K628" s="4">
        <v>2160.69995117187</v>
      </c>
      <c r="L628" s="4">
        <v>2160.69995117187</v>
      </c>
      <c r="M628" s="3">
        <v>79</v>
      </c>
      <c r="N628" s="3">
        <v>79</v>
      </c>
      <c r="O628" s="54">
        <v>79</v>
      </c>
    </row>
    <row r="629" spans="2:15" x14ac:dyDescent="0.25">
      <c r="B629" s="7">
        <v>45371</v>
      </c>
      <c r="C629" s="13">
        <v>67913.67</v>
      </c>
      <c r="D629" s="8">
        <v>2156.30004882812</v>
      </c>
      <c r="F629" s="7">
        <v>45371</v>
      </c>
      <c r="G629" s="13">
        <v>67913.67</v>
      </c>
      <c r="H629" s="4">
        <v>67913.67</v>
      </c>
      <c r="I629" s="4">
        <v>67913.67</v>
      </c>
      <c r="J629" s="4">
        <v>2156.30004882812</v>
      </c>
      <c r="K629" s="4">
        <v>2156.30004882812</v>
      </c>
      <c r="L629" s="4">
        <v>2156.30004882812</v>
      </c>
      <c r="M629" s="3">
        <v>74</v>
      </c>
      <c r="N629" s="3">
        <v>74</v>
      </c>
      <c r="O629" s="54">
        <v>74</v>
      </c>
    </row>
    <row r="630" spans="2:15" x14ac:dyDescent="0.25">
      <c r="B630" s="7">
        <v>45372</v>
      </c>
      <c r="C630" s="13">
        <v>65491.39</v>
      </c>
      <c r="D630" s="8">
        <v>2157.89990234375</v>
      </c>
      <c r="F630" s="7">
        <v>45372</v>
      </c>
      <c r="G630" s="13">
        <v>65491.39</v>
      </c>
      <c r="H630" s="4">
        <v>65491.39</v>
      </c>
      <c r="I630" s="4">
        <v>65491.39</v>
      </c>
      <c r="J630" s="4">
        <v>2157.89990234375</v>
      </c>
      <c r="K630" s="4">
        <v>2157.89990234375</v>
      </c>
      <c r="L630" s="4">
        <v>2157.89990234375</v>
      </c>
      <c r="M630" s="3">
        <v>78</v>
      </c>
      <c r="N630" s="3">
        <v>78</v>
      </c>
      <c r="O630" s="54">
        <v>78</v>
      </c>
    </row>
    <row r="631" spans="2:15" x14ac:dyDescent="0.25">
      <c r="B631" s="7">
        <v>45373</v>
      </c>
      <c r="C631" s="13">
        <v>63778.76</v>
      </c>
      <c r="D631" s="8">
        <v>2182.39990234375</v>
      </c>
      <c r="F631" s="7">
        <v>45373</v>
      </c>
      <c r="G631" s="13">
        <v>63778.76</v>
      </c>
      <c r="H631" s="4">
        <v>63778.76</v>
      </c>
      <c r="I631" s="4">
        <v>63778.76</v>
      </c>
      <c r="J631" s="4">
        <v>2182.39990234375</v>
      </c>
      <c r="K631" s="4">
        <v>2182.39990234375</v>
      </c>
      <c r="L631" s="4">
        <v>2182.39990234375</v>
      </c>
      <c r="M631" s="3">
        <v>75</v>
      </c>
      <c r="N631" s="3">
        <v>75</v>
      </c>
      <c r="O631" s="54">
        <v>75</v>
      </c>
    </row>
    <row r="632" spans="2:15" x14ac:dyDescent="0.25">
      <c r="B632" s="7">
        <v>45374</v>
      </c>
      <c r="C632" s="13">
        <v>64062.2</v>
      </c>
      <c r="D632" s="8">
        <v>2158.10009765625</v>
      </c>
      <c r="F632" s="7">
        <v>45374</v>
      </c>
      <c r="G632" s="13">
        <v>64062.2</v>
      </c>
      <c r="H632" s="4">
        <v>64062.2</v>
      </c>
      <c r="I632" s="4">
        <v>64062.2</v>
      </c>
      <c r="J632" s="4">
        <v>2158.10009765625</v>
      </c>
      <c r="K632" s="4">
        <v>2158.10009765625</v>
      </c>
      <c r="L632" s="4">
        <v>2158.10009765625</v>
      </c>
      <c r="M632" s="3">
        <v>73</v>
      </c>
      <c r="N632" s="3">
        <v>73</v>
      </c>
      <c r="O632" s="54">
        <v>73</v>
      </c>
    </row>
    <row r="633" spans="2:15" x14ac:dyDescent="0.25">
      <c r="B633" s="7">
        <v>45375</v>
      </c>
      <c r="C633" s="13">
        <v>67234.17</v>
      </c>
      <c r="D633" s="8">
        <v>2182.39990234375</v>
      </c>
      <c r="F633" s="7">
        <v>45375</v>
      </c>
      <c r="G633" s="13">
        <v>67234.17</v>
      </c>
      <c r="H633" s="4">
        <v>67234.17</v>
      </c>
      <c r="I633" s="4">
        <v>67234.17</v>
      </c>
      <c r="J633" s="4">
        <v>2182.39990234375</v>
      </c>
      <c r="K633" s="4">
        <v>2182.39990234375</v>
      </c>
      <c r="L633" s="4">
        <v>2182.39990234375</v>
      </c>
      <c r="M633" s="3">
        <v>74</v>
      </c>
      <c r="N633" s="3">
        <v>74</v>
      </c>
      <c r="O633" s="54">
        <v>74</v>
      </c>
    </row>
    <row r="634" spans="2:15" x14ac:dyDescent="0.25">
      <c r="B634" s="7">
        <v>45376</v>
      </c>
      <c r="C634" s="13">
        <v>69958.81</v>
      </c>
      <c r="D634" s="8">
        <v>2158.10009765625</v>
      </c>
      <c r="F634" s="7">
        <v>45376</v>
      </c>
      <c r="G634" s="13">
        <v>69958.81</v>
      </c>
      <c r="H634" s="4">
        <v>69958.81</v>
      </c>
      <c r="I634" s="4">
        <v>69958.81</v>
      </c>
      <c r="J634" s="4">
        <v>2158.10009765625</v>
      </c>
      <c r="K634" s="4">
        <v>2158.10009765625</v>
      </c>
      <c r="L634" s="4">
        <v>2158.10009765625</v>
      </c>
      <c r="M634" s="3">
        <v>75</v>
      </c>
      <c r="N634" s="3">
        <v>75</v>
      </c>
      <c r="O634" s="54">
        <v>75</v>
      </c>
    </row>
    <row r="635" spans="2:15" x14ac:dyDescent="0.25">
      <c r="B635" s="7">
        <v>45377</v>
      </c>
      <c r="C635" s="13">
        <v>69987.839999999997</v>
      </c>
      <c r="D635" s="8">
        <v>2174.80004882812</v>
      </c>
      <c r="F635" s="7">
        <v>45377</v>
      </c>
      <c r="G635" s="13">
        <v>69987.839999999997</v>
      </c>
      <c r="H635" s="4">
        <v>69987.839999999997</v>
      </c>
      <c r="I635" s="4">
        <v>69987.839999999997</v>
      </c>
      <c r="J635" s="4">
        <v>2174.80004882812</v>
      </c>
      <c r="K635" s="4">
        <v>2174.80004882812</v>
      </c>
      <c r="L635" s="4">
        <v>2174.80004882812</v>
      </c>
      <c r="M635" s="3">
        <v>81</v>
      </c>
      <c r="N635" s="3">
        <v>81</v>
      </c>
      <c r="O635" s="54">
        <v>81</v>
      </c>
    </row>
    <row r="636" spans="2:15" x14ac:dyDescent="0.25">
      <c r="B636" s="7">
        <v>45378</v>
      </c>
      <c r="C636" s="13">
        <v>69455.34</v>
      </c>
      <c r="D636" s="8">
        <v>2175.60009765625</v>
      </c>
      <c r="F636" s="7">
        <v>45378</v>
      </c>
      <c r="G636" s="13">
        <v>69455.34</v>
      </c>
      <c r="H636" s="4">
        <v>69455.34</v>
      </c>
      <c r="I636" s="4">
        <v>69455.34</v>
      </c>
      <c r="J636" s="4">
        <v>2175.60009765625</v>
      </c>
      <c r="K636" s="4">
        <v>2175.60009765625</v>
      </c>
      <c r="L636" s="4">
        <v>2175.60009765625</v>
      </c>
      <c r="M636" s="3">
        <v>83</v>
      </c>
      <c r="N636" s="3">
        <v>83</v>
      </c>
      <c r="O636" s="54">
        <v>83</v>
      </c>
    </row>
    <row r="637" spans="2:15" x14ac:dyDescent="0.25">
      <c r="B637" s="7">
        <v>45379</v>
      </c>
      <c r="C637" s="13">
        <v>70744.95</v>
      </c>
      <c r="D637" s="8">
        <v>2190.60009765625</v>
      </c>
      <c r="F637" s="7">
        <v>45379</v>
      </c>
      <c r="G637" s="13">
        <v>70744.95</v>
      </c>
      <c r="H637" s="4">
        <v>70744.95</v>
      </c>
      <c r="I637" s="4">
        <v>70744.95</v>
      </c>
      <c r="J637" s="4">
        <v>2190.60009765625</v>
      </c>
      <c r="K637" s="4">
        <v>2190.60009765625</v>
      </c>
      <c r="L637" s="4">
        <v>2190.60009765625</v>
      </c>
      <c r="M637" s="3">
        <v>80</v>
      </c>
      <c r="N637" s="3">
        <v>80</v>
      </c>
      <c r="O637" s="54">
        <v>80</v>
      </c>
    </row>
    <row r="638" spans="2:15" x14ac:dyDescent="0.25">
      <c r="B638" s="7">
        <v>45380</v>
      </c>
      <c r="C638" s="13">
        <v>69892.83</v>
      </c>
      <c r="D638" s="8">
        <v>2217.39990234375</v>
      </c>
      <c r="F638" s="7">
        <v>45380</v>
      </c>
      <c r="G638" s="13">
        <v>69892.83</v>
      </c>
      <c r="H638" s="4">
        <v>69892.83</v>
      </c>
      <c r="I638" s="4">
        <v>69892.83</v>
      </c>
      <c r="J638" s="4">
        <v>2217.39990234375</v>
      </c>
      <c r="K638" s="4">
        <v>2217.39990234375</v>
      </c>
      <c r="L638" s="4">
        <v>2217.39990234375</v>
      </c>
      <c r="M638" s="3">
        <v>79</v>
      </c>
      <c r="N638" s="3">
        <v>79</v>
      </c>
      <c r="O638" s="54">
        <v>79</v>
      </c>
    </row>
    <row r="639" spans="2:15" x14ac:dyDescent="0.25">
      <c r="B639" s="7">
        <v>45381</v>
      </c>
      <c r="C639" s="13">
        <v>69645.3</v>
      </c>
      <c r="D639" s="8">
        <v>2190.60009765625</v>
      </c>
      <c r="F639" s="7">
        <v>45381</v>
      </c>
      <c r="G639" s="13">
        <v>69645.3</v>
      </c>
      <c r="H639" s="4">
        <v>69645.3</v>
      </c>
      <c r="I639" s="4">
        <v>69645.3</v>
      </c>
      <c r="J639" s="4">
        <v>2190.60009765625</v>
      </c>
      <c r="K639" s="4">
        <v>2190.60009765625</v>
      </c>
      <c r="L639" s="4">
        <v>2190.60009765625</v>
      </c>
      <c r="M639" s="3">
        <v>75</v>
      </c>
      <c r="N639" s="3">
        <v>75</v>
      </c>
      <c r="O639" s="54">
        <v>75</v>
      </c>
    </row>
    <row r="640" spans="2:15" x14ac:dyDescent="0.25">
      <c r="B640" s="7">
        <v>45382</v>
      </c>
      <c r="C640" s="13">
        <v>71333.649999999994</v>
      </c>
      <c r="D640" s="8">
        <v>2217.39990234375</v>
      </c>
      <c r="F640" s="7">
        <v>45382</v>
      </c>
      <c r="G640" s="13">
        <v>71333.649999999994</v>
      </c>
      <c r="H640" s="4">
        <v>71333.649999999994</v>
      </c>
      <c r="I640" s="4">
        <v>71333.649999999994</v>
      </c>
      <c r="J640" s="4">
        <v>2217.39990234375</v>
      </c>
      <c r="K640" s="4">
        <v>2217.39990234375</v>
      </c>
      <c r="L640" s="4">
        <v>2217.39990234375</v>
      </c>
      <c r="M640" s="3">
        <v>75</v>
      </c>
      <c r="N640" s="3">
        <v>75</v>
      </c>
      <c r="O640" s="54">
        <v>75</v>
      </c>
    </row>
    <row r="641" spans="2:15" x14ac:dyDescent="0.25">
      <c r="B641" s="7">
        <v>45383</v>
      </c>
      <c r="C641" s="13">
        <v>69702.149999999994</v>
      </c>
      <c r="D641" s="8">
        <v>2190.60009765625</v>
      </c>
      <c r="F641" s="7">
        <v>45383</v>
      </c>
      <c r="G641" s="13">
        <v>69702.149999999994</v>
      </c>
      <c r="H641" s="4">
        <v>69702.149999999994</v>
      </c>
      <c r="I641" s="4">
        <v>69702.149999999994</v>
      </c>
      <c r="J641" s="4">
        <v>2190.60009765625</v>
      </c>
      <c r="K641" s="4">
        <v>2190.60009765625</v>
      </c>
      <c r="L641" s="4">
        <v>2190.60009765625</v>
      </c>
      <c r="M641" s="3">
        <v>79</v>
      </c>
      <c r="N641" s="3">
        <v>79</v>
      </c>
      <c r="O641" s="54">
        <v>79</v>
      </c>
    </row>
    <row r="642" spans="2:15" x14ac:dyDescent="0.25">
      <c r="B642" s="7">
        <v>45384</v>
      </c>
      <c r="C642" s="13">
        <v>65446.97</v>
      </c>
      <c r="D642" s="8">
        <v>2236.5</v>
      </c>
      <c r="F642" s="7">
        <v>45384</v>
      </c>
      <c r="G642" s="13">
        <v>65446.97</v>
      </c>
      <c r="H642" s="4">
        <v>65446.97</v>
      </c>
      <c r="I642" s="4">
        <v>65446.97</v>
      </c>
      <c r="J642" s="4">
        <v>2236.5</v>
      </c>
      <c r="K642" s="4">
        <v>2236.5</v>
      </c>
      <c r="L642" s="4">
        <v>2236.5</v>
      </c>
      <c r="M642" s="3">
        <v>79</v>
      </c>
      <c r="N642" s="3">
        <v>79</v>
      </c>
      <c r="O642" s="54">
        <v>79</v>
      </c>
    </row>
    <row r="643" spans="2:15" x14ac:dyDescent="0.25">
      <c r="B643" s="7">
        <v>45385</v>
      </c>
      <c r="C643" s="13">
        <v>65980.81</v>
      </c>
      <c r="D643" s="8">
        <v>2261</v>
      </c>
      <c r="F643" s="7">
        <v>45385</v>
      </c>
      <c r="G643" s="13">
        <v>65980.81</v>
      </c>
      <c r="H643" s="4">
        <v>65980.81</v>
      </c>
      <c r="I643" s="4">
        <v>65980.81</v>
      </c>
      <c r="J643" s="4">
        <v>2261</v>
      </c>
      <c r="K643" s="4">
        <v>2261</v>
      </c>
      <c r="L643" s="4">
        <v>2261</v>
      </c>
      <c r="M643" s="3">
        <v>71</v>
      </c>
      <c r="N643" s="3">
        <v>71</v>
      </c>
      <c r="O643" s="54">
        <v>71</v>
      </c>
    </row>
    <row r="644" spans="2:15" x14ac:dyDescent="0.25">
      <c r="B644" s="7">
        <v>45386</v>
      </c>
      <c r="C644" s="13">
        <v>68508.84</v>
      </c>
      <c r="D644" s="8">
        <v>2294.39990234375</v>
      </c>
      <c r="F644" s="7">
        <v>45386</v>
      </c>
      <c r="G644" s="13">
        <v>68508.84</v>
      </c>
      <c r="H644" s="4">
        <v>68508.84</v>
      </c>
      <c r="I644" s="4">
        <v>68508.84</v>
      </c>
      <c r="J644" s="4">
        <v>2294.39990234375</v>
      </c>
      <c r="K644" s="4">
        <v>2294.39990234375</v>
      </c>
      <c r="L644" s="4">
        <v>2294.39990234375</v>
      </c>
      <c r="M644" s="3">
        <v>70</v>
      </c>
      <c r="N644" s="3">
        <v>70</v>
      </c>
      <c r="O644" s="54">
        <v>70</v>
      </c>
    </row>
    <row r="645" spans="2:15" x14ac:dyDescent="0.25">
      <c r="B645" s="7">
        <v>45387</v>
      </c>
      <c r="C645" s="13">
        <v>67837.64</v>
      </c>
      <c r="D645" s="8">
        <v>2288.80004882812</v>
      </c>
      <c r="F645" s="7">
        <v>45387</v>
      </c>
      <c r="G645" s="13">
        <v>67837.64</v>
      </c>
      <c r="H645" s="4">
        <v>67837.64</v>
      </c>
      <c r="I645" s="4">
        <v>67837.64</v>
      </c>
      <c r="J645" s="4">
        <v>2288.80004882812</v>
      </c>
      <c r="K645" s="4">
        <v>2288.80004882812</v>
      </c>
      <c r="L645" s="4">
        <v>2288.80004882812</v>
      </c>
      <c r="M645" s="3">
        <v>79</v>
      </c>
      <c r="N645" s="3">
        <v>79</v>
      </c>
      <c r="O645" s="54">
        <v>79</v>
      </c>
    </row>
    <row r="646" spans="2:15" x14ac:dyDescent="0.25">
      <c r="B646" s="7">
        <v>45388</v>
      </c>
      <c r="C646" s="13">
        <v>68896.11</v>
      </c>
      <c r="D646" s="8">
        <v>2325.69995117187</v>
      </c>
      <c r="F646" s="7">
        <v>45388</v>
      </c>
      <c r="G646" s="13">
        <v>68896.11</v>
      </c>
      <c r="H646" s="4">
        <v>68896.11</v>
      </c>
      <c r="I646" s="4">
        <v>68896.11</v>
      </c>
      <c r="J646" s="4">
        <v>2325.69995117187</v>
      </c>
      <c r="K646" s="4">
        <v>2325.69995117187</v>
      </c>
      <c r="L646" s="4">
        <v>2325.69995117187</v>
      </c>
      <c r="M646" s="3">
        <v>75</v>
      </c>
      <c r="N646" s="3">
        <v>75</v>
      </c>
      <c r="O646" s="54">
        <v>75</v>
      </c>
    </row>
    <row r="647" spans="2:15" x14ac:dyDescent="0.25">
      <c r="B647" s="7">
        <v>45389</v>
      </c>
      <c r="C647" s="13">
        <v>69362.55</v>
      </c>
      <c r="D647" s="8">
        <v>2288.80004882812</v>
      </c>
      <c r="F647" s="7">
        <v>45389</v>
      </c>
      <c r="G647" s="13">
        <v>69362.55</v>
      </c>
      <c r="H647" s="4">
        <v>69362.55</v>
      </c>
      <c r="I647" s="4">
        <v>69362.55</v>
      </c>
      <c r="J647" s="4">
        <v>2288.80004882812</v>
      </c>
      <c r="K647" s="4">
        <v>2288.80004882812</v>
      </c>
      <c r="L647" s="4">
        <v>2288.80004882812</v>
      </c>
      <c r="M647" s="3">
        <v>78</v>
      </c>
      <c r="N647" s="3">
        <v>78</v>
      </c>
      <c r="O647" s="54">
        <v>78</v>
      </c>
    </row>
    <row r="648" spans="2:15" x14ac:dyDescent="0.25">
      <c r="B648" s="7">
        <v>45390</v>
      </c>
      <c r="C648" s="13">
        <v>71631.360000000001</v>
      </c>
      <c r="D648" s="8">
        <v>2325.69995117187</v>
      </c>
      <c r="F648" s="7">
        <v>45390</v>
      </c>
      <c r="G648" s="13">
        <v>71631.360000000001</v>
      </c>
      <c r="H648" s="4">
        <v>71631.360000000001</v>
      </c>
      <c r="I648" s="4">
        <v>71631.360000000001</v>
      </c>
      <c r="J648" s="4">
        <v>2325.69995117187</v>
      </c>
      <c r="K648" s="4">
        <v>2325.69995117187</v>
      </c>
      <c r="L648" s="4">
        <v>2325.69995117187</v>
      </c>
      <c r="M648" s="3">
        <v>76</v>
      </c>
      <c r="N648" s="3">
        <v>76</v>
      </c>
      <c r="O648" s="54">
        <v>76</v>
      </c>
    </row>
    <row r="649" spans="2:15" x14ac:dyDescent="0.25">
      <c r="B649" s="7">
        <v>45391</v>
      </c>
      <c r="C649" s="13">
        <v>69139.02</v>
      </c>
      <c r="D649" s="8">
        <v>2331.69995117187</v>
      </c>
      <c r="F649" s="7">
        <v>45391</v>
      </c>
      <c r="G649" s="13">
        <v>69139.02</v>
      </c>
      <c r="H649" s="4">
        <v>69139.02</v>
      </c>
      <c r="I649" s="4">
        <v>69139.02</v>
      </c>
      <c r="J649" s="4">
        <v>2331.69995117187</v>
      </c>
      <c r="K649" s="4">
        <v>2331.69995117187</v>
      </c>
      <c r="L649" s="4">
        <v>2331.69995117187</v>
      </c>
      <c r="M649" s="3">
        <v>80</v>
      </c>
      <c r="N649" s="3">
        <v>80</v>
      </c>
      <c r="O649" s="54">
        <v>80</v>
      </c>
    </row>
    <row r="650" spans="2:15" x14ac:dyDescent="0.25">
      <c r="B650" s="7">
        <v>45392</v>
      </c>
      <c r="C650" s="13">
        <v>70587.88</v>
      </c>
      <c r="D650" s="8">
        <v>2343.5</v>
      </c>
      <c r="F650" s="7">
        <v>45392</v>
      </c>
      <c r="G650" s="13">
        <v>70587.88</v>
      </c>
      <c r="H650" s="4">
        <v>70587.88</v>
      </c>
      <c r="I650" s="4">
        <v>70587.88</v>
      </c>
      <c r="J650" s="4">
        <v>2343.5</v>
      </c>
      <c r="K650" s="4">
        <v>2343.5</v>
      </c>
      <c r="L650" s="4">
        <v>2343.5</v>
      </c>
      <c r="M650" s="3">
        <v>78</v>
      </c>
      <c r="N650" s="3">
        <v>78</v>
      </c>
      <c r="O650" s="54">
        <v>78</v>
      </c>
    </row>
    <row r="651" spans="2:15" x14ac:dyDescent="0.25">
      <c r="B651" s="7">
        <v>45393</v>
      </c>
      <c r="C651" s="13">
        <v>70060.61</v>
      </c>
      <c r="D651" s="8">
        <v>2329.60009765625</v>
      </c>
      <c r="F651" s="7">
        <v>45393</v>
      </c>
      <c r="G651" s="13">
        <v>70060.61</v>
      </c>
      <c r="H651" s="4">
        <v>70060.61</v>
      </c>
      <c r="I651" s="4">
        <v>70060.61</v>
      </c>
      <c r="J651" s="4">
        <v>2329.60009765625</v>
      </c>
      <c r="K651" s="4">
        <v>2329.60009765625</v>
      </c>
      <c r="L651" s="4">
        <v>2329.60009765625</v>
      </c>
      <c r="M651" s="3">
        <v>76</v>
      </c>
      <c r="N651" s="3">
        <v>76</v>
      </c>
      <c r="O651" s="54">
        <v>76</v>
      </c>
    </row>
    <row r="652" spans="2:15" x14ac:dyDescent="0.25">
      <c r="B652" s="7">
        <v>45394</v>
      </c>
      <c r="C652" s="13">
        <v>67195.87</v>
      </c>
      <c r="D652" s="8">
        <v>2354.80004882812</v>
      </c>
      <c r="F652" s="7">
        <v>45394</v>
      </c>
      <c r="G652" s="13">
        <v>67195.87</v>
      </c>
      <c r="H652" s="4">
        <v>67195.87</v>
      </c>
      <c r="I652" s="4">
        <v>67195.87</v>
      </c>
      <c r="J652" s="4">
        <v>2354.80004882812</v>
      </c>
      <c r="K652" s="4">
        <v>2354.80004882812</v>
      </c>
      <c r="L652" s="4">
        <v>2354.80004882812</v>
      </c>
      <c r="M652" s="3">
        <v>79</v>
      </c>
      <c r="N652" s="3">
        <v>79</v>
      </c>
      <c r="O652" s="54">
        <v>79</v>
      </c>
    </row>
    <row r="653" spans="2:15" x14ac:dyDescent="0.25">
      <c r="B653" s="7">
        <v>45395</v>
      </c>
      <c r="C653" s="13">
        <v>63821.47</v>
      </c>
      <c r="D653" s="8">
        <v>2356.19995117187</v>
      </c>
      <c r="F653" s="7">
        <v>45395</v>
      </c>
      <c r="G653" s="13">
        <v>63821.47</v>
      </c>
      <c r="H653" s="4">
        <v>63821.47</v>
      </c>
      <c r="I653" s="4">
        <v>63821.47</v>
      </c>
      <c r="J653" s="4">
        <v>2356.19995117187</v>
      </c>
      <c r="K653" s="4">
        <v>2356.19995117187</v>
      </c>
      <c r="L653" s="4">
        <v>2356.19995117187</v>
      </c>
      <c r="M653" s="3">
        <v>72</v>
      </c>
      <c r="N653" s="3">
        <v>72</v>
      </c>
      <c r="O653" s="54">
        <v>72</v>
      </c>
    </row>
    <row r="654" spans="2:15" x14ac:dyDescent="0.25">
      <c r="B654" s="7">
        <v>45396</v>
      </c>
      <c r="C654" s="13">
        <v>65738.73</v>
      </c>
      <c r="D654" s="8">
        <v>2354.80004882812</v>
      </c>
      <c r="F654" s="7">
        <v>45396</v>
      </c>
      <c r="G654" s="13">
        <v>65738.73</v>
      </c>
      <c r="H654" s="4">
        <v>65738.73</v>
      </c>
      <c r="I654" s="4">
        <v>65738.73</v>
      </c>
      <c r="J654" s="4">
        <v>2354.80004882812</v>
      </c>
      <c r="K654" s="4">
        <v>2354.80004882812</v>
      </c>
      <c r="L654" s="4">
        <v>2354.80004882812</v>
      </c>
      <c r="M654" s="3">
        <v>72</v>
      </c>
      <c r="N654" s="3">
        <v>72</v>
      </c>
      <c r="O654" s="54">
        <v>72</v>
      </c>
    </row>
    <row r="655" spans="2:15" x14ac:dyDescent="0.25">
      <c r="B655" s="7">
        <v>45397</v>
      </c>
      <c r="C655" s="13">
        <v>63426.21</v>
      </c>
      <c r="D655" s="8">
        <v>2356.19995117187</v>
      </c>
      <c r="F655" s="7">
        <v>45397</v>
      </c>
      <c r="G655" s="13">
        <v>63426.21</v>
      </c>
      <c r="H655" s="4">
        <v>63426.21</v>
      </c>
      <c r="I655" s="4">
        <v>63426.21</v>
      </c>
      <c r="J655" s="4">
        <v>2356.19995117187</v>
      </c>
      <c r="K655" s="4">
        <v>2356.19995117187</v>
      </c>
      <c r="L655" s="4">
        <v>2356.19995117187</v>
      </c>
      <c r="M655" s="3">
        <v>74</v>
      </c>
      <c r="N655" s="3">
        <v>74</v>
      </c>
      <c r="O655" s="54">
        <v>74</v>
      </c>
    </row>
    <row r="656" spans="2:15" x14ac:dyDescent="0.25">
      <c r="B656" s="7">
        <v>45398</v>
      </c>
      <c r="C656" s="13">
        <v>63811.86</v>
      </c>
      <c r="D656" s="8">
        <v>2365.80004882812</v>
      </c>
      <c r="F656" s="7">
        <v>45398</v>
      </c>
      <c r="G656" s="13">
        <v>63811.86</v>
      </c>
      <c r="H656" s="4">
        <v>63811.86</v>
      </c>
      <c r="I656" s="4">
        <v>63811.86</v>
      </c>
      <c r="J656" s="4">
        <v>2365.80004882812</v>
      </c>
      <c r="K656" s="4">
        <v>2365.80004882812</v>
      </c>
      <c r="L656" s="4">
        <v>2365.80004882812</v>
      </c>
      <c r="M656" s="3">
        <v>65</v>
      </c>
      <c r="N656" s="3">
        <v>65</v>
      </c>
      <c r="O656" s="54">
        <v>65</v>
      </c>
    </row>
    <row r="657" spans="2:15" x14ac:dyDescent="0.25">
      <c r="B657" s="7">
        <v>45399</v>
      </c>
      <c r="C657" s="13">
        <v>61276.69</v>
      </c>
      <c r="D657" s="8">
        <v>2390.80004882812</v>
      </c>
      <c r="F657" s="7">
        <v>45399</v>
      </c>
      <c r="G657" s="13">
        <v>61276.69</v>
      </c>
      <c r="H657" s="4">
        <v>61276.69</v>
      </c>
      <c r="I657" s="4">
        <v>61276.69</v>
      </c>
      <c r="J657" s="4">
        <v>2390.80004882812</v>
      </c>
      <c r="K657" s="4">
        <v>2390.80004882812</v>
      </c>
      <c r="L657" s="4">
        <v>2390.80004882812</v>
      </c>
      <c r="M657" s="3">
        <v>67</v>
      </c>
      <c r="N657" s="3">
        <v>67</v>
      </c>
      <c r="O657" s="54">
        <v>67</v>
      </c>
    </row>
    <row r="658" spans="2:15" x14ac:dyDescent="0.25">
      <c r="B658" s="7">
        <v>45400</v>
      </c>
      <c r="C658" s="13">
        <v>63512.75</v>
      </c>
      <c r="D658" s="8">
        <v>2371.69995117187</v>
      </c>
      <c r="F658" s="7">
        <v>45400</v>
      </c>
      <c r="G658" s="13">
        <v>63512.75</v>
      </c>
      <c r="H658" s="4">
        <v>63512.75</v>
      </c>
      <c r="I658" s="4">
        <v>63512.75</v>
      </c>
      <c r="J658" s="4">
        <v>2371.69995117187</v>
      </c>
      <c r="K658" s="4">
        <v>2371.69995117187</v>
      </c>
      <c r="L658" s="4">
        <v>2371.69995117187</v>
      </c>
      <c r="M658" s="3">
        <v>57</v>
      </c>
      <c r="N658" s="3">
        <v>57</v>
      </c>
      <c r="O658" s="54">
        <v>57</v>
      </c>
    </row>
    <row r="659" spans="2:15" x14ac:dyDescent="0.25">
      <c r="B659" s="7">
        <v>45401</v>
      </c>
      <c r="C659" s="13">
        <v>63843.57</v>
      </c>
      <c r="D659" s="8">
        <v>2382.30004882812</v>
      </c>
      <c r="F659" s="7">
        <v>45401</v>
      </c>
      <c r="G659" s="13">
        <v>63843.57</v>
      </c>
      <c r="H659" s="4">
        <v>63843.57</v>
      </c>
      <c r="I659" s="4">
        <v>63843.57</v>
      </c>
      <c r="J659" s="4">
        <v>2382.30004882812</v>
      </c>
      <c r="K659" s="4">
        <v>2382.30004882812</v>
      </c>
      <c r="L659" s="4">
        <v>2382.30004882812</v>
      </c>
      <c r="M659" s="3">
        <v>66</v>
      </c>
      <c r="N659" s="3">
        <v>66</v>
      </c>
      <c r="O659" s="54">
        <v>66</v>
      </c>
    </row>
    <row r="660" spans="2:15" x14ac:dyDescent="0.25">
      <c r="B660" s="7">
        <v>45402</v>
      </c>
      <c r="C660" s="13">
        <v>64994.44</v>
      </c>
      <c r="D660" s="8">
        <v>2398.39990234375</v>
      </c>
      <c r="F660" s="7">
        <v>45402</v>
      </c>
      <c r="G660" s="13">
        <v>64994.44</v>
      </c>
      <c r="H660" s="4">
        <v>64994.44</v>
      </c>
      <c r="I660" s="4">
        <v>64994.44</v>
      </c>
      <c r="J660" s="4">
        <v>2398.39990234375</v>
      </c>
      <c r="K660" s="4">
        <v>2398.39990234375</v>
      </c>
      <c r="L660" s="4">
        <v>2398.39990234375</v>
      </c>
      <c r="M660" s="3">
        <v>66</v>
      </c>
      <c r="N660" s="3">
        <v>66</v>
      </c>
      <c r="O660" s="54">
        <v>66</v>
      </c>
    </row>
    <row r="661" spans="2:15" x14ac:dyDescent="0.25">
      <c r="B661" s="7">
        <v>45403</v>
      </c>
      <c r="C661" s="13">
        <v>64926.64</v>
      </c>
      <c r="D661" s="8">
        <v>2382.30004882812</v>
      </c>
      <c r="F661" s="7">
        <v>45403</v>
      </c>
      <c r="G661" s="13">
        <v>64926.64</v>
      </c>
      <c r="H661" s="4">
        <v>64926.64</v>
      </c>
      <c r="I661" s="4">
        <v>64926.64</v>
      </c>
      <c r="J661" s="4">
        <v>2382.30004882812</v>
      </c>
      <c r="K661" s="4">
        <v>2382.30004882812</v>
      </c>
      <c r="L661" s="4">
        <v>2382.30004882812</v>
      </c>
      <c r="M661" s="3">
        <v>72</v>
      </c>
      <c r="N661" s="3">
        <v>72</v>
      </c>
      <c r="O661" s="54">
        <v>72</v>
      </c>
    </row>
    <row r="662" spans="2:15" x14ac:dyDescent="0.25">
      <c r="B662" s="7">
        <v>45404</v>
      </c>
      <c r="C662" s="13">
        <v>66837.679999999993</v>
      </c>
      <c r="D662" s="8">
        <v>2398.39990234375</v>
      </c>
      <c r="F662" s="7">
        <v>45404</v>
      </c>
      <c r="G662" s="13">
        <v>66837.679999999993</v>
      </c>
      <c r="H662" s="4">
        <v>66837.679999999993</v>
      </c>
      <c r="I662" s="4">
        <v>66837.679999999993</v>
      </c>
      <c r="J662" s="4">
        <v>2398.39990234375</v>
      </c>
      <c r="K662" s="4">
        <v>2398.39990234375</v>
      </c>
      <c r="L662" s="4">
        <v>2398.39990234375</v>
      </c>
      <c r="M662" s="3">
        <v>73</v>
      </c>
      <c r="N662" s="3">
        <v>73</v>
      </c>
      <c r="O662" s="54">
        <v>73</v>
      </c>
    </row>
    <row r="663" spans="2:15" x14ac:dyDescent="0.25">
      <c r="B663" s="7">
        <v>45405</v>
      </c>
      <c r="C663" s="13">
        <v>66407.27</v>
      </c>
      <c r="D663" s="8">
        <v>2332.19995117187</v>
      </c>
      <c r="F663" s="7">
        <v>45405</v>
      </c>
      <c r="G663" s="13">
        <v>66407.27</v>
      </c>
      <c r="H663" s="4">
        <v>66407.27</v>
      </c>
      <c r="I663" s="4">
        <v>66407.27</v>
      </c>
      <c r="J663" s="4">
        <v>2332.19995117187</v>
      </c>
      <c r="K663" s="4">
        <v>2332.19995117187</v>
      </c>
      <c r="L663" s="4">
        <v>2332.19995117187</v>
      </c>
      <c r="M663" s="3">
        <v>71</v>
      </c>
      <c r="N663" s="3">
        <v>71</v>
      </c>
      <c r="O663" s="54">
        <v>71</v>
      </c>
    </row>
    <row r="664" spans="2:15" x14ac:dyDescent="0.25">
      <c r="B664" s="7">
        <v>45406</v>
      </c>
      <c r="C664" s="13">
        <v>64276.9</v>
      </c>
      <c r="D664" s="8">
        <v>2327.69995117187</v>
      </c>
      <c r="F664" s="7">
        <v>45406</v>
      </c>
      <c r="G664" s="13">
        <v>64276.9</v>
      </c>
      <c r="H664" s="4">
        <v>64276.9</v>
      </c>
      <c r="I664" s="4">
        <v>64276.9</v>
      </c>
      <c r="J664" s="4">
        <v>2327.69995117187</v>
      </c>
      <c r="K664" s="4">
        <v>2327.69995117187</v>
      </c>
      <c r="L664" s="4">
        <v>2327.69995117187</v>
      </c>
      <c r="M664" s="3">
        <v>72</v>
      </c>
      <c r="N664" s="3">
        <v>72</v>
      </c>
      <c r="O664" s="54">
        <v>72</v>
      </c>
    </row>
    <row r="665" spans="2:15" x14ac:dyDescent="0.25">
      <c r="B665" s="7">
        <v>45407</v>
      </c>
      <c r="C665" s="13">
        <v>64481.71</v>
      </c>
      <c r="D665" s="8">
        <v>2324.5</v>
      </c>
      <c r="F665" s="7">
        <v>45407</v>
      </c>
      <c r="G665" s="13">
        <v>64481.71</v>
      </c>
      <c r="H665" s="4">
        <v>64481.71</v>
      </c>
      <c r="I665" s="4">
        <v>64481.71</v>
      </c>
      <c r="J665" s="4">
        <v>2324.5</v>
      </c>
      <c r="K665" s="4">
        <v>2324.5</v>
      </c>
      <c r="L665" s="4">
        <v>2324.5</v>
      </c>
      <c r="M665" s="3">
        <v>72</v>
      </c>
      <c r="N665" s="3">
        <v>72</v>
      </c>
      <c r="O665" s="54">
        <v>72</v>
      </c>
    </row>
    <row r="666" spans="2:15" x14ac:dyDescent="0.25">
      <c r="B666" s="7">
        <v>45408</v>
      </c>
      <c r="C666" s="13">
        <v>63755.32</v>
      </c>
      <c r="D666" s="8">
        <v>2329.80004882812</v>
      </c>
      <c r="F666" s="7">
        <v>45408</v>
      </c>
      <c r="G666" s="13">
        <v>63755.32</v>
      </c>
      <c r="H666" s="4">
        <v>63755.32</v>
      </c>
      <c r="I666" s="4">
        <v>63755.32</v>
      </c>
      <c r="J666" s="4">
        <v>2329.80004882812</v>
      </c>
      <c r="K666" s="4">
        <v>2329.80004882812</v>
      </c>
      <c r="L666" s="4">
        <v>2329.80004882812</v>
      </c>
      <c r="M666" s="3">
        <v>70</v>
      </c>
      <c r="N666" s="3">
        <v>70</v>
      </c>
      <c r="O666" s="54">
        <v>70</v>
      </c>
    </row>
    <row r="667" spans="2:15" x14ac:dyDescent="0.25">
      <c r="B667" s="7">
        <v>45409</v>
      </c>
      <c r="C667" s="13">
        <v>63419.14</v>
      </c>
      <c r="D667" s="8">
        <v>2334.80004882812</v>
      </c>
      <c r="F667" s="7">
        <v>45409</v>
      </c>
      <c r="G667" s="13">
        <v>63419.14</v>
      </c>
      <c r="H667" s="4">
        <v>63419.14</v>
      </c>
      <c r="I667" s="4">
        <v>63419.14</v>
      </c>
      <c r="J667" s="4">
        <v>2334.80004882812</v>
      </c>
      <c r="K667" s="4">
        <v>2334.80004882812</v>
      </c>
      <c r="L667" s="4">
        <v>2334.80004882812</v>
      </c>
      <c r="M667" s="3">
        <v>67</v>
      </c>
      <c r="N667" s="3">
        <v>67</v>
      </c>
      <c r="O667" s="54">
        <v>67</v>
      </c>
    </row>
    <row r="668" spans="2:15" x14ac:dyDescent="0.25">
      <c r="B668" s="7">
        <v>45410</v>
      </c>
      <c r="C668" s="13">
        <v>63113.23</v>
      </c>
      <c r="D668" s="8">
        <v>2329.80004882812</v>
      </c>
      <c r="F668" s="7">
        <v>45410</v>
      </c>
      <c r="G668" s="13">
        <v>63113.23</v>
      </c>
      <c r="H668" s="4">
        <v>63113.23</v>
      </c>
      <c r="I668" s="4">
        <v>63113.23</v>
      </c>
      <c r="J668" s="4">
        <v>2329.80004882812</v>
      </c>
      <c r="K668" s="4">
        <v>2329.80004882812</v>
      </c>
      <c r="L668" s="4">
        <v>2329.80004882812</v>
      </c>
      <c r="M668" s="3">
        <v>65</v>
      </c>
      <c r="N668" s="3">
        <v>65</v>
      </c>
      <c r="O668" s="54">
        <v>65</v>
      </c>
    </row>
    <row r="669" spans="2:15" x14ac:dyDescent="0.25">
      <c r="B669" s="7">
        <v>45411</v>
      </c>
      <c r="C669" s="13">
        <v>63841.120000000003</v>
      </c>
      <c r="D669" s="8">
        <v>2334.80004882812</v>
      </c>
      <c r="F669" s="7">
        <v>45411</v>
      </c>
      <c r="G669" s="13">
        <v>63841.120000000003</v>
      </c>
      <c r="H669" s="4">
        <v>63841.120000000003</v>
      </c>
      <c r="I669" s="4">
        <v>63841.120000000003</v>
      </c>
      <c r="J669" s="4">
        <v>2334.80004882812</v>
      </c>
      <c r="K669" s="4">
        <v>2334.80004882812</v>
      </c>
      <c r="L669" s="4">
        <v>2334.80004882812</v>
      </c>
      <c r="M669" s="3">
        <v>67</v>
      </c>
      <c r="N669" s="3">
        <v>67</v>
      </c>
      <c r="O669" s="54">
        <v>67</v>
      </c>
    </row>
    <row r="670" spans="2:15" x14ac:dyDescent="0.25">
      <c r="B670" s="7">
        <v>45412</v>
      </c>
      <c r="C670" s="13">
        <v>60636.86</v>
      </c>
      <c r="D670" s="8">
        <v>2345.39990234375</v>
      </c>
      <c r="F670" s="7">
        <v>45412</v>
      </c>
      <c r="G670" s="13">
        <v>60636.86</v>
      </c>
      <c r="H670" s="4">
        <v>60636.86</v>
      </c>
      <c r="I670" s="4">
        <v>60636.86</v>
      </c>
      <c r="J670" s="4">
        <v>2345.39990234375</v>
      </c>
      <c r="K670" s="4">
        <v>2345.39990234375</v>
      </c>
      <c r="L670" s="4">
        <v>2345.39990234375</v>
      </c>
      <c r="M670" s="3">
        <v>67</v>
      </c>
      <c r="N670" s="3">
        <v>67</v>
      </c>
      <c r="O670" s="54">
        <v>67</v>
      </c>
    </row>
    <row r="671" spans="2:15" x14ac:dyDescent="0.25">
      <c r="B671" s="7">
        <v>45413</v>
      </c>
      <c r="C671" s="13">
        <v>58254.01</v>
      </c>
      <c r="D671" s="8">
        <v>2291.39990234375</v>
      </c>
      <c r="F671" s="7">
        <v>45413</v>
      </c>
      <c r="G671" s="13">
        <v>58254.01</v>
      </c>
      <c r="H671" s="4">
        <v>58254.01</v>
      </c>
      <c r="I671" s="4">
        <v>58254.01</v>
      </c>
      <c r="J671" s="4">
        <v>2291.39990234375</v>
      </c>
      <c r="K671" s="4">
        <v>2291.39990234375</v>
      </c>
      <c r="L671" s="4">
        <v>2291.39990234375</v>
      </c>
      <c r="M671" s="3">
        <v>54</v>
      </c>
      <c r="N671" s="3">
        <v>54</v>
      </c>
      <c r="O671" s="54">
        <v>54</v>
      </c>
    </row>
    <row r="672" spans="2:15" x14ac:dyDescent="0.25">
      <c r="B672" s="7">
        <v>45414</v>
      </c>
      <c r="C672" s="13">
        <v>59123.43</v>
      </c>
      <c r="D672" s="8">
        <v>2299.89990234375</v>
      </c>
      <c r="F672" s="7">
        <v>45414</v>
      </c>
      <c r="G672" s="13">
        <v>59123.43</v>
      </c>
      <c r="H672" s="4">
        <v>59123.43</v>
      </c>
      <c r="I672" s="4">
        <v>59123.43</v>
      </c>
      <c r="J672" s="4">
        <v>2299.89990234375</v>
      </c>
      <c r="K672" s="4">
        <v>2299.89990234375</v>
      </c>
      <c r="L672" s="4">
        <v>2299.89990234375</v>
      </c>
      <c r="M672" s="3">
        <v>43</v>
      </c>
      <c r="N672" s="3">
        <v>43</v>
      </c>
      <c r="O672" s="54">
        <v>43</v>
      </c>
    </row>
    <row r="673" spans="2:15" x14ac:dyDescent="0.25">
      <c r="B673" s="7">
        <v>45415</v>
      </c>
      <c r="C673" s="13">
        <v>62889.84</v>
      </c>
      <c r="D673" s="8">
        <v>2299.19995117187</v>
      </c>
      <c r="F673" s="7">
        <v>45415</v>
      </c>
      <c r="G673" s="13">
        <v>62889.84</v>
      </c>
      <c r="H673" s="4">
        <v>62889.84</v>
      </c>
      <c r="I673" s="4">
        <v>62889.84</v>
      </c>
      <c r="J673" s="4">
        <v>2299.19995117187</v>
      </c>
      <c r="K673" s="4">
        <v>2299.19995117187</v>
      </c>
      <c r="L673" s="4">
        <v>2299.19995117187</v>
      </c>
      <c r="M673" s="3">
        <v>48</v>
      </c>
      <c r="N673" s="3">
        <v>48</v>
      </c>
      <c r="O673" s="54">
        <v>48</v>
      </c>
    </row>
    <row r="674" spans="2:15" x14ac:dyDescent="0.25">
      <c r="B674" s="7">
        <v>45416</v>
      </c>
      <c r="C674" s="13">
        <v>63891.47</v>
      </c>
      <c r="D674" s="8">
        <v>2299</v>
      </c>
      <c r="F674" s="7">
        <v>45416</v>
      </c>
      <c r="G674" s="13">
        <v>63891.47</v>
      </c>
      <c r="H674" s="4">
        <v>63891.47</v>
      </c>
      <c r="I674" s="4">
        <v>63891.47</v>
      </c>
      <c r="J674" s="4">
        <v>2299</v>
      </c>
      <c r="K674" s="4">
        <v>2299</v>
      </c>
      <c r="L674" s="4">
        <v>2299</v>
      </c>
      <c r="M674" s="3">
        <v>67</v>
      </c>
      <c r="N674" s="3">
        <v>67</v>
      </c>
      <c r="O674" s="54">
        <v>67</v>
      </c>
    </row>
    <row r="675" spans="2:15" x14ac:dyDescent="0.25">
      <c r="B675" s="7">
        <v>45417</v>
      </c>
      <c r="C675" s="13">
        <v>64031.13</v>
      </c>
      <c r="D675" s="8">
        <v>2299.19995117187</v>
      </c>
      <c r="F675" s="7">
        <v>45417</v>
      </c>
      <c r="G675" s="13">
        <v>64031.13</v>
      </c>
      <c r="H675" s="4">
        <v>64031.13</v>
      </c>
      <c r="I675" s="4">
        <v>64031.13</v>
      </c>
      <c r="J675" s="4">
        <v>2299.19995117187</v>
      </c>
      <c r="K675" s="4">
        <v>2299.19995117187</v>
      </c>
      <c r="L675" s="4">
        <v>2299.19995117187</v>
      </c>
      <c r="M675" s="3">
        <v>69</v>
      </c>
      <c r="N675" s="3">
        <v>69</v>
      </c>
      <c r="O675" s="54">
        <v>69</v>
      </c>
    </row>
    <row r="676" spans="2:15" x14ac:dyDescent="0.25">
      <c r="B676" s="7">
        <v>45418</v>
      </c>
      <c r="C676" s="13">
        <v>63161.95</v>
      </c>
      <c r="D676" s="8">
        <v>2299</v>
      </c>
      <c r="F676" s="7">
        <v>45418</v>
      </c>
      <c r="G676" s="13">
        <v>63161.95</v>
      </c>
      <c r="H676" s="4">
        <v>63161.95</v>
      </c>
      <c r="I676" s="4">
        <v>63161.95</v>
      </c>
      <c r="J676" s="4">
        <v>2299</v>
      </c>
      <c r="K676" s="4">
        <v>2299</v>
      </c>
      <c r="L676" s="4">
        <v>2299</v>
      </c>
      <c r="M676" s="3">
        <v>71</v>
      </c>
      <c r="N676" s="3">
        <v>71</v>
      </c>
      <c r="O676" s="54">
        <v>71</v>
      </c>
    </row>
    <row r="677" spans="2:15" x14ac:dyDescent="0.25">
      <c r="B677" s="7">
        <v>45419</v>
      </c>
      <c r="C677" s="13">
        <v>62334.82</v>
      </c>
      <c r="D677" s="8">
        <v>2321.60009765625</v>
      </c>
      <c r="F677" s="7">
        <v>45419</v>
      </c>
      <c r="G677" s="13">
        <v>62334.82</v>
      </c>
      <c r="H677" s="4">
        <v>62334.82</v>
      </c>
      <c r="I677" s="4">
        <v>62334.82</v>
      </c>
      <c r="J677" s="4">
        <v>2321.60009765625</v>
      </c>
      <c r="K677" s="4">
        <v>2321.60009765625</v>
      </c>
      <c r="L677" s="4">
        <v>2321.60009765625</v>
      </c>
      <c r="M677" s="3">
        <v>68</v>
      </c>
      <c r="N677" s="3">
        <v>68</v>
      </c>
      <c r="O677" s="54">
        <v>68</v>
      </c>
    </row>
    <row r="678" spans="2:15" x14ac:dyDescent="0.25">
      <c r="B678" s="7">
        <v>45420</v>
      </c>
      <c r="C678" s="13">
        <v>61187.94</v>
      </c>
      <c r="D678" s="8">
        <v>2315.19995117187</v>
      </c>
      <c r="F678" s="7">
        <v>45420</v>
      </c>
      <c r="G678" s="13">
        <v>61187.94</v>
      </c>
      <c r="H678" s="4">
        <v>61187.94</v>
      </c>
      <c r="I678" s="4">
        <v>61187.94</v>
      </c>
      <c r="J678" s="4">
        <v>2315.19995117187</v>
      </c>
      <c r="K678" s="4">
        <v>2315.19995117187</v>
      </c>
      <c r="L678" s="4">
        <v>2315.19995117187</v>
      </c>
      <c r="M678" s="3">
        <v>64</v>
      </c>
      <c r="N678" s="3">
        <v>64</v>
      </c>
      <c r="O678" s="54">
        <v>64</v>
      </c>
    </row>
    <row r="679" spans="2:15" x14ac:dyDescent="0.25">
      <c r="B679" s="7">
        <v>45421</v>
      </c>
      <c r="C679" s="13">
        <v>63049.96</v>
      </c>
      <c r="D679" s="8">
        <v>2313.60009765625</v>
      </c>
      <c r="F679" s="7">
        <v>45421</v>
      </c>
      <c r="G679" s="13">
        <v>63049.96</v>
      </c>
      <c r="H679" s="4">
        <v>63049.96</v>
      </c>
      <c r="I679" s="4">
        <v>63049.96</v>
      </c>
      <c r="J679" s="4">
        <v>2313.60009765625</v>
      </c>
      <c r="K679" s="4">
        <v>2313.60009765625</v>
      </c>
      <c r="L679" s="4">
        <v>2313.60009765625</v>
      </c>
      <c r="M679" s="3">
        <v>55</v>
      </c>
      <c r="N679" s="3">
        <v>55</v>
      </c>
      <c r="O679" s="54">
        <v>55</v>
      </c>
    </row>
    <row r="680" spans="2:15" x14ac:dyDescent="0.25">
      <c r="B680" s="7">
        <v>45422</v>
      </c>
      <c r="C680" s="13">
        <v>60792.78</v>
      </c>
      <c r="D680" s="8">
        <v>2332.10009765625</v>
      </c>
      <c r="F680" s="7">
        <v>45422</v>
      </c>
      <c r="G680" s="13">
        <v>60792.78</v>
      </c>
      <c r="H680" s="4">
        <v>60792.78</v>
      </c>
      <c r="I680" s="4">
        <v>60792.78</v>
      </c>
      <c r="J680" s="4">
        <v>2332.10009765625</v>
      </c>
      <c r="K680" s="4">
        <v>2332.10009765625</v>
      </c>
      <c r="L680" s="4">
        <v>2332.10009765625</v>
      </c>
      <c r="M680" s="3">
        <v>66</v>
      </c>
      <c r="N680" s="3">
        <v>66</v>
      </c>
      <c r="O680" s="54">
        <v>66</v>
      </c>
    </row>
    <row r="681" spans="2:15" x14ac:dyDescent="0.25">
      <c r="B681" s="7">
        <v>45423</v>
      </c>
      <c r="C681" s="13">
        <v>60793.71</v>
      </c>
      <c r="D681" s="8">
        <v>2367.30004882812</v>
      </c>
      <c r="F681" s="7">
        <v>45423</v>
      </c>
      <c r="G681" s="13">
        <v>60793.71</v>
      </c>
      <c r="H681" s="4">
        <v>60793.71</v>
      </c>
      <c r="I681" s="4">
        <v>60793.71</v>
      </c>
      <c r="J681" s="4">
        <v>2367.30004882812</v>
      </c>
      <c r="K681" s="4">
        <v>2367.30004882812</v>
      </c>
      <c r="L681" s="4">
        <v>2367.30004882812</v>
      </c>
      <c r="M681" s="3">
        <v>53</v>
      </c>
      <c r="N681" s="3">
        <v>53</v>
      </c>
      <c r="O681" s="54">
        <v>53</v>
      </c>
    </row>
    <row r="682" spans="2:15" x14ac:dyDescent="0.25">
      <c r="B682" s="7">
        <v>45424</v>
      </c>
      <c r="C682" s="13">
        <v>61448.39</v>
      </c>
      <c r="D682" s="8">
        <v>2332.10009765625</v>
      </c>
      <c r="F682" s="7">
        <v>45424</v>
      </c>
      <c r="G682" s="13">
        <v>61448.39</v>
      </c>
      <c r="H682" s="4">
        <v>61448.39</v>
      </c>
      <c r="I682" s="4">
        <v>61448.39</v>
      </c>
      <c r="J682" s="4">
        <v>2332.10009765625</v>
      </c>
      <c r="K682" s="4">
        <v>2332.10009765625</v>
      </c>
      <c r="L682" s="4">
        <v>2332.10009765625</v>
      </c>
      <c r="M682" s="3">
        <v>56</v>
      </c>
      <c r="N682" s="3">
        <v>56</v>
      </c>
      <c r="O682" s="54">
        <v>56</v>
      </c>
    </row>
    <row r="683" spans="2:15" x14ac:dyDescent="0.25">
      <c r="B683" s="7">
        <v>45425</v>
      </c>
      <c r="C683" s="13">
        <v>62901.45</v>
      </c>
      <c r="D683" s="8">
        <v>2367.30004882812</v>
      </c>
      <c r="F683" s="7">
        <v>45425</v>
      </c>
      <c r="G683" s="13">
        <v>62901.45</v>
      </c>
      <c r="H683" s="4">
        <v>62901.45</v>
      </c>
      <c r="I683" s="4">
        <v>62901.45</v>
      </c>
      <c r="J683" s="4">
        <v>2367.30004882812</v>
      </c>
      <c r="K683" s="4">
        <v>2367.30004882812</v>
      </c>
      <c r="L683" s="4">
        <v>2367.30004882812</v>
      </c>
      <c r="M683" s="3">
        <v>57</v>
      </c>
      <c r="N683" s="3">
        <v>57</v>
      </c>
      <c r="O683" s="54">
        <v>57</v>
      </c>
    </row>
    <row r="684" spans="2:15" x14ac:dyDescent="0.25">
      <c r="B684" s="7">
        <v>45426</v>
      </c>
      <c r="C684" s="13">
        <v>61552.79</v>
      </c>
      <c r="D684" s="8">
        <v>2336.10009765625</v>
      </c>
      <c r="F684" s="7">
        <v>45426</v>
      </c>
      <c r="G684" s="13">
        <v>61552.79</v>
      </c>
      <c r="H684" s="4">
        <v>61552.79</v>
      </c>
      <c r="I684" s="4">
        <v>61552.79</v>
      </c>
      <c r="J684" s="4">
        <v>2336.10009765625</v>
      </c>
      <c r="K684" s="4">
        <v>2336.10009765625</v>
      </c>
      <c r="L684" s="4">
        <v>2336.10009765625</v>
      </c>
      <c r="M684" s="3">
        <v>66</v>
      </c>
      <c r="N684" s="3">
        <v>66</v>
      </c>
      <c r="O684" s="54">
        <v>66</v>
      </c>
    </row>
    <row r="685" spans="2:15" x14ac:dyDescent="0.25">
      <c r="B685" s="7">
        <v>45427</v>
      </c>
      <c r="C685" s="13">
        <v>66267.490000000005</v>
      </c>
      <c r="D685" s="8">
        <v>2353.39990234375</v>
      </c>
      <c r="F685" s="7">
        <v>45427</v>
      </c>
      <c r="G685" s="13">
        <v>66267.490000000005</v>
      </c>
      <c r="H685" s="4">
        <v>66267.490000000005</v>
      </c>
      <c r="I685" s="4">
        <v>66267.490000000005</v>
      </c>
      <c r="J685" s="4">
        <v>2353.39990234375</v>
      </c>
      <c r="K685" s="4">
        <v>2353.39990234375</v>
      </c>
      <c r="L685" s="4">
        <v>2353.39990234375</v>
      </c>
      <c r="M685" s="3">
        <v>64</v>
      </c>
      <c r="N685" s="3">
        <v>64</v>
      </c>
      <c r="O685" s="54">
        <v>64</v>
      </c>
    </row>
    <row r="686" spans="2:15" x14ac:dyDescent="0.25">
      <c r="B686" s="7">
        <v>45428</v>
      </c>
      <c r="C686" s="13">
        <v>65231.58</v>
      </c>
      <c r="D686" s="8">
        <v>2388.69995117187</v>
      </c>
      <c r="F686" s="7">
        <v>45428</v>
      </c>
      <c r="G686" s="13">
        <v>65231.58</v>
      </c>
      <c r="H686" s="4">
        <v>65231.58</v>
      </c>
      <c r="I686" s="4">
        <v>65231.58</v>
      </c>
      <c r="J686" s="4">
        <v>2388.69995117187</v>
      </c>
      <c r="K686" s="4">
        <v>2388.69995117187</v>
      </c>
      <c r="L686" s="4">
        <v>2388.69995117187</v>
      </c>
      <c r="M686" s="3">
        <v>70</v>
      </c>
      <c r="N686" s="3">
        <v>70</v>
      </c>
      <c r="O686" s="54">
        <v>70</v>
      </c>
    </row>
    <row r="687" spans="2:15" x14ac:dyDescent="0.25">
      <c r="B687" s="7">
        <v>45429</v>
      </c>
      <c r="C687" s="13">
        <v>67051.88</v>
      </c>
      <c r="D687" s="8">
        <v>2380</v>
      </c>
      <c r="F687" s="7">
        <v>45429</v>
      </c>
      <c r="G687" s="13">
        <v>67051.88</v>
      </c>
      <c r="H687" s="4">
        <v>67051.88</v>
      </c>
      <c r="I687" s="4">
        <v>67051.88</v>
      </c>
      <c r="J687" s="4">
        <v>2380</v>
      </c>
      <c r="K687" s="4">
        <v>2380</v>
      </c>
      <c r="L687" s="4">
        <v>2380</v>
      </c>
      <c r="M687" s="3">
        <v>74</v>
      </c>
      <c r="N687" s="3">
        <v>74</v>
      </c>
      <c r="O687" s="54">
        <v>74</v>
      </c>
    </row>
    <row r="688" spans="2:15" x14ac:dyDescent="0.25">
      <c r="B688" s="7">
        <v>45430</v>
      </c>
      <c r="C688" s="13">
        <v>66940.800000000003</v>
      </c>
      <c r="D688" s="8">
        <v>2412.19995117187</v>
      </c>
      <c r="F688" s="7">
        <v>45430</v>
      </c>
      <c r="G688" s="13">
        <v>66940.800000000003</v>
      </c>
      <c r="H688" s="4">
        <v>66940.800000000003</v>
      </c>
      <c r="I688" s="4">
        <v>66940.800000000003</v>
      </c>
      <c r="J688" s="4">
        <v>2412.19995117187</v>
      </c>
      <c r="K688" s="4">
        <v>2412.19995117187</v>
      </c>
      <c r="L688" s="4">
        <v>2412.19995117187</v>
      </c>
      <c r="M688" s="3">
        <v>73</v>
      </c>
      <c r="N688" s="3">
        <v>73</v>
      </c>
      <c r="O688" s="54">
        <v>73</v>
      </c>
    </row>
    <row r="689" spans="2:15" x14ac:dyDescent="0.25">
      <c r="B689" s="7">
        <v>45431</v>
      </c>
      <c r="C689" s="13">
        <v>66278.37</v>
      </c>
      <c r="D689" s="8">
        <v>2380</v>
      </c>
      <c r="F689" s="7">
        <v>45431</v>
      </c>
      <c r="G689" s="13">
        <v>66278.37</v>
      </c>
      <c r="H689" s="4">
        <v>66278.37</v>
      </c>
      <c r="I689" s="4">
        <v>66278.37</v>
      </c>
      <c r="J689" s="4">
        <v>2380</v>
      </c>
      <c r="K689" s="4">
        <v>2380</v>
      </c>
      <c r="L689" s="4">
        <v>2380</v>
      </c>
      <c r="M689" s="3">
        <v>72</v>
      </c>
      <c r="N689" s="3">
        <v>72</v>
      </c>
      <c r="O689" s="54">
        <v>72</v>
      </c>
    </row>
    <row r="690" spans="2:15" x14ac:dyDescent="0.25">
      <c r="B690" s="7">
        <v>45432</v>
      </c>
      <c r="C690" s="13">
        <v>71448.2</v>
      </c>
      <c r="D690" s="8">
        <v>2412.19995117187</v>
      </c>
      <c r="F690" s="7">
        <v>45432</v>
      </c>
      <c r="G690" s="13">
        <v>71448.2</v>
      </c>
      <c r="H690" s="4">
        <v>71448.2</v>
      </c>
      <c r="I690" s="4">
        <v>71448.2</v>
      </c>
      <c r="J690" s="4">
        <v>2412.19995117187</v>
      </c>
      <c r="K690" s="4">
        <v>2412.19995117187</v>
      </c>
      <c r="L690" s="4">
        <v>2412.19995117187</v>
      </c>
      <c r="M690" s="3">
        <v>70</v>
      </c>
      <c r="N690" s="3">
        <v>70</v>
      </c>
      <c r="O690" s="54">
        <v>70</v>
      </c>
    </row>
    <row r="691" spans="2:15" x14ac:dyDescent="0.25">
      <c r="B691" s="7">
        <v>45433</v>
      </c>
      <c r="C691" s="13">
        <v>70136.53</v>
      </c>
      <c r="D691" s="8">
        <v>2433.89990234375</v>
      </c>
      <c r="F691" s="7">
        <v>45433</v>
      </c>
      <c r="G691" s="13">
        <v>70136.53</v>
      </c>
      <c r="H691" s="4">
        <v>70136.53</v>
      </c>
      <c r="I691" s="4">
        <v>70136.53</v>
      </c>
      <c r="J691" s="4">
        <v>2433.89990234375</v>
      </c>
      <c r="K691" s="4">
        <v>2433.89990234375</v>
      </c>
      <c r="L691" s="4">
        <v>2433.89990234375</v>
      </c>
      <c r="M691" s="3">
        <v>76</v>
      </c>
      <c r="N691" s="3">
        <v>76</v>
      </c>
      <c r="O691" s="54">
        <v>76</v>
      </c>
    </row>
    <row r="692" spans="2:15" x14ac:dyDescent="0.25">
      <c r="B692" s="7">
        <v>45434</v>
      </c>
      <c r="C692" s="13">
        <v>69122.34</v>
      </c>
      <c r="D692" s="8">
        <v>2421.69995117187</v>
      </c>
      <c r="F692" s="7">
        <v>45434</v>
      </c>
      <c r="G692" s="13">
        <v>69122.34</v>
      </c>
      <c r="H692" s="4">
        <v>69122.34</v>
      </c>
      <c r="I692" s="4">
        <v>69122.34</v>
      </c>
      <c r="J692" s="4">
        <v>2421.69995117187</v>
      </c>
      <c r="K692" s="4">
        <v>2421.69995117187</v>
      </c>
      <c r="L692" s="4">
        <v>2421.69995117187</v>
      </c>
      <c r="M692" s="3">
        <v>76</v>
      </c>
      <c r="N692" s="3">
        <v>76</v>
      </c>
      <c r="O692" s="54">
        <v>76</v>
      </c>
    </row>
    <row r="693" spans="2:15" x14ac:dyDescent="0.25">
      <c r="B693" s="7">
        <v>45435</v>
      </c>
      <c r="C693" s="13">
        <v>67929.56</v>
      </c>
      <c r="D693" s="8">
        <v>2389.19995117187</v>
      </c>
      <c r="F693" s="7">
        <v>45435</v>
      </c>
      <c r="G693" s="13">
        <v>67929.56</v>
      </c>
      <c r="H693" s="4">
        <v>67929.56</v>
      </c>
      <c r="I693" s="4">
        <v>67929.56</v>
      </c>
      <c r="J693" s="4">
        <v>2389.19995117187</v>
      </c>
      <c r="K693" s="4">
        <v>2389.19995117187</v>
      </c>
      <c r="L693" s="4">
        <v>2389.19995117187</v>
      </c>
      <c r="M693" s="3">
        <v>76</v>
      </c>
      <c r="N693" s="3">
        <v>76</v>
      </c>
      <c r="O693" s="54">
        <v>76</v>
      </c>
    </row>
    <row r="694" spans="2:15" x14ac:dyDescent="0.25">
      <c r="B694" s="7">
        <v>45436</v>
      </c>
      <c r="C694" s="13">
        <v>68526.100000000006</v>
      </c>
      <c r="D694" s="8">
        <v>2335</v>
      </c>
      <c r="F694" s="7">
        <v>45436</v>
      </c>
      <c r="G694" s="13">
        <v>68526.100000000006</v>
      </c>
      <c r="H694" s="4">
        <v>68526.100000000006</v>
      </c>
      <c r="I694" s="4">
        <v>68526.100000000006</v>
      </c>
      <c r="J694" s="4">
        <v>2335</v>
      </c>
      <c r="K694" s="4">
        <v>2335</v>
      </c>
      <c r="L694" s="4">
        <v>2335</v>
      </c>
      <c r="M694" s="3">
        <v>74</v>
      </c>
      <c r="N694" s="3">
        <v>74</v>
      </c>
      <c r="O694" s="54">
        <v>74</v>
      </c>
    </row>
    <row r="695" spans="2:15" x14ac:dyDescent="0.25">
      <c r="B695" s="7">
        <v>45437</v>
      </c>
      <c r="C695" s="13">
        <v>69265.95</v>
      </c>
      <c r="D695" s="8">
        <v>2332.5</v>
      </c>
      <c r="F695" s="7">
        <v>45437</v>
      </c>
      <c r="G695" s="13">
        <v>69265.95</v>
      </c>
      <c r="H695" s="4">
        <v>69265.95</v>
      </c>
      <c r="I695" s="4">
        <v>69265.95</v>
      </c>
      <c r="J695" s="4">
        <v>2332.5</v>
      </c>
      <c r="K695" s="4">
        <v>2332.5</v>
      </c>
      <c r="L695" s="4">
        <v>2332.5</v>
      </c>
      <c r="M695" s="3">
        <v>76</v>
      </c>
      <c r="N695" s="3">
        <v>76</v>
      </c>
      <c r="O695" s="54">
        <v>76</v>
      </c>
    </row>
    <row r="696" spans="2:15" x14ac:dyDescent="0.25">
      <c r="B696" s="7">
        <v>45438</v>
      </c>
      <c r="C696" s="13">
        <v>68518.09</v>
      </c>
      <c r="D696" s="8">
        <v>2335</v>
      </c>
      <c r="F696" s="7">
        <v>45438</v>
      </c>
      <c r="G696" s="13">
        <v>68518.09</v>
      </c>
      <c r="H696" s="4">
        <v>68518.09</v>
      </c>
      <c r="I696" s="4">
        <v>68518.09</v>
      </c>
      <c r="J696" s="4">
        <v>2335</v>
      </c>
      <c r="K696" s="4">
        <v>2335</v>
      </c>
      <c r="L696" s="4">
        <v>2335</v>
      </c>
      <c r="M696" s="3">
        <v>75</v>
      </c>
      <c r="N696" s="3">
        <v>75</v>
      </c>
      <c r="O696" s="54">
        <v>75</v>
      </c>
    </row>
    <row r="697" spans="2:15" x14ac:dyDescent="0.25">
      <c r="B697" s="7">
        <v>45439</v>
      </c>
      <c r="C697" s="13">
        <v>69394.55</v>
      </c>
      <c r="D697" s="8">
        <v>2332.5</v>
      </c>
      <c r="F697" s="7">
        <v>45439</v>
      </c>
      <c r="G697" s="13">
        <v>69394.55</v>
      </c>
      <c r="H697" s="4">
        <v>69394.55</v>
      </c>
      <c r="I697" s="4">
        <v>69394.55</v>
      </c>
      <c r="J697" s="4">
        <v>2332.5</v>
      </c>
      <c r="K697" s="4">
        <v>2332.5</v>
      </c>
      <c r="L697" s="4">
        <v>2332.5</v>
      </c>
      <c r="M697" s="3">
        <v>74</v>
      </c>
      <c r="N697" s="3">
        <v>74</v>
      </c>
      <c r="O697" s="54">
        <v>74</v>
      </c>
    </row>
    <row r="698" spans="2:15" x14ac:dyDescent="0.25">
      <c r="B698" s="7">
        <v>45440</v>
      </c>
      <c r="C698" s="13">
        <v>68296.22</v>
      </c>
      <c r="D698" s="8">
        <v>2335</v>
      </c>
      <c r="F698" s="7">
        <v>45440</v>
      </c>
      <c r="G698" s="13">
        <v>68296.22</v>
      </c>
      <c r="H698" s="4">
        <v>68296.22</v>
      </c>
      <c r="I698" s="4">
        <v>68296.22</v>
      </c>
      <c r="J698" s="4">
        <v>2335</v>
      </c>
      <c r="K698" s="4">
        <v>2335</v>
      </c>
      <c r="L698" s="4">
        <v>2335</v>
      </c>
      <c r="M698" s="3">
        <v>72</v>
      </c>
      <c r="N698" s="3">
        <v>72</v>
      </c>
      <c r="O698" s="54">
        <v>72</v>
      </c>
    </row>
    <row r="699" spans="2:15" x14ac:dyDescent="0.25">
      <c r="B699" s="7">
        <v>45441</v>
      </c>
      <c r="C699" s="13">
        <v>67578.09</v>
      </c>
      <c r="D699" s="8">
        <v>2355.19995117187</v>
      </c>
      <c r="F699" s="7">
        <v>45441</v>
      </c>
      <c r="G699" s="13">
        <v>67578.09</v>
      </c>
      <c r="H699" s="4">
        <v>67578.09</v>
      </c>
      <c r="I699" s="4">
        <v>67578.09</v>
      </c>
      <c r="J699" s="4">
        <v>2355.19995117187</v>
      </c>
      <c r="K699" s="4">
        <v>2355.19995117187</v>
      </c>
      <c r="L699" s="4">
        <v>2355.19995117187</v>
      </c>
      <c r="M699" s="3">
        <v>72</v>
      </c>
      <c r="N699" s="3">
        <v>72</v>
      </c>
      <c r="O699" s="54">
        <v>72</v>
      </c>
    </row>
    <row r="700" spans="2:15" x14ac:dyDescent="0.25">
      <c r="B700" s="7">
        <v>45442</v>
      </c>
      <c r="C700" s="13">
        <v>68364.990000000005</v>
      </c>
      <c r="D700" s="8">
        <v>2340.30004882812</v>
      </c>
      <c r="F700" s="7">
        <v>45442</v>
      </c>
      <c r="G700" s="13">
        <v>68364.990000000005</v>
      </c>
      <c r="H700" s="4">
        <v>68364.990000000005</v>
      </c>
      <c r="I700" s="4">
        <v>68364.990000000005</v>
      </c>
      <c r="J700" s="4">
        <v>2340.30004882812</v>
      </c>
      <c r="K700" s="4">
        <v>2340.30004882812</v>
      </c>
      <c r="L700" s="4">
        <v>2340.30004882812</v>
      </c>
      <c r="M700" s="3">
        <v>73</v>
      </c>
      <c r="N700" s="3">
        <v>73</v>
      </c>
      <c r="O700" s="54">
        <v>73</v>
      </c>
    </row>
    <row r="701" spans="2:15" x14ac:dyDescent="0.25">
      <c r="B701" s="7">
        <v>45443</v>
      </c>
      <c r="C701" s="13">
        <v>67491.41</v>
      </c>
      <c r="D701" s="8">
        <v>2342.89990234375</v>
      </c>
      <c r="F701" s="7">
        <v>45443</v>
      </c>
      <c r="G701" s="13">
        <v>67491.41</v>
      </c>
      <c r="H701" s="4">
        <v>67491.41</v>
      </c>
      <c r="I701" s="4">
        <v>67491.41</v>
      </c>
      <c r="J701" s="4">
        <v>2342.89990234375</v>
      </c>
      <c r="K701" s="4">
        <v>2342.89990234375</v>
      </c>
      <c r="L701" s="4">
        <v>2342.89990234375</v>
      </c>
      <c r="M701" s="3">
        <v>73</v>
      </c>
      <c r="N701" s="3">
        <v>73</v>
      </c>
      <c r="O701" s="54">
        <v>73</v>
      </c>
    </row>
    <row r="702" spans="2:15" x14ac:dyDescent="0.25">
      <c r="B702" s="7">
        <v>45444</v>
      </c>
      <c r="C702" s="13">
        <v>67706.94</v>
      </c>
      <c r="D702" s="8">
        <v>2322.89990234375</v>
      </c>
      <c r="F702" s="7">
        <v>45444</v>
      </c>
      <c r="G702" s="13">
        <v>67706.94</v>
      </c>
      <c r="H702" s="4">
        <v>67706.94</v>
      </c>
      <c r="I702" s="4">
        <v>67706.94</v>
      </c>
      <c r="J702" s="4">
        <v>2322.89990234375</v>
      </c>
      <c r="K702" s="4">
        <v>2322.89990234375</v>
      </c>
      <c r="L702" s="4">
        <v>2322.89990234375</v>
      </c>
      <c r="M702" s="3">
        <v>72</v>
      </c>
      <c r="N702" s="3">
        <v>72</v>
      </c>
      <c r="O702" s="54">
        <v>72</v>
      </c>
    </row>
    <row r="703" spans="2:15" x14ac:dyDescent="0.25">
      <c r="B703" s="7">
        <v>45445</v>
      </c>
      <c r="C703" s="13">
        <v>67751.600000000006</v>
      </c>
      <c r="D703" s="8">
        <v>2342.89990234375</v>
      </c>
      <c r="F703" s="7">
        <v>45445</v>
      </c>
      <c r="G703" s="13">
        <v>67751.600000000006</v>
      </c>
      <c r="H703" s="4">
        <v>67751.600000000006</v>
      </c>
      <c r="I703" s="4">
        <v>67751.600000000006</v>
      </c>
      <c r="J703" s="4">
        <v>2342.89990234375</v>
      </c>
      <c r="K703" s="4">
        <v>2342.89990234375</v>
      </c>
      <c r="L703" s="4">
        <v>2342.89990234375</v>
      </c>
      <c r="M703" s="3">
        <v>73</v>
      </c>
      <c r="N703" s="3">
        <v>73</v>
      </c>
      <c r="O703" s="54">
        <v>73</v>
      </c>
    </row>
    <row r="704" spans="2:15" x14ac:dyDescent="0.25">
      <c r="B704" s="7">
        <v>45446</v>
      </c>
      <c r="C704" s="13">
        <v>68804.78</v>
      </c>
      <c r="D704" s="8">
        <v>2322.89990234375</v>
      </c>
      <c r="F704" s="7">
        <v>45446</v>
      </c>
      <c r="G704" s="13">
        <v>68804.78</v>
      </c>
      <c r="H704" s="4">
        <v>68804.78</v>
      </c>
      <c r="I704" s="4">
        <v>68804.78</v>
      </c>
      <c r="J704" s="4">
        <v>2322.89990234375</v>
      </c>
      <c r="K704" s="4">
        <v>2322.89990234375</v>
      </c>
      <c r="L704" s="4">
        <v>2322.89990234375</v>
      </c>
      <c r="M704" s="3">
        <v>73</v>
      </c>
      <c r="N704" s="3">
        <v>73</v>
      </c>
      <c r="O704" s="54">
        <v>73</v>
      </c>
    </row>
    <row r="705" spans="2:15" x14ac:dyDescent="0.25">
      <c r="B705" s="7">
        <v>45447</v>
      </c>
      <c r="C705" s="13">
        <v>70567.77</v>
      </c>
      <c r="D705" s="8">
        <v>2346.60009765625</v>
      </c>
      <c r="F705" s="7">
        <v>45447</v>
      </c>
      <c r="G705" s="13">
        <v>70567.77</v>
      </c>
      <c r="H705" s="4">
        <v>70567.77</v>
      </c>
      <c r="I705" s="4">
        <v>70567.77</v>
      </c>
      <c r="J705" s="4">
        <v>2346.60009765625</v>
      </c>
      <c r="K705" s="4">
        <v>2346.60009765625</v>
      </c>
      <c r="L705" s="4">
        <v>2346.60009765625</v>
      </c>
      <c r="M705" s="3">
        <v>73</v>
      </c>
      <c r="N705" s="3">
        <v>73</v>
      </c>
      <c r="O705" s="54">
        <v>73</v>
      </c>
    </row>
    <row r="706" spans="2:15" x14ac:dyDescent="0.25">
      <c r="B706" s="7">
        <v>45448</v>
      </c>
      <c r="C706" s="13">
        <v>71082.820000000007</v>
      </c>
      <c r="D706" s="8">
        <v>2325.5</v>
      </c>
      <c r="F706" s="7">
        <v>45448</v>
      </c>
      <c r="G706" s="13">
        <v>71082.820000000007</v>
      </c>
      <c r="H706" s="4">
        <v>71082.820000000007</v>
      </c>
      <c r="I706" s="4">
        <v>71082.820000000007</v>
      </c>
      <c r="J706" s="4">
        <v>2325.5</v>
      </c>
      <c r="K706" s="4">
        <v>2325.5</v>
      </c>
      <c r="L706" s="4">
        <v>2325.5</v>
      </c>
      <c r="M706" s="3">
        <v>75</v>
      </c>
      <c r="N706" s="3">
        <v>75</v>
      </c>
      <c r="O706" s="54">
        <v>75</v>
      </c>
    </row>
    <row r="707" spans="2:15" x14ac:dyDescent="0.25">
      <c r="B707" s="7">
        <v>45449</v>
      </c>
      <c r="C707" s="13">
        <v>70757.16</v>
      </c>
      <c r="D707" s="8">
        <v>2354.10009765625</v>
      </c>
      <c r="F707" s="7">
        <v>45449</v>
      </c>
      <c r="G707" s="13">
        <v>70757.16</v>
      </c>
      <c r="H707" s="4">
        <v>70757.16</v>
      </c>
      <c r="I707" s="4">
        <v>70757.16</v>
      </c>
      <c r="J707" s="4">
        <v>2354.10009765625</v>
      </c>
      <c r="K707" s="4">
        <v>2354.10009765625</v>
      </c>
      <c r="L707" s="4">
        <v>2354.10009765625</v>
      </c>
      <c r="M707" s="3">
        <v>78</v>
      </c>
      <c r="N707" s="3">
        <v>78</v>
      </c>
      <c r="O707" s="54">
        <v>78</v>
      </c>
    </row>
    <row r="708" spans="2:15" x14ac:dyDescent="0.25">
      <c r="B708" s="7">
        <v>45450</v>
      </c>
      <c r="C708" s="13">
        <v>69342.59</v>
      </c>
      <c r="D708" s="8">
        <v>2370.30004882812</v>
      </c>
      <c r="F708" s="7">
        <v>45450</v>
      </c>
      <c r="G708" s="13">
        <v>69342.59</v>
      </c>
      <c r="H708" s="4">
        <v>69342.59</v>
      </c>
      <c r="I708" s="4">
        <v>69342.59</v>
      </c>
      <c r="J708" s="4">
        <v>2370.30004882812</v>
      </c>
      <c r="K708" s="4">
        <v>2370.30004882812</v>
      </c>
      <c r="L708" s="4">
        <v>2370.30004882812</v>
      </c>
      <c r="M708" s="3">
        <v>77</v>
      </c>
      <c r="N708" s="3">
        <v>77</v>
      </c>
      <c r="O708" s="54">
        <v>77</v>
      </c>
    </row>
    <row r="709" spans="2:15" x14ac:dyDescent="0.25">
      <c r="B709" s="7">
        <v>45451</v>
      </c>
      <c r="C709" s="13">
        <v>69305.77</v>
      </c>
      <c r="D709" s="8">
        <v>2305.19995117187</v>
      </c>
      <c r="F709" s="7">
        <v>45451</v>
      </c>
      <c r="G709" s="13">
        <v>69305.77</v>
      </c>
      <c r="H709" s="4">
        <v>69305.77</v>
      </c>
      <c r="I709" s="4">
        <v>69305.77</v>
      </c>
      <c r="J709" s="4">
        <v>2305.19995117187</v>
      </c>
      <c r="K709" s="4">
        <v>2305.19995117187</v>
      </c>
      <c r="L709" s="4">
        <v>2305.19995117187</v>
      </c>
      <c r="M709" s="3">
        <v>72</v>
      </c>
      <c r="N709" s="3">
        <v>72</v>
      </c>
      <c r="O709" s="54">
        <v>72</v>
      </c>
    </row>
    <row r="710" spans="2:15" x14ac:dyDescent="0.25">
      <c r="B710" s="7">
        <v>45452</v>
      </c>
      <c r="C710" s="13">
        <v>69647.990000000005</v>
      </c>
      <c r="D710" s="8">
        <v>2370.30004882812</v>
      </c>
      <c r="F710" s="7">
        <v>45452</v>
      </c>
      <c r="G710" s="13">
        <v>69647.990000000005</v>
      </c>
      <c r="H710" s="4">
        <v>69647.990000000005</v>
      </c>
      <c r="I710" s="4">
        <v>69647.990000000005</v>
      </c>
      <c r="J710" s="4">
        <v>2370.30004882812</v>
      </c>
      <c r="K710" s="4">
        <v>2370.30004882812</v>
      </c>
      <c r="L710" s="4">
        <v>2370.30004882812</v>
      </c>
      <c r="M710" s="3">
        <v>75</v>
      </c>
      <c r="N710" s="3">
        <v>75</v>
      </c>
      <c r="O710" s="54">
        <v>75</v>
      </c>
    </row>
    <row r="711" spans="2:15" x14ac:dyDescent="0.25">
      <c r="B711" s="7">
        <v>45453</v>
      </c>
      <c r="C711" s="13">
        <v>69512.28</v>
      </c>
      <c r="D711" s="8">
        <v>2305.19995117187</v>
      </c>
      <c r="F711" s="7">
        <v>45453</v>
      </c>
      <c r="G711" s="13">
        <v>69512.28</v>
      </c>
      <c r="H711" s="4">
        <v>69512.28</v>
      </c>
      <c r="I711" s="4">
        <v>69512.28</v>
      </c>
      <c r="J711" s="4">
        <v>2305.19995117187</v>
      </c>
      <c r="K711" s="4">
        <v>2305.19995117187</v>
      </c>
      <c r="L711" s="4">
        <v>2305.19995117187</v>
      </c>
      <c r="M711" s="3">
        <v>72</v>
      </c>
      <c r="N711" s="3">
        <v>72</v>
      </c>
      <c r="O711" s="54">
        <v>72</v>
      </c>
    </row>
    <row r="712" spans="2:15" x14ac:dyDescent="0.25">
      <c r="B712" s="7">
        <v>45454</v>
      </c>
      <c r="C712" s="13">
        <v>67332.03</v>
      </c>
      <c r="D712" s="8">
        <v>2307.69995117187</v>
      </c>
      <c r="F712" s="7">
        <v>45454</v>
      </c>
      <c r="G712" s="13">
        <v>67332.03</v>
      </c>
      <c r="H712" s="4">
        <v>67332.03</v>
      </c>
      <c r="I712" s="4">
        <v>67332.03</v>
      </c>
      <c r="J712" s="4">
        <v>2307.69995117187</v>
      </c>
      <c r="K712" s="4">
        <v>2307.69995117187</v>
      </c>
      <c r="L712" s="4">
        <v>2307.69995117187</v>
      </c>
      <c r="M712" s="3">
        <v>74</v>
      </c>
      <c r="N712" s="3">
        <v>74</v>
      </c>
      <c r="O712" s="54">
        <v>74</v>
      </c>
    </row>
    <row r="713" spans="2:15" x14ac:dyDescent="0.25">
      <c r="B713" s="7">
        <v>45455</v>
      </c>
      <c r="C713" s="13">
        <v>68241.19</v>
      </c>
      <c r="D713" s="8">
        <v>2307.5</v>
      </c>
      <c r="F713" s="7">
        <v>45455</v>
      </c>
      <c r="G713" s="13">
        <v>68241.19</v>
      </c>
      <c r="H713" s="4">
        <v>68241.19</v>
      </c>
      <c r="I713" s="4">
        <v>68241.19</v>
      </c>
      <c r="J713" s="4">
        <v>2307.5</v>
      </c>
      <c r="K713" s="4">
        <v>2307.5</v>
      </c>
      <c r="L713" s="4">
        <v>2307.5</v>
      </c>
      <c r="M713" s="3">
        <v>72</v>
      </c>
      <c r="N713" s="3">
        <v>72</v>
      </c>
      <c r="O713" s="54">
        <v>72</v>
      </c>
    </row>
    <row r="714" spans="2:15" x14ac:dyDescent="0.25">
      <c r="B714" s="7">
        <v>45456</v>
      </c>
      <c r="C714" s="13">
        <v>66756.399999999994</v>
      </c>
      <c r="D714" s="8">
        <v>2336</v>
      </c>
      <c r="F714" s="7">
        <v>45456</v>
      </c>
      <c r="G714" s="13">
        <v>66756.399999999994</v>
      </c>
      <c r="H714" s="4">
        <v>66756.399999999994</v>
      </c>
      <c r="I714" s="4">
        <v>66756.399999999994</v>
      </c>
      <c r="J714" s="4">
        <v>2336</v>
      </c>
      <c r="K714" s="4">
        <v>2336</v>
      </c>
      <c r="L714" s="4">
        <v>2336</v>
      </c>
      <c r="M714" s="3">
        <v>70</v>
      </c>
      <c r="N714" s="3">
        <v>70</v>
      </c>
      <c r="O714" s="54">
        <v>70</v>
      </c>
    </row>
    <row r="715" spans="2:15" x14ac:dyDescent="0.25">
      <c r="B715" s="7">
        <v>45457</v>
      </c>
      <c r="C715" s="13">
        <v>66011.09</v>
      </c>
      <c r="D715" s="8">
        <v>2300.19995117187</v>
      </c>
      <c r="F715" s="7">
        <v>45457</v>
      </c>
      <c r="G715" s="13">
        <v>66011.09</v>
      </c>
      <c r="H715" s="4">
        <v>66011.09</v>
      </c>
      <c r="I715" s="4">
        <v>66011.09</v>
      </c>
      <c r="J715" s="4">
        <v>2300.19995117187</v>
      </c>
      <c r="K715" s="4">
        <v>2300.19995117187</v>
      </c>
      <c r="L715" s="4">
        <v>2300.19995117187</v>
      </c>
      <c r="M715" s="3">
        <v>74</v>
      </c>
      <c r="N715" s="3">
        <v>74</v>
      </c>
      <c r="O715" s="54">
        <v>74</v>
      </c>
    </row>
    <row r="716" spans="2:15" x14ac:dyDescent="0.25">
      <c r="B716" s="7">
        <v>45458</v>
      </c>
      <c r="C716" s="13">
        <v>66191</v>
      </c>
      <c r="D716" s="8">
        <v>2331.39990234375</v>
      </c>
      <c r="F716" s="7">
        <v>45458</v>
      </c>
      <c r="G716" s="13">
        <v>66191</v>
      </c>
      <c r="H716" s="4">
        <v>66191</v>
      </c>
      <c r="I716" s="4">
        <v>66191</v>
      </c>
      <c r="J716" s="4">
        <v>2331.39990234375</v>
      </c>
      <c r="K716" s="4">
        <v>2331.39990234375</v>
      </c>
      <c r="L716" s="4">
        <v>2331.39990234375</v>
      </c>
      <c r="M716" s="3">
        <v>74</v>
      </c>
      <c r="N716" s="3">
        <v>74</v>
      </c>
      <c r="O716" s="54">
        <v>74</v>
      </c>
    </row>
    <row r="717" spans="2:15" x14ac:dyDescent="0.25">
      <c r="B717" s="7">
        <v>45459</v>
      </c>
      <c r="C717" s="13">
        <v>66639.05</v>
      </c>
      <c r="D717" s="8">
        <v>2300.19995117187</v>
      </c>
      <c r="F717" s="7">
        <v>45459</v>
      </c>
      <c r="G717" s="13">
        <v>66639.05</v>
      </c>
      <c r="H717" s="4">
        <v>66639.05</v>
      </c>
      <c r="I717" s="4">
        <v>66639.05</v>
      </c>
      <c r="J717" s="4">
        <v>2300.19995117187</v>
      </c>
      <c r="K717" s="4">
        <v>2300.19995117187</v>
      </c>
      <c r="L717" s="4">
        <v>2300.19995117187</v>
      </c>
      <c r="M717" s="3">
        <v>71</v>
      </c>
      <c r="N717" s="3">
        <v>71</v>
      </c>
      <c r="O717" s="54">
        <v>71</v>
      </c>
    </row>
    <row r="718" spans="2:15" x14ac:dyDescent="0.25">
      <c r="B718" s="7">
        <v>45460</v>
      </c>
      <c r="C718" s="13">
        <v>66490.3</v>
      </c>
      <c r="D718" s="8">
        <v>2331.39990234375</v>
      </c>
      <c r="F718" s="7">
        <v>45460</v>
      </c>
      <c r="G718" s="13">
        <v>66490.3</v>
      </c>
      <c r="H718" s="4">
        <v>66490.3</v>
      </c>
      <c r="I718" s="4">
        <v>66490.3</v>
      </c>
      <c r="J718" s="4">
        <v>2331.39990234375</v>
      </c>
      <c r="K718" s="4">
        <v>2331.39990234375</v>
      </c>
      <c r="L718" s="4">
        <v>2331.39990234375</v>
      </c>
      <c r="M718" s="3">
        <v>71</v>
      </c>
      <c r="N718" s="3">
        <v>71</v>
      </c>
      <c r="O718" s="54">
        <v>71</v>
      </c>
    </row>
    <row r="719" spans="2:15" x14ac:dyDescent="0.25">
      <c r="B719" s="7">
        <v>45461</v>
      </c>
      <c r="C719" s="13">
        <v>65140.75</v>
      </c>
      <c r="D719" s="8">
        <v>2312.39990234375</v>
      </c>
      <c r="F719" s="7">
        <v>45461</v>
      </c>
      <c r="G719" s="13">
        <v>65140.75</v>
      </c>
      <c r="H719" s="4">
        <v>65140.75</v>
      </c>
      <c r="I719" s="4">
        <v>65140.75</v>
      </c>
      <c r="J719" s="4">
        <v>2312.39990234375</v>
      </c>
      <c r="K719" s="4">
        <v>2312.39990234375</v>
      </c>
      <c r="L719" s="4">
        <v>2312.39990234375</v>
      </c>
      <c r="M719" s="3">
        <v>74</v>
      </c>
      <c r="N719" s="3">
        <v>74</v>
      </c>
      <c r="O719" s="54">
        <v>74</v>
      </c>
    </row>
    <row r="720" spans="2:15" x14ac:dyDescent="0.25">
      <c r="B720" s="7">
        <v>45462</v>
      </c>
      <c r="C720" s="13">
        <v>64960.3</v>
      </c>
      <c r="D720" s="8">
        <v>2330.39990234375</v>
      </c>
      <c r="F720" s="7">
        <v>45462</v>
      </c>
      <c r="G720" s="13">
        <v>64960.3</v>
      </c>
      <c r="H720" s="4">
        <v>64960.3</v>
      </c>
      <c r="I720" s="4">
        <v>64960.3</v>
      </c>
      <c r="J720" s="4">
        <v>2330.39990234375</v>
      </c>
      <c r="K720" s="4">
        <v>2330.39990234375</v>
      </c>
      <c r="L720" s="4">
        <v>2330.39990234375</v>
      </c>
      <c r="M720" s="3">
        <v>64</v>
      </c>
      <c r="N720" s="3">
        <v>64</v>
      </c>
      <c r="O720" s="54">
        <v>64</v>
      </c>
    </row>
    <row r="721" spans="2:15" x14ac:dyDescent="0.25">
      <c r="B721" s="7">
        <v>45463</v>
      </c>
      <c r="C721" s="13">
        <v>64828.66</v>
      </c>
      <c r="D721" s="8">
        <v>2312.39990234375</v>
      </c>
      <c r="F721" s="7">
        <v>45463</v>
      </c>
      <c r="G721" s="13">
        <v>64828.66</v>
      </c>
      <c r="H721" s="4">
        <v>64828.66</v>
      </c>
      <c r="I721" s="4">
        <v>64828.66</v>
      </c>
      <c r="J721" s="4">
        <v>2312.39990234375</v>
      </c>
      <c r="K721" s="4">
        <v>2312.39990234375</v>
      </c>
      <c r="L721" s="4">
        <v>2312.39990234375</v>
      </c>
      <c r="M721" s="3">
        <v>60</v>
      </c>
      <c r="N721" s="3">
        <v>60</v>
      </c>
      <c r="O721" s="54">
        <v>60</v>
      </c>
    </row>
    <row r="722" spans="2:15" x14ac:dyDescent="0.25">
      <c r="B722" s="7">
        <v>45464</v>
      </c>
      <c r="C722" s="13">
        <v>64096.2</v>
      </c>
      <c r="D722" s="8">
        <v>2353.80004882812</v>
      </c>
      <c r="F722" s="7">
        <v>45464</v>
      </c>
      <c r="G722" s="13">
        <v>64096.2</v>
      </c>
      <c r="H722" s="4">
        <v>64096.2</v>
      </c>
      <c r="I722" s="4">
        <v>64096.2</v>
      </c>
      <c r="J722" s="4">
        <v>2353.80004882812</v>
      </c>
      <c r="K722" s="4">
        <v>2353.80004882812</v>
      </c>
      <c r="L722" s="4">
        <v>2353.80004882812</v>
      </c>
      <c r="M722" s="3">
        <v>63</v>
      </c>
      <c r="N722" s="3">
        <v>63</v>
      </c>
      <c r="O722" s="54">
        <v>63</v>
      </c>
    </row>
    <row r="723" spans="2:15" x14ac:dyDescent="0.25">
      <c r="B723" s="7">
        <v>45465</v>
      </c>
      <c r="C723" s="13">
        <v>64252.58</v>
      </c>
      <c r="D723" s="8">
        <v>2316.39990234375</v>
      </c>
      <c r="F723" s="7">
        <v>45465</v>
      </c>
      <c r="G723" s="13">
        <v>64252.58</v>
      </c>
      <c r="H723" s="4">
        <v>64252.58</v>
      </c>
      <c r="I723" s="4">
        <v>64252.58</v>
      </c>
      <c r="J723" s="4">
        <v>2316.39990234375</v>
      </c>
      <c r="K723" s="4">
        <v>2316.39990234375</v>
      </c>
      <c r="L723" s="4">
        <v>2316.39990234375</v>
      </c>
      <c r="M723" s="3">
        <v>53</v>
      </c>
      <c r="N723" s="3">
        <v>53</v>
      </c>
      <c r="O723" s="54">
        <v>53</v>
      </c>
    </row>
    <row r="724" spans="2:15" x14ac:dyDescent="0.25">
      <c r="B724" s="7">
        <v>45466</v>
      </c>
      <c r="C724" s="13">
        <v>63180.800000000003</v>
      </c>
      <c r="D724" s="8">
        <v>2353.80004882812</v>
      </c>
      <c r="F724" s="7">
        <v>45466</v>
      </c>
      <c r="G724" s="13">
        <v>63180.800000000003</v>
      </c>
      <c r="H724" s="4">
        <v>63180.800000000003</v>
      </c>
      <c r="I724" s="4">
        <v>63180.800000000003</v>
      </c>
      <c r="J724" s="4">
        <v>2353.80004882812</v>
      </c>
      <c r="K724" s="4">
        <v>2353.80004882812</v>
      </c>
      <c r="L724" s="4">
        <v>2353.80004882812</v>
      </c>
      <c r="M724" s="3">
        <v>55</v>
      </c>
      <c r="N724" s="3">
        <v>55</v>
      </c>
      <c r="O724" s="54">
        <v>55</v>
      </c>
    </row>
    <row r="725" spans="2:15" x14ac:dyDescent="0.25">
      <c r="B725" s="7">
        <v>45467</v>
      </c>
      <c r="C725" s="13">
        <v>60277.41</v>
      </c>
      <c r="D725" s="8">
        <v>2316.39990234375</v>
      </c>
      <c r="F725" s="7">
        <v>45467</v>
      </c>
      <c r="G725" s="13">
        <v>60277.41</v>
      </c>
      <c r="H725" s="4">
        <v>60277.41</v>
      </c>
      <c r="I725" s="4">
        <v>60277.41</v>
      </c>
      <c r="J725" s="4">
        <v>2316.39990234375</v>
      </c>
      <c r="K725" s="4">
        <v>2316.39990234375</v>
      </c>
      <c r="L725" s="4">
        <v>2316.39990234375</v>
      </c>
      <c r="M725" s="3">
        <v>51</v>
      </c>
      <c r="N725" s="3">
        <v>51</v>
      </c>
      <c r="O725" s="54">
        <v>51</v>
      </c>
    </row>
    <row r="726" spans="2:15" x14ac:dyDescent="0.25">
      <c r="B726" s="7">
        <v>45468</v>
      </c>
      <c r="C726" s="13">
        <v>61804.639999999999</v>
      </c>
      <c r="D726" s="8">
        <v>2330</v>
      </c>
      <c r="F726" s="7">
        <v>45468</v>
      </c>
      <c r="G726" s="13">
        <v>61804.639999999999</v>
      </c>
      <c r="H726" s="4">
        <v>61804.639999999999</v>
      </c>
      <c r="I726" s="4">
        <v>61804.639999999999</v>
      </c>
      <c r="J726" s="4">
        <v>2330</v>
      </c>
      <c r="K726" s="4">
        <v>2330</v>
      </c>
      <c r="L726" s="4">
        <v>2330</v>
      </c>
      <c r="M726" s="3">
        <v>30</v>
      </c>
      <c r="N726" s="3">
        <v>30</v>
      </c>
      <c r="O726" s="54">
        <v>30</v>
      </c>
    </row>
    <row r="727" spans="2:15" x14ac:dyDescent="0.25">
      <c r="B727" s="7">
        <v>45469</v>
      </c>
      <c r="C727" s="13">
        <v>60811.28</v>
      </c>
      <c r="D727" s="8">
        <v>2316.60009765625</v>
      </c>
      <c r="F727" s="7">
        <v>45469</v>
      </c>
      <c r="G727" s="13">
        <v>60811.28</v>
      </c>
      <c r="H727" s="4">
        <v>60811.28</v>
      </c>
      <c r="I727" s="4">
        <v>60811.28</v>
      </c>
      <c r="J727" s="4">
        <v>2316.60009765625</v>
      </c>
      <c r="K727" s="4">
        <v>2316.60009765625</v>
      </c>
      <c r="L727" s="4">
        <v>2316.60009765625</v>
      </c>
      <c r="M727" s="3">
        <v>46</v>
      </c>
      <c r="N727" s="3">
        <v>46</v>
      </c>
      <c r="O727" s="54">
        <v>46</v>
      </c>
    </row>
    <row r="728" spans="2:15" x14ac:dyDescent="0.25">
      <c r="B728" s="7">
        <v>45470</v>
      </c>
      <c r="C728" s="13">
        <v>61604.800000000003</v>
      </c>
      <c r="D728" s="8">
        <v>2299.19995117187</v>
      </c>
      <c r="F728" s="7">
        <v>45470</v>
      </c>
      <c r="G728" s="13">
        <v>61604.800000000003</v>
      </c>
      <c r="H728" s="4">
        <v>61604.800000000003</v>
      </c>
      <c r="I728" s="4">
        <v>61604.800000000003</v>
      </c>
      <c r="J728" s="4">
        <v>2299.19995117187</v>
      </c>
      <c r="K728" s="4">
        <v>2299.19995117187</v>
      </c>
      <c r="L728" s="4">
        <v>2299.19995117187</v>
      </c>
      <c r="M728" s="3">
        <v>40</v>
      </c>
      <c r="N728" s="3">
        <v>40</v>
      </c>
      <c r="O728" s="54">
        <v>40</v>
      </c>
    </row>
    <row r="729" spans="2:15" x14ac:dyDescent="0.25">
      <c r="B729" s="7">
        <v>45471</v>
      </c>
      <c r="C729" s="13">
        <v>60320.14</v>
      </c>
      <c r="D729" s="8">
        <v>2324.5</v>
      </c>
      <c r="F729" s="7">
        <v>45471</v>
      </c>
      <c r="G729" s="13">
        <v>60320.14</v>
      </c>
      <c r="H729" s="4">
        <v>60320.14</v>
      </c>
      <c r="I729" s="4">
        <v>60320.14</v>
      </c>
      <c r="J729" s="4">
        <v>2324.5</v>
      </c>
      <c r="K729" s="4">
        <v>2324.5</v>
      </c>
      <c r="L729" s="4">
        <v>2324.5</v>
      </c>
      <c r="M729" s="3">
        <v>47</v>
      </c>
      <c r="N729" s="3">
        <v>47</v>
      </c>
      <c r="O729" s="54">
        <v>47</v>
      </c>
    </row>
    <row r="730" spans="2:15" x14ac:dyDescent="0.25">
      <c r="B730" s="7">
        <v>45472</v>
      </c>
      <c r="C730" s="13">
        <v>60887.38</v>
      </c>
      <c r="D730" s="8">
        <v>2327.69995117187</v>
      </c>
      <c r="F730" s="7">
        <v>45472</v>
      </c>
      <c r="G730" s="13">
        <v>60887.38</v>
      </c>
      <c r="H730" s="4">
        <v>60887.38</v>
      </c>
      <c r="I730" s="4">
        <v>60887.38</v>
      </c>
      <c r="J730" s="4">
        <v>2327.69995117187</v>
      </c>
      <c r="K730" s="4">
        <v>2327.69995117187</v>
      </c>
      <c r="L730" s="4">
        <v>2327.69995117187</v>
      </c>
      <c r="M730" s="3">
        <v>30</v>
      </c>
      <c r="N730" s="3">
        <v>30</v>
      </c>
      <c r="O730" s="54">
        <v>30</v>
      </c>
    </row>
    <row r="731" spans="2:15" x14ac:dyDescent="0.25">
      <c r="B731" s="7">
        <v>45473</v>
      </c>
      <c r="C731" s="13">
        <v>62678.29</v>
      </c>
      <c r="D731" s="8">
        <v>2324.5</v>
      </c>
      <c r="F731" s="7">
        <v>45473</v>
      </c>
      <c r="G731" s="13">
        <v>62678.29</v>
      </c>
      <c r="H731" s="4">
        <v>62678.29</v>
      </c>
      <c r="I731" s="4">
        <v>62678.29</v>
      </c>
      <c r="J731" s="4">
        <v>2324.5</v>
      </c>
      <c r="K731" s="4">
        <v>2324.5</v>
      </c>
      <c r="L731" s="4">
        <v>2324.5</v>
      </c>
      <c r="M731" s="3">
        <v>47</v>
      </c>
      <c r="N731" s="3">
        <v>47</v>
      </c>
      <c r="O731" s="54">
        <v>47</v>
      </c>
    </row>
    <row r="732" spans="2:15" x14ac:dyDescent="0.25">
      <c r="B732" s="7">
        <v>45474</v>
      </c>
      <c r="C732" s="13">
        <v>62851.98</v>
      </c>
      <c r="D732" s="8">
        <v>2327.69995117187</v>
      </c>
      <c r="F732" s="7">
        <v>45474</v>
      </c>
      <c r="G732" s="13">
        <v>62851.98</v>
      </c>
      <c r="H732" s="4">
        <v>62851.98</v>
      </c>
      <c r="I732" s="4">
        <v>62851.98</v>
      </c>
      <c r="J732" s="4">
        <v>2327.69995117187</v>
      </c>
      <c r="K732" s="4">
        <v>2327.69995117187</v>
      </c>
      <c r="L732" s="4">
        <v>2327.69995117187</v>
      </c>
      <c r="M732" s="3">
        <v>53</v>
      </c>
      <c r="N732" s="3">
        <v>53</v>
      </c>
      <c r="O732" s="54">
        <v>53</v>
      </c>
    </row>
    <row r="733" spans="2:15" x14ac:dyDescent="0.25">
      <c r="B733" s="7">
        <v>45475</v>
      </c>
      <c r="C733" s="13">
        <v>62029.02</v>
      </c>
      <c r="D733" s="8">
        <v>2327.60009765625</v>
      </c>
      <c r="F733" s="7">
        <v>45475</v>
      </c>
      <c r="G733" s="13">
        <v>62029.02</v>
      </c>
      <c r="H733" s="4">
        <v>62029.02</v>
      </c>
      <c r="I733" s="4">
        <v>62029.02</v>
      </c>
      <c r="J733" s="4">
        <v>2327.60009765625</v>
      </c>
      <c r="K733" s="4">
        <v>2327.60009765625</v>
      </c>
      <c r="L733" s="4">
        <v>2327.60009765625</v>
      </c>
      <c r="M733" s="3">
        <v>51</v>
      </c>
      <c r="N733" s="3">
        <v>51</v>
      </c>
      <c r="O733" s="54">
        <v>51</v>
      </c>
    </row>
    <row r="734" spans="2:15" x14ac:dyDescent="0.25">
      <c r="B734" s="7">
        <v>45476</v>
      </c>
      <c r="C734" s="13">
        <v>60173.919999999998</v>
      </c>
      <c r="D734" s="8">
        <v>2323</v>
      </c>
      <c r="F734" s="7">
        <v>45476</v>
      </c>
      <c r="G734" s="13">
        <v>60173.919999999998</v>
      </c>
      <c r="H734" s="4">
        <v>60173.919999999998</v>
      </c>
      <c r="I734" s="4">
        <v>60173.919999999998</v>
      </c>
      <c r="J734" s="4">
        <v>2323</v>
      </c>
      <c r="K734" s="4">
        <v>2323</v>
      </c>
      <c r="L734" s="4">
        <v>2323</v>
      </c>
      <c r="M734" s="3">
        <v>50</v>
      </c>
      <c r="N734" s="3">
        <v>50</v>
      </c>
      <c r="O734" s="54">
        <v>50</v>
      </c>
    </row>
    <row r="735" spans="2:15" x14ac:dyDescent="0.25">
      <c r="B735" s="7">
        <v>45477</v>
      </c>
      <c r="C735" s="13">
        <v>56977.7</v>
      </c>
      <c r="D735" s="8">
        <v>2359.80004882812</v>
      </c>
      <c r="F735" s="7">
        <v>45477</v>
      </c>
      <c r="G735" s="13">
        <v>56977.7</v>
      </c>
      <c r="H735" s="4">
        <v>56977.7</v>
      </c>
      <c r="I735" s="4">
        <v>56977.7</v>
      </c>
      <c r="J735" s="4">
        <v>2359.80004882812</v>
      </c>
      <c r="K735" s="4">
        <v>2359.80004882812</v>
      </c>
      <c r="L735" s="4">
        <v>2359.80004882812</v>
      </c>
      <c r="M735" s="3">
        <v>44</v>
      </c>
      <c r="N735" s="3">
        <v>44</v>
      </c>
      <c r="O735" s="54">
        <v>44</v>
      </c>
    </row>
    <row r="736" spans="2:15" x14ac:dyDescent="0.25">
      <c r="B736" s="7">
        <v>45478</v>
      </c>
      <c r="C736" s="13">
        <v>56662.38</v>
      </c>
      <c r="D736" s="8">
        <v>2323</v>
      </c>
      <c r="F736" s="7">
        <v>45478</v>
      </c>
      <c r="G736" s="13">
        <v>56662.38</v>
      </c>
      <c r="H736" s="4">
        <v>56662.38</v>
      </c>
      <c r="I736" s="4">
        <v>56662.38</v>
      </c>
      <c r="J736" s="4">
        <v>2323</v>
      </c>
      <c r="K736" s="4">
        <v>2323</v>
      </c>
      <c r="L736" s="4">
        <v>2323</v>
      </c>
      <c r="M736" s="3">
        <v>29</v>
      </c>
      <c r="N736" s="3">
        <v>29</v>
      </c>
      <c r="O736" s="54">
        <v>29</v>
      </c>
    </row>
    <row r="737" spans="2:15" x14ac:dyDescent="0.25">
      <c r="B737" s="7">
        <v>45479</v>
      </c>
      <c r="C737" s="13">
        <v>58303.54</v>
      </c>
      <c r="D737" s="8">
        <v>2388.5</v>
      </c>
      <c r="F737" s="7">
        <v>45479</v>
      </c>
      <c r="G737" s="13">
        <v>58303.54</v>
      </c>
      <c r="H737" s="4">
        <v>58303.54</v>
      </c>
      <c r="I737" s="4">
        <v>58303.54</v>
      </c>
      <c r="J737" s="4">
        <v>2388.5</v>
      </c>
      <c r="K737" s="4">
        <v>2388.5</v>
      </c>
      <c r="L737" s="4">
        <v>2388.5</v>
      </c>
      <c r="M737" s="3">
        <v>26</v>
      </c>
      <c r="N737" s="3">
        <v>26</v>
      </c>
      <c r="O737" s="54">
        <v>26</v>
      </c>
    </row>
    <row r="738" spans="2:15" x14ac:dyDescent="0.25">
      <c r="B738" s="7">
        <v>45480</v>
      </c>
      <c r="C738" s="13">
        <v>55849.11</v>
      </c>
      <c r="D738" s="8">
        <v>2323</v>
      </c>
      <c r="F738" s="7">
        <v>45480</v>
      </c>
      <c r="G738" s="13">
        <v>55849.11</v>
      </c>
      <c r="H738" s="4">
        <v>55849.11</v>
      </c>
      <c r="I738" s="4">
        <v>55849.11</v>
      </c>
      <c r="J738" s="4">
        <v>2323</v>
      </c>
      <c r="K738" s="4">
        <v>2323</v>
      </c>
      <c r="L738" s="4">
        <v>2323</v>
      </c>
      <c r="M738" s="3">
        <v>29</v>
      </c>
      <c r="N738" s="3">
        <v>29</v>
      </c>
      <c r="O738" s="54">
        <v>29</v>
      </c>
    </row>
    <row r="739" spans="2:15" x14ac:dyDescent="0.25">
      <c r="B739" s="7">
        <v>45481</v>
      </c>
      <c r="C739" s="13">
        <v>56705.1</v>
      </c>
      <c r="D739" s="8">
        <v>2388.5</v>
      </c>
      <c r="F739" s="7">
        <v>45481</v>
      </c>
      <c r="G739" s="13">
        <v>56705.1</v>
      </c>
      <c r="H739" s="4">
        <v>56705.1</v>
      </c>
      <c r="I739" s="4">
        <v>56705.1</v>
      </c>
      <c r="J739" s="4">
        <v>2388.5</v>
      </c>
      <c r="K739" s="4">
        <v>2388.5</v>
      </c>
      <c r="L739" s="4">
        <v>2388.5</v>
      </c>
      <c r="M739" s="3">
        <v>28</v>
      </c>
      <c r="N739" s="3">
        <v>28</v>
      </c>
      <c r="O739" s="54">
        <v>28</v>
      </c>
    </row>
    <row r="740" spans="2:15" x14ac:dyDescent="0.25">
      <c r="B740" s="7">
        <v>45482</v>
      </c>
      <c r="C740" s="13">
        <v>58009.23</v>
      </c>
      <c r="D740" s="8">
        <v>2355.19995117187</v>
      </c>
      <c r="F740" s="7">
        <v>45482</v>
      </c>
      <c r="G740" s="13">
        <v>58009.23</v>
      </c>
      <c r="H740" s="4">
        <v>58009.23</v>
      </c>
      <c r="I740" s="4">
        <v>58009.23</v>
      </c>
      <c r="J740" s="4">
        <v>2355.19995117187</v>
      </c>
      <c r="K740" s="4">
        <v>2355.19995117187</v>
      </c>
      <c r="L740" s="4">
        <v>2355.19995117187</v>
      </c>
      <c r="M740" s="3">
        <v>27</v>
      </c>
      <c r="N740" s="3">
        <v>27</v>
      </c>
      <c r="O740" s="54">
        <v>27</v>
      </c>
    </row>
    <row r="741" spans="2:15" x14ac:dyDescent="0.25">
      <c r="B741" s="7">
        <v>45483</v>
      </c>
      <c r="C741" s="13">
        <v>57742.5</v>
      </c>
      <c r="D741" s="8">
        <v>2360.10009765625</v>
      </c>
      <c r="F741" s="7">
        <v>45483</v>
      </c>
      <c r="G741" s="13">
        <v>57742.5</v>
      </c>
      <c r="H741" s="4">
        <v>57742.5</v>
      </c>
      <c r="I741" s="4">
        <v>57742.5</v>
      </c>
      <c r="J741" s="4">
        <v>2360.10009765625</v>
      </c>
      <c r="K741" s="4">
        <v>2360.10009765625</v>
      </c>
      <c r="L741" s="4">
        <v>2360.10009765625</v>
      </c>
      <c r="M741" s="3">
        <v>28</v>
      </c>
      <c r="N741" s="3">
        <v>28</v>
      </c>
      <c r="O741" s="54">
        <v>28</v>
      </c>
    </row>
    <row r="742" spans="2:15" x14ac:dyDescent="0.25">
      <c r="B742" s="7">
        <v>45484</v>
      </c>
      <c r="C742" s="13">
        <v>57344.91</v>
      </c>
      <c r="D742" s="8">
        <v>2372.19995117187</v>
      </c>
      <c r="F742" s="7">
        <v>45484</v>
      </c>
      <c r="G742" s="13">
        <v>57344.91</v>
      </c>
      <c r="H742" s="4">
        <v>57344.91</v>
      </c>
      <c r="I742" s="4">
        <v>57344.91</v>
      </c>
      <c r="J742" s="4">
        <v>2372.19995117187</v>
      </c>
      <c r="K742" s="4">
        <v>2372.19995117187</v>
      </c>
      <c r="L742" s="4">
        <v>2372.19995117187</v>
      </c>
      <c r="M742" s="3">
        <v>29</v>
      </c>
      <c r="N742" s="3">
        <v>29</v>
      </c>
      <c r="O742" s="54">
        <v>29</v>
      </c>
    </row>
    <row r="743" spans="2:15" x14ac:dyDescent="0.25">
      <c r="B743" s="7">
        <v>45485</v>
      </c>
      <c r="C743" s="13">
        <v>57899.46</v>
      </c>
      <c r="D743" s="8">
        <v>2415</v>
      </c>
      <c r="F743" s="7">
        <v>45485</v>
      </c>
      <c r="G743" s="13">
        <v>57899.46</v>
      </c>
      <c r="H743" s="4">
        <v>57899.46</v>
      </c>
      <c r="I743" s="4">
        <v>57899.46</v>
      </c>
      <c r="J743" s="4">
        <v>2415</v>
      </c>
      <c r="K743" s="4">
        <v>2415</v>
      </c>
      <c r="L743" s="4">
        <v>2415</v>
      </c>
      <c r="M743" s="3">
        <v>25</v>
      </c>
      <c r="N743" s="3">
        <v>25</v>
      </c>
      <c r="O743" s="54">
        <v>25</v>
      </c>
    </row>
    <row r="744" spans="2:15" x14ac:dyDescent="0.25">
      <c r="B744" s="7">
        <v>45486</v>
      </c>
      <c r="C744" s="13">
        <v>59231.95</v>
      </c>
      <c r="D744" s="8">
        <v>2414</v>
      </c>
      <c r="F744" s="7">
        <v>45486</v>
      </c>
      <c r="G744" s="13">
        <v>59231.95</v>
      </c>
      <c r="H744" s="4">
        <v>59231.95</v>
      </c>
      <c r="I744" s="4">
        <v>59231.95</v>
      </c>
      <c r="J744" s="4">
        <v>2414</v>
      </c>
      <c r="K744" s="4">
        <v>2414</v>
      </c>
      <c r="L744" s="4">
        <v>2414</v>
      </c>
      <c r="M744" s="3">
        <v>25</v>
      </c>
      <c r="N744" s="3">
        <v>25</v>
      </c>
      <c r="O744" s="54">
        <v>25</v>
      </c>
    </row>
    <row r="745" spans="2:15" x14ac:dyDescent="0.25">
      <c r="B745" s="7">
        <v>45487</v>
      </c>
      <c r="C745" s="13">
        <v>60787.79</v>
      </c>
      <c r="D745" s="8">
        <v>2415</v>
      </c>
      <c r="F745" s="7">
        <v>45487</v>
      </c>
      <c r="G745" s="13">
        <v>60787.79</v>
      </c>
      <c r="H745" s="4">
        <v>60787.79</v>
      </c>
      <c r="I745" s="4">
        <v>60787.79</v>
      </c>
      <c r="J745" s="4">
        <v>2415</v>
      </c>
      <c r="K745" s="4">
        <v>2415</v>
      </c>
      <c r="L745" s="4">
        <v>2415</v>
      </c>
      <c r="M745" s="3">
        <v>33</v>
      </c>
      <c r="N745" s="3">
        <v>33</v>
      </c>
      <c r="O745" s="54">
        <v>33</v>
      </c>
    </row>
    <row r="746" spans="2:15" x14ac:dyDescent="0.25">
      <c r="B746" s="7">
        <v>45488</v>
      </c>
      <c r="C746" s="13">
        <v>64870.15</v>
      </c>
      <c r="D746" s="8">
        <v>2414</v>
      </c>
      <c r="F746" s="7">
        <v>45488</v>
      </c>
      <c r="G746" s="13">
        <v>64870.15</v>
      </c>
      <c r="H746" s="4">
        <v>64870.15</v>
      </c>
      <c r="I746" s="4">
        <v>64870.15</v>
      </c>
      <c r="J746" s="4">
        <v>2414</v>
      </c>
      <c r="K746" s="4">
        <v>2414</v>
      </c>
      <c r="L746" s="4">
        <v>2414</v>
      </c>
      <c r="M746" s="3">
        <v>52</v>
      </c>
      <c r="N746" s="3">
        <v>52</v>
      </c>
      <c r="O746" s="54">
        <v>52</v>
      </c>
    </row>
    <row r="747" spans="2:15" x14ac:dyDescent="0.25">
      <c r="B747" s="7">
        <v>45489</v>
      </c>
      <c r="C747" s="13">
        <v>65097.15</v>
      </c>
      <c r="D747" s="8">
        <v>2422.89990234375</v>
      </c>
      <c r="F747" s="7">
        <v>45489</v>
      </c>
      <c r="G747" s="13">
        <v>65097.15</v>
      </c>
      <c r="H747" s="4">
        <v>65097.15</v>
      </c>
      <c r="I747" s="4">
        <v>65097.15</v>
      </c>
      <c r="J747" s="4">
        <v>2422.89990234375</v>
      </c>
      <c r="K747" s="4">
        <v>2422.89990234375</v>
      </c>
      <c r="L747" s="4">
        <v>2422.89990234375</v>
      </c>
      <c r="M747" s="3">
        <v>65</v>
      </c>
      <c r="N747" s="3">
        <v>65</v>
      </c>
      <c r="O747" s="54">
        <v>65</v>
      </c>
    </row>
    <row r="748" spans="2:15" x14ac:dyDescent="0.25">
      <c r="B748" s="7">
        <v>45490</v>
      </c>
      <c r="C748" s="13">
        <v>64118.79</v>
      </c>
      <c r="D748" s="8">
        <v>2462.39990234375</v>
      </c>
      <c r="F748" s="7">
        <v>45490</v>
      </c>
      <c r="G748" s="13">
        <v>64118.79</v>
      </c>
      <c r="H748" s="4">
        <v>64118.79</v>
      </c>
      <c r="I748" s="4">
        <v>64118.79</v>
      </c>
      <c r="J748" s="4">
        <v>2462.39990234375</v>
      </c>
      <c r="K748" s="4">
        <v>2462.39990234375</v>
      </c>
      <c r="L748" s="4">
        <v>2462.39990234375</v>
      </c>
      <c r="M748" s="3">
        <v>69</v>
      </c>
      <c r="N748" s="3">
        <v>69</v>
      </c>
      <c r="O748" s="54">
        <v>69</v>
      </c>
    </row>
    <row r="749" spans="2:15" x14ac:dyDescent="0.25">
      <c r="B749" s="7">
        <v>45491</v>
      </c>
      <c r="C749" s="13">
        <v>63974.07</v>
      </c>
      <c r="D749" s="8">
        <v>2454.80004882812</v>
      </c>
      <c r="F749" s="7">
        <v>45491</v>
      </c>
      <c r="G749" s="13">
        <v>63974.07</v>
      </c>
      <c r="H749" s="4">
        <v>63974.07</v>
      </c>
      <c r="I749" s="4">
        <v>63974.07</v>
      </c>
      <c r="J749" s="4">
        <v>2454.80004882812</v>
      </c>
      <c r="K749" s="4">
        <v>2454.80004882812</v>
      </c>
      <c r="L749" s="4">
        <v>2454.80004882812</v>
      </c>
      <c r="M749" s="3">
        <v>61</v>
      </c>
      <c r="N749" s="3">
        <v>61</v>
      </c>
      <c r="O749" s="54">
        <v>61</v>
      </c>
    </row>
    <row r="750" spans="2:15" x14ac:dyDescent="0.25">
      <c r="B750" s="7">
        <v>45492</v>
      </c>
      <c r="C750" s="13">
        <v>66710.16</v>
      </c>
      <c r="D750" s="8">
        <v>2451.80004882812</v>
      </c>
      <c r="F750" s="7">
        <v>45492</v>
      </c>
      <c r="G750" s="13">
        <v>66710.16</v>
      </c>
      <c r="H750" s="4">
        <v>66710.16</v>
      </c>
      <c r="I750" s="4">
        <v>66710.16</v>
      </c>
      <c r="J750" s="4">
        <v>2451.80004882812</v>
      </c>
      <c r="K750" s="4">
        <v>2451.80004882812</v>
      </c>
      <c r="L750" s="4">
        <v>2451.80004882812</v>
      </c>
      <c r="M750" s="3">
        <v>60</v>
      </c>
      <c r="N750" s="3">
        <v>60</v>
      </c>
      <c r="O750" s="54">
        <v>60</v>
      </c>
    </row>
    <row r="751" spans="2:15" x14ac:dyDescent="0.25">
      <c r="B751" s="7">
        <v>45493</v>
      </c>
      <c r="C751" s="13">
        <v>67163.649999999994</v>
      </c>
      <c r="D751" s="8">
        <v>2395.5</v>
      </c>
      <c r="F751" s="7">
        <v>45493</v>
      </c>
      <c r="G751" s="13">
        <v>67163.649999999994</v>
      </c>
      <c r="H751" s="4">
        <v>67163.649999999994</v>
      </c>
      <c r="I751" s="4">
        <v>67163.649999999994</v>
      </c>
      <c r="J751" s="4">
        <v>2395.5</v>
      </c>
      <c r="K751" s="4">
        <v>2395.5</v>
      </c>
      <c r="L751" s="4">
        <v>2395.5</v>
      </c>
      <c r="M751" s="3">
        <v>74</v>
      </c>
      <c r="N751" s="3">
        <v>74</v>
      </c>
      <c r="O751" s="54">
        <v>74</v>
      </c>
    </row>
    <row r="752" spans="2:15" x14ac:dyDescent="0.25">
      <c r="B752" s="7">
        <v>45494</v>
      </c>
      <c r="C752" s="13">
        <v>68154.52</v>
      </c>
      <c r="D752" s="8">
        <v>2451.80004882812</v>
      </c>
      <c r="F752" s="7">
        <v>45494</v>
      </c>
      <c r="G752" s="13">
        <v>68154.52</v>
      </c>
      <c r="H752" s="4">
        <v>68154.52</v>
      </c>
      <c r="I752" s="4">
        <v>68154.52</v>
      </c>
      <c r="J752" s="4">
        <v>2451.80004882812</v>
      </c>
      <c r="K752" s="4">
        <v>2451.80004882812</v>
      </c>
      <c r="L752" s="4">
        <v>2451.80004882812</v>
      </c>
      <c r="M752" s="3">
        <v>74</v>
      </c>
      <c r="N752" s="3">
        <v>74</v>
      </c>
      <c r="O752" s="54">
        <v>74</v>
      </c>
    </row>
    <row r="753" spans="2:15" x14ac:dyDescent="0.25">
      <c r="B753" s="7">
        <v>45495</v>
      </c>
      <c r="C753" s="13">
        <v>67585.25</v>
      </c>
      <c r="D753" s="8">
        <v>2395.5</v>
      </c>
      <c r="F753" s="7">
        <v>45495</v>
      </c>
      <c r="G753" s="13">
        <v>67585.25</v>
      </c>
      <c r="H753" s="4">
        <v>67585.25</v>
      </c>
      <c r="I753" s="4">
        <v>67585.25</v>
      </c>
      <c r="J753" s="4">
        <v>2395.5</v>
      </c>
      <c r="K753" s="4">
        <v>2395.5</v>
      </c>
      <c r="L753" s="4">
        <v>2395.5</v>
      </c>
      <c r="M753" s="3">
        <v>70</v>
      </c>
      <c r="N753" s="3">
        <v>70</v>
      </c>
      <c r="O753" s="54">
        <v>70</v>
      </c>
    </row>
    <row r="754" spans="2:15" x14ac:dyDescent="0.25">
      <c r="B754" s="7">
        <v>45496</v>
      </c>
      <c r="C754" s="13">
        <v>65927.67</v>
      </c>
      <c r="D754" s="8">
        <v>2392</v>
      </c>
      <c r="F754" s="7">
        <v>45496</v>
      </c>
      <c r="G754" s="13">
        <v>65927.67</v>
      </c>
      <c r="H754" s="4">
        <v>65927.67</v>
      </c>
      <c r="I754" s="4">
        <v>65927.67</v>
      </c>
      <c r="J754" s="4">
        <v>2392</v>
      </c>
      <c r="K754" s="4">
        <v>2392</v>
      </c>
      <c r="L754" s="4">
        <v>2392</v>
      </c>
      <c r="M754" s="3">
        <v>71</v>
      </c>
      <c r="N754" s="3">
        <v>71</v>
      </c>
      <c r="O754" s="54">
        <v>71</v>
      </c>
    </row>
    <row r="755" spans="2:15" x14ac:dyDescent="0.25">
      <c r="B755" s="7">
        <v>45497</v>
      </c>
      <c r="C755" s="13">
        <v>65372.13</v>
      </c>
      <c r="D755" s="8">
        <v>2404.60009765625</v>
      </c>
      <c r="F755" s="7">
        <v>45497</v>
      </c>
      <c r="G755" s="13">
        <v>65372.13</v>
      </c>
      <c r="H755" s="4">
        <v>65372.13</v>
      </c>
      <c r="I755" s="4">
        <v>65372.13</v>
      </c>
      <c r="J755" s="4">
        <v>2404.60009765625</v>
      </c>
      <c r="K755" s="4">
        <v>2404.60009765625</v>
      </c>
      <c r="L755" s="4">
        <v>2404.60009765625</v>
      </c>
      <c r="M755" s="3">
        <v>69</v>
      </c>
      <c r="N755" s="3">
        <v>69</v>
      </c>
      <c r="O755" s="54">
        <v>69</v>
      </c>
    </row>
    <row r="756" spans="2:15" x14ac:dyDescent="0.25">
      <c r="B756" s="7">
        <v>45498</v>
      </c>
      <c r="C756" s="13">
        <v>65777.23</v>
      </c>
      <c r="D756" s="8">
        <v>2413.30004882812</v>
      </c>
      <c r="F756" s="7">
        <v>45498</v>
      </c>
      <c r="G756" s="13">
        <v>65777.23</v>
      </c>
      <c r="H756" s="4">
        <v>65777.23</v>
      </c>
      <c r="I756" s="4">
        <v>65777.23</v>
      </c>
      <c r="J756" s="4">
        <v>2413.30004882812</v>
      </c>
      <c r="K756" s="4">
        <v>2413.30004882812</v>
      </c>
      <c r="L756" s="4">
        <v>2413.30004882812</v>
      </c>
      <c r="M756" s="3">
        <v>68</v>
      </c>
      <c r="N756" s="3">
        <v>68</v>
      </c>
      <c r="O756" s="54">
        <v>68</v>
      </c>
    </row>
    <row r="757" spans="2:15" x14ac:dyDescent="0.25">
      <c r="B757" s="7">
        <v>45499</v>
      </c>
      <c r="C757" s="13">
        <v>67912.06</v>
      </c>
      <c r="D757" s="8">
        <v>2351.89990234375</v>
      </c>
      <c r="F757" s="7">
        <v>45499</v>
      </c>
      <c r="G757" s="13">
        <v>67912.06</v>
      </c>
      <c r="H757" s="4">
        <v>67912.06</v>
      </c>
      <c r="I757" s="4">
        <v>67912.06</v>
      </c>
      <c r="J757" s="4">
        <v>2351.89990234375</v>
      </c>
      <c r="K757" s="4">
        <v>2351.89990234375</v>
      </c>
      <c r="L757" s="4">
        <v>2351.89990234375</v>
      </c>
      <c r="M757" s="3">
        <v>68</v>
      </c>
      <c r="N757" s="3">
        <v>68</v>
      </c>
      <c r="O757" s="54">
        <v>68</v>
      </c>
    </row>
    <row r="758" spans="2:15" x14ac:dyDescent="0.25">
      <c r="B758" s="7">
        <v>45500</v>
      </c>
      <c r="C758" s="13">
        <v>67813.34</v>
      </c>
      <c r="D758" s="8">
        <v>2380</v>
      </c>
      <c r="F758" s="7">
        <v>45500</v>
      </c>
      <c r="G758" s="13">
        <v>67813.34</v>
      </c>
      <c r="H758" s="4">
        <v>67813.34</v>
      </c>
      <c r="I758" s="4">
        <v>67813.34</v>
      </c>
      <c r="J758" s="4">
        <v>2380</v>
      </c>
      <c r="K758" s="4">
        <v>2380</v>
      </c>
      <c r="L758" s="4">
        <v>2380</v>
      </c>
      <c r="M758" s="3">
        <v>72</v>
      </c>
      <c r="N758" s="3">
        <v>72</v>
      </c>
      <c r="O758" s="54">
        <v>72</v>
      </c>
    </row>
    <row r="759" spans="2:15" x14ac:dyDescent="0.25">
      <c r="B759" s="7">
        <v>45501</v>
      </c>
      <c r="C759" s="13">
        <v>68255.87</v>
      </c>
      <c r="D759" s="8">
        <v>2351.89990234375</v>
      </c>
      <c r="F759" s="7">
        <v>45501</v>
      </c>
      <c r="G759" s="13">
        <v>68255.87</v>
      </c>
      <c r="H759" s="4">
        <v>68255.87</v>
      </c>
      <c r="I759" s="4">
        <v>68255.87</v>
      </c>
      <c r="J759" s="4">
        <v>2351.89990234375</v>
      </c>
      <c r="K759" s="4">
        <v>2351.89990234375</v>
      </c>
      <c r="L759" s="4">
        <v>2351.89990234375</v>
      </c>
      <c r="M759" s="3">
        <v>71</v>
      </c>
      <c r="N759" s="3">
        <v>71</v>
      </c>
      <c r="O759" s="54">
        <v>71</v>
      </c>
    </row>
    <row r="760" spans="2:15" x14ac:dyDescent="0.25">
      <c r="B760" s="7">
        <v>45502</v>
      </c>
      <c r="C760" s="13">
        <v>66819.91</v>
      </c>
      <c r="D760" s="8">
        <v>2380</v>
      </c>
      <c r="F760" s="7">
        <v>45502</v>
      </c>
      <c r="G760" s="13">
        <v>66819.91</v>
      </c>
      <c r="H760" s="4">
        <v>66819.91</v>
      </c>
      <c r="I760" s="4">
        <v>66819.91</v>
      </c>
      <c r="J760" s="4">
        <v>2380</v>
      </c>
      <c r="K760" s="4">
        <v>2380</v>
      </c>
      <c r="L760" s="4">
        <v>2380</v>
      </c>
      <c r="M760" s="3">
        <v>74</v>
      </c>
      <c r="N760" s="3">
        <v>74</v>
      </c>
      <c r="O760" s="54">
        <v>74</v>
      </c>
    </row>
    <row r="761" spans="2:15" x14ac:dyDescent="0.25">
      <c r="B761" s="7">
        <v>45503</v>
      </c>
      <c r="C761" s="13">
        <v>66201.02</v>
      </c>
      <c r="D761" s="8">
        <v>2377.30004882812</v>
      </c>
      <c r="F761" s="7">
        <v>45503</v>
      </c>
      <c r="G761" s="13">
        <v>66201.02</v>
      </c>
      <c r="H761" s="4">
        <v>66201.02</v>
      </c>
      <c r="I761" s="4">
        <v>66201.02</v>
      </c>
      <c r="J761" s="4">
        <v>2377.30004882812</v>
      </c>
      <c r="K761" s="4">
        <v>2377.30004882812</v>
      </c>
      <c r="L761" s="4">
        <v>2377.30004882812</v>
      </c>
      <c r="M761" s="3">
        <v>67</v>
      </c>
      <c r="N761" s="3">
        <v>67</v>
      </c>
      <c r="O761" s="54">
        <v>67</v>
      </c>
    </row>
    <row r="762" spans="2:15" x14ac:dyDescent="0.25">
      <c r="B762" s="7">
        <v>45504</v>
      </c>
      <c r="C762" s="13">
        <v>64619.25</v>
      </c>
      <c r="D762" s="8">
        <v>2405</v>
      </c>
      <c r="F762" s="7">
        <v>45504</v>
      </c>
      <c r="G762" s="13">
        <v>64619.25</v>
      </c>
      <c r="H762" s="4">
        <v>64619.25</v>
      </c>
      <c r="I762" s="4">
        <v>64619.25</v>
      </c>
      <c r="J762" s="4">
        <v>2405</v>
      </c>
      <c r="K762" s="4">
        <v>2405</v>
      </c>
      <c r="L762" s="4">
        <v>2405</v>
      </c>
      <c r="M762" s="3">
        <v>61</v>
      </c>
      <c r="N762" s="3">
        <v>61</v>
      </c>
      <c r="O762" s="54">
        <v>61</v>
      </c>
    </row>
    <row r="763" spans="2:15" x14ac:dyDescent="0.25">
      <c r="B763" s="7">
        <v>45505</v>
      </c>
      <c r="C763" s="13">
        <v>65357.5</v>
      </c>
      <c r="D763" s="8">
        <v>2426.5</v>
      </c>
      <c r="F763" s="7">
        <v>45505</v>
      </c>
      <c r="G763" s="13">
        <v>65357.5</v>
      </c>
      <c r="H763" s="4">
        <v>65357.5</v>
      </c>
      <c r="I763" s="4">
        <v>65357.5</v>
      </c>
      <c r="J763" s="4">
        <v>2426.5</v>
      </c>
      <c r="K763" s="4">
        <v>2426.5</v>
      </c>
      <c r="L763" s="4">
        <v>2426.5</v>
      </c>
      <c r="M763" s="3">
        <v>52</v>
      </c>
      <c r="N763" s="3">
        <v>52</v>
      </c>
      <c r="O763" s="54">
        <v>52</v>
      </c>
    </row>
    <row r="764" spans="2:15" x14ac:dyDescent="0.25">
      <c r="B764" s="7">
        <v>45506</v>
      </c>
      <c r="C764" s="13">
        <v>61415.07</v>
      </c>
      <c r="D764" s="8">
        <v>2435</v>
      </c>
      <c r="F764" s="7">
        <v>45506</v>
      </c>
      <c r="G764" s="13">
        <v>61415.07</v>
      </c>
      <c r="H764" s="4">
        <v>61415.07</v>
      </c>
      <c r="I764" s="4">
        <v>61415.07</v>
      </c>
      <c r="J764" s="4">
        <v>2435</v>
      </c>
      <c r="K764" s="4">
        <v>2435</v>
      </c>
      <c r="L764" s="4">
        <v>2435</v>
      </c>
      <c r="M764" s="3">
        <v>57</v>
      </c>
      <c r="N764" s="3">
        <v>57</v>
      </c>
      <c r="O764" s="54">
        <v>57</v>
      </c>
    </row>
    <row r="765" spans="2:15" x14ac:dyDescent="0.25">
      <c r="B765" s="7">
        <v>45507</v>
      </c>
      <c r="C765" s="13">
        <v>60680.09</v>
      </c>
      <c r="D765" s="8">
        <v>2425.69995117187</v>
      </c>
      <c r="F765" s="7">
        <v>45507</v>
      </c>
      <c r="G765" s="13">
        <v>60680.09</v>
      </c>
      <c r="H765" s="4">
        <v>60680.09</v>
      </c>
      <c r="I765" s="4">
        <v>60680.09</v>
      </c>
      <c r="J765" s="4">
        <v>2425.69995117187</v>
      </c>
      <c r="K765" s="4">
        <v>2425.69995117187</v>
      </c>
      <c r="L765" s="4">
        <v>2425.69995117187</v>
      </c>
      <c r="M765" s="3">
        <v>37</v>
      </c>
      <c r="N765" s="3">
        <v>37</v>
      </c>
      <c r="O765" s="54">
        <v>37</v>
      </c>
    </row>
    <row r="766" spans="2:15" x14ac:dyDescent="0.25">
      <c r="B766" s="7">
        <v>45508</v>
      </c>
      <c r="C766" s="13">
        <v>58116.98</v>
      </c>
      <c r="D766" s="8">
        <v>2435</v>
      </c>
      <c r="F766" s="7">
        <v>45508</v>
      </c>
      <c r="G766" s="13">
        <v>58116.98</v>
      </c>
      <c r="H766" s="4">
        <v>58116.98</v>
      </c>
      <c r="I766" s="4">
        <v>58116.98</v>
      </c>
      <c r="J766" s="4">
        <v>2435</v>
      </c>
      <c r="K766" s="4">
        <v>2435</v>
      </c>
      <c r="L766" s="4">
        <v>2435</v>
      </c>
      <c r="M766" s="3">
        <v>34</v>
      </c>
      <c r="N766" s="3">
        <v>34</v>
      </c>
      <c r="O766" s="54">
        <v>34</v>
      </c>
    </row>
    <row r="767" spans="2:15" x14ac:dyDescent="0.25">
      <c r="B767" s="7">
        <v>45509</v>
      </c>
      <c r="C767" s="13">
        <v>53991.46</v>
      </c>
      <c r="D767" s="8">
        <v>2425.69995117187</v>
      </c>
      <c r="F767" s="7">
        <v>45509</v>
      </c>
      <c r="G767" s="13">
        <v>53991.46</v>
      </c>
      <c r="H767" s="4">
        <v>53991.46</v>
      </c>
      <c r="I767" s="4">
        <v>53991.46</v>
      </c>
      <c r="J767" s="4">
        <v>2425.69995117187</v>
      </c>
      <c r="K767" s="4">
        <v>2425.69995117187</v>
      </c>
      <c r="L767" s="4">
        <v>2425.69995117187</v>
      </c>
      <c r="M767" s="3">
        <v>26</v>
      </c>
      <c r="N767" s="3">
        <v>26</v>
      </c>
      <c r="O767" s="54">
        <v>26</v>
      </c>
    </row>
    <row r="768" spans="2:15" x14ac:dyDescent="0.25">
      <c r="B768" s="7">
        <v>45510</v>
      </c>
      <c r="C768" s="13">
        <v>56034.32</v>
      </c>
      <c r="D768" s="8">
        <v>2401.69995117187</v>
      </c>
      <c r="F768" s="7">
        <v>45510</v>
      </c>
      <c r="G768" s="13">
        <v>56034.32</v>
      </c>
      <c r="H768" s="4">
        <v>56034.32</v>
      </c>
      <c r="I768" s="4">
        <v>56034.32</v>
      </c>
      <c r="J768" s="4">
        <v>2401.69995117187</v>
      </c>
      <c r="K768" s="4">
        <v>2401.69995117187</v>
      </c>
      <c r="L768" s="4">
        <v>2401.69995117187</v>
      </c>
      <c r="M768" s="3">
        <v>17</v>
      </c>
      <c r="N768" s="3">
        <v>17</v>
      </c>
      <c r="O768" s="54">
        <v>17</v>
      </c>
    </row>
    <row r="769" spans="2:15" x14ac:dyDescent="0.25">
      <c r="B769" s="7">
        <v>45511</v>
      </c>
      <c r="C769" s="13">
        <v>55027.46</v>
      </c>
      <c r="D769" s="8">
        <v>2389.10009765625</v>
      </c>
      <c r="F769" s="7">
        <v>45511</v>
      </c>
      <c r="G769" s="13">
        <v>55027.46</v>
      </c>
      <c r="H769" s="4">
        <v>55027.46</v>
      </c>
      <c r="I769" s="4">
        <v>55027.46</v>
      </c>
      <c r="J769" s="4">
        <v>2389.10009765625</v>
      </c>
      <c r="K769" s="4">
        <v>2389.10009765625</v>
      </c>
      <c r="L769" s="4">
        <v>2389.10009765625</v>
      </c>
      <c r="M769" s="3">
        <v>29</v>
      </c>
      <c r="N769" s="3">
        <v>29</v>
      </c>
      <c r="O769" s="54">
        <v>29</v>
      </c>
    </row>
    <row r="770" spans="2:15" x14ac:dyDescent="0.25">
      <c r="B770" s="7">
        <v>45512</v>
      </c>
      <c r="C770" s="13">
        <v>61710.14</v>
      </c>
      <c r="D770" s="8">
        <v>2390.5</v>
      </c>
      <c r="F770" s="7">
        <v>45512</v>
      </c>
      <c r="G770" s="13">
        <v>61710.14</v>
      </c>
      <c r="H770" s="4">
        <v>61710.14</v>
      </c>
      <c r="I770" s="4">
        <v>61710.14</v>
      </c>
      <c r="J770" s="4">
        <v>2390.5</v>
      </c>
      <c r="K770" s="4">
        <v>2390.5</v>
      </c>
      <c r="L770" s="4">
        <v>2390.5</v>
      </c>
      <c r="M770" s="3">
        <v>20</v>
      </c>
      <c r="N770" s="3">
        <v>20</v>
      </c>
      <c r="O770" s="54">
        <v>20</v>
      </c>
    </row>
    <row r="771" spans="2:15" x14ac:dyDescent="0.25">
      <c r="B771" s="7">
        <v>45513</v>
      </c>
      <c r="C771" s="13">
        <v>60880.11</v>
      </c>
      <c r="D771" s="8">
        <v>2422.19995117187</v>
      </c>
      <c r="F771" s="7">
        <v>45513</v>
      </c>
      <c r="G771" s="13">
        <v>60880.11</v>
      </c>
      <c r="H771" s="4">
        <v>60880.11</v>
      </c>
      <c r="I771" s="4">
        <v>60880.11</v>
      </c>
      <c r="J771" s="4">
        <v>2422.19995117187</v>
      </c>
      <c r="K771" s="4">
        <v>2422.19995117187</v>
      </c>
      <c r="L771" s="4">
        <v>2422.19995117187</v>
      </c>
      <c r="M771" s="3">
        <v>48</v>
      </c>
      <c r="N771" s="3">
        <v>48</v>
      </c>
      <c r="O771" s="54">
        <v>48</v>
      </c>
    </row>
    <row r="772" spans="2:15" x14ac:dyDescent="0.25">
      <c r="B772" s="7">
        <v>45514</v>
      </c>
      <c r="C772" s="13">
        <v>60945.81</v>
      </c>
      <c r="D772" s="8">
        <v>2432.10009765625</v>
      </c>
      <c r="F772" s="7">
        <v>45514</v>
      </c>
      <c r="G772" s="13">
        <v>60945.81</v>
      </c>
      <c r="H772" s="4">
        <v>60945.81</v>
      </c>
      <c r="I772" s="4">
        <v>60945.81</v>
      </c>
      <c r="J772" s="4">
        <v>2432.10009765625</v>
      </c>
      <c r="K772" s="4">
        <v>2432.10009765625</v>
      </c>
      <c r="L772" s="4">
        <v>2432.10009765625</v>
      </c>
      <c r="M772" s="3">
        <v>40</v>
      </c>
      <c r="N772" s="3">
        <v>40</v>
      </c>
      <c r="O772" s="54">
        <v>40</v>
      </c>
    </row>
    <row r="773" spans="2:15" x14ac:dyDescent="0.25">
      <c r="B773" s="7">
        <v>45515</v>
      </c>
      <c r="C773" s="13">
        <v>58719.48</v>
      </c>
      <c r="D773" s="8">
        <v>2422.19995117187</v>
      </c>
      <c r="F773" s="7">
        <v>45515</v>
      </c>
      <c r="G773" s="13">
        <v>58719.48</v>
      </c>
      <c r="H773" s="4">
        <v>58719.48</v>
      </c>
      <c r="I773" s="4">
        <v>58719.48</v>
      </c>
      <c r="J773" s="4">
        <v>2422.19995117187</v>
      </c>
      <c r="K773" s="4">
        <v>2422.19995117187</v>
      </c>
      <c r="L773" s="4">
        <v>2422.19995117187</v>
      </c>
      <c r="M773" s="3">
        <v>39</v>
      </c>
      <c r="N773" s="3">
        <v>39</v>
      </c>
      <c r="O773" s="54">
        <v>39</v>
      </c>
    </row>
    <row r="774" spans="2:15" x14ac:dyDescent="0.25">
      <c r="B774" s="7">
        <v>45516</v>
      </c>
      <c r="C774" s="13">
        <v>59354.52</v>
      </c>
      <c r="D774" s="8">
        <v>2432.10009765625</v>
      </c>
      <c r="F774" s="7">
        <v>45516</v>
      </c>
      <c r="G774" s="13">
        <v>59354.52</v>
      </c>
      <c r="H774" s="4">
        <v>59354.52</v>
      </c>
      <c r="I774" s="4">
        <v>59354.52</v>
      </c>
      <c r="J774" s="4">
        <v>2432.10009765625</v>
      </c>
      <c r="K774" s="4">
        <v>2432.10009765625</v>
      </c>
      <c r="L774" s="4">
        <v>2432.10009765625</v>
      </c>
      <c r="M774" s="3">
        <v>25</v>
      </c>
      <c r="N774" s="3">
        <v>25</v>
      </c>
      <c r="O774" s="54">
        <v>25</v>
      </c>
    </row>
    <row r="775" spans="2:15" x14ac:dyDescent="0.25">
      <c r="B775" s="7">
        <v>45517</v>
      </c>
      <c r="C775" s="13">
        <v>60609.57</v>
      </c>
      <c r="D775" s="8">
        <v>2462.39990234375</v>
      </c>
      <c r="F775" s="7">
        <v>45517</v>
      </c>
      <c r="G775" s="13">
        <v>60609.57</v>
      </c>
      <c r="H775" s="4">
        <v>60609.57</v>
      </c>
      <c r="I775" s="4">
        <v>60609.57</v>
      </c>
      <c r="J775" s="4">
        <v>2462.39990234375</v>
      </c>
      <c r="K775" s="4">
        <v>2462.39990234375</v>
      </c>
      <c r="L775" s="4">
        <v>2462.39990234375</v>
      </c>
      <c r="M775" s="3">
        <v>31</v>
      </c>
      <c r="N775" s="3">
        <v>31</v>
      </c>
      <c r="O775" s="54">
        <v>31</v>
      </c>
    </row>
    <row r="776" spans="2:15" x14ac:dyDescent="0.25">
      <c r="B776" s="7">
        <v>45518</v>
      </c>
      <c r="C776" s="13">
        <v>58737.27</v>
      </c>
      <c r="D776" s="8">
        <v>2466.69995117187</v>
      </c>
      <c r="F776" s="7">
        <v>45518</v>
      </c>
      <c r="G776" s="13">
        <v>58737.27</v>
      </c>
      <c r="H776" s="4">
        <v>58737.27</v>
      </c>
      <c r="I776" s="4">
        <v>58737.27</v>
      </c>
      <c r="J776" s="4">
        <v>2466.69995117187</v>
      </c>
      <c r="K776" s="4">
        <v>2466.69995117187</v>
      </c>
      <c r="L776" s="4">
        <v>2466.69995117187</v>
      </c>
      <c r="M776" s="3">
        <v>30</v>
      </c>
      <c r="N776" s="3">
        <v>30</v>
      </c>
      <c r="O776" s="54">
        <v>30</v>
      </c>
    </row>
    <row r="777" spans="2:15" x14ac:dyDescent="0.25">
      <c r="B777" s="7">
        <v>45519</v>
      </c>
      <c r="C777" s="13">
        <v>57560.1</v>
      </c>
      <c r="D777" s="8">
        <v>2439.39990234375</v>
      </c>
      <c r="F777" s="7">
        <v>45519</v>
      </c>
      <c r="G777" s="13">
        <v>57560.1</v>
      </c>
      <c r="H777" s="4">
        <v>57560.1</v>
      </c>
      <c r="I777" s="4">
        <v>57560.1</v>
      </c>
      <c r="J777" s="4">
        <v>2439.39990234375</v>
      </c>
      <c r="K777" s="4">
        <v>2439.39990234375</v>
      </c>
      <c r="L777" s="4">
        <v>2439.39990234375</v>
      </c>
      <c r="M777" s="3">
        <v>29</v>
      </c>
      <c r="N777" s="3">
        <v>29</v>
      </c>
      <c r="O777" s="54">
        <v>29</v>
      </c>
    </row>
    <row r="778" spans="2:15" x14ac:dyDescent="0.25">
      <c r="B778" s="7">
        <v>45520</v>
      </c>
      <c r="C778" s="13">
        <v>58894.11</v>
      </c>
      <c r="D778" s="8">
        <v>2453.10009765625</v>
      </c>
      <c r="F778" s="7">
        <v>45520</v>
      </c>
      <c r="G778" s="13">
        <v>58894.11</v>
      </c>
      <c r="H778" s="4">
        <v>58894.11</v>
      </c>
      <c r="I778" s="4">
        <v>58894.11</v>
      </c>
      <c r="J778" s="4">
        <v>2453.10009765625</v>
      </c>
      <c r="K778" s="4">
        <v>2453.10009765625</v>
      </c>
      <c r="L778" s="4">
        <v>2453.10009765625</v>
      </c>
      <c r="M778" s="3">
        <v>27</v>
      </c>
      <c r="N778" s="3">
        <v>27</v>
      </c>
      <c r="O778" s="54">
        <v>27</v>
      </c>
    </row>
    <row r="779" spans="2:15" x14ac:dyDescent="0.25">
      <c r="B779" s="7">
        <v>45521</v>
      </c>
      <c r="C779" s="13">
        <v>59478.97</v>
      </c>
      <c r="D779" s="8">
        <v>2498.60009765625</v>
      </c>
      <c r="F779" s="7">
        <v>45521</v>
      </c>
      <c r="G779" s="13">
        <v>59478.97</v>
      </c>
      <c r="H779" s="4">
        <v>59478.97</v>
      </c>
      <c r="I779" s="4">
        <v>59478.97</v>
      </c>
      <c r="J779" s="4">
        <v>2498.60009765625</v>
      </c>
      <c r="K779" s="4">
        <v>2498.60009765625</v>
      </c>
      <c r="L779" s="4">
        <v>2498.60009765625</v>
      </c>
      <c r="M779" s="3">
        <v>25</v>
      </c>
      <c r="N779" s="3">
        <v>25</v>
      </c>
      <c r="O779" s="54">
        <v>25</v>
      </c>
    </row>
    <row r="780" spans="2:15" x14ac:dyDescent="0.25">
      <c r="B780" s="7">
        <v>45522</v>
      </c>
      <c r="C780" s="13">
        <v>58483.96</v>
      </c>
      <c r="D780" s="8">
        <v>2453.10009765625</v>
      </c>
      <c r="F780" s="7">
        <v>45522</v>
      </c>
      <c r="G780" s="13">
        <v>58483.96</v>
      </c>
      <c r="H780" s="4">
        <v>58483.96</v>
      </c>
      <c r="I780" s="4">
        <v>58483.96</v>
      </c>
      <c r="J780" s="4">
        <v>2453.10009765625</v>
      </c>
      <c r="K780" s="4">
        <v>2453.10009765625</v>
      </c>
      <c r="L780" s="4">
        <v>2453.10009765625</v>
      </c>
      <c r="M780" s="3">
        <v>31</v>
      </c>
      <c r="N780" s="3">
        <v>31</v>
      </c>
      <c r="O780" s="54">
        <v>31</v>
      </c>
    </row>
    <row r="781" spans="2:15" x14ac:dyDescent="0.25">
      <c r="B781" s="7">
        <v>45523</v>
      </c>
      <c r="C781" s="13">
        <v>59493.45</v>
      </c>
      <c r="D781" s="8">
        <v>2498.60009765625</v>
      </c>
      <c r="F781" s="7">
        <v>45523</v>
      </c>
      <c r="G781" s="13">
        <v>59493.45</v>
      </c>
      <c r="H781" s="4">
        <v>59493.45</v>
      </c>
      <c r="I781" s="4">
        <v>59493.45</v>
      </c>
      <c r="J781" s="4">
        <v>2498.60009765625</v>
      </c>
      <c r="K781" s="4">
        <v>2498.60009765625</v>
      </c>
      <c r="L781" s="4">
        <v>2498.60009765625</v>
      </c>
      <c r="M781" s="3">
        <v>28</v>
      </c>
      <c r="N781" s="3">
        <v>28</v>
      </c>
      <c r="O781" s="54">
        <v>28</v>
      </c>
    </row>
    <row r="782" spans="2:15" x14ac:dyDescent="0.25">
      <c r="B782" s="7">
        <v>45524</v>
      </c>
      <c r="C782" s="13">
        <v>59012.79</v>
      </c>
      <c r="D782" s="8">
        <v>2501.80004882812</v>
      </c>
      <c r="F782" s="7">
        <v>45524</v>
      </c>
      <c r="G782" s="13">
        <v>59012.79</v>
      </c>
      <c r="H782" s="4">
        <v>59012.79</v>
      </c>
      <c r="I782" s="4">
        <v>59012.79</v>
      </c>
      <c r="J782" s="4">
        <v>2501.80004882812</v>
      </c>
      <c r="K782" s="4">
        <v>2501.80004882812</v>
      </c>
      <c r="L782" s="4">
        <v>2501.80004882812</v>
      </c>
      <c r="M782" s="3">
        <v>30</v>
      </c>
      <c r="N782" s="3">
        <v>30</v>
      </c>
      <c r="O782" s="54">
        <v>30</v>
      </c>
    </row>
    <row r="783" spans="2:15" x14ac:dyDescent="0.25">
      <c r="B783" s="7">
        <v>45525</v>
      </c>
      <c r="C783" s="13">
        <v>61175.19</v>
      </c>
      <c r="D783" s="8">
        <v>2511.30004882812</v>
      </c>
      <c r="F783" s="7">
        <v>45525</v>
      </c>
      <c r="G783" s="13">
        <v>61175.19</v>
      </c>
      <c r="H783" s="4">
        <v>61175.19</v>
      </c>
      <c r="I783" s="4">
        <v>61175.19</v>
      </c>
      <c r="J783" s="4">
        <v>2511.30004882812</v>
      </c>
      <c r="K783" s="4">
        <v>2511.30004882812</v>
      </c>
      <c r="L783" s="4">
        <v>2511.30004882812</v>
      </c>
      <c r="M783" s="3">
        <v>26</v>
      </c>
      <c r="N783" s="3">
        <v>26</v>
      </c>
      <c r="O783" s="54">
        <v>26</v>
      </c>
    </row>
    <row r="784" spans="2:15" x14ac:dyDescent="0.25">
      <c r="B784" s="7">
        <v>45526</v>
      </c>
      <c r="C784" s="13">
        <v>60381.91</v>
      </c>
      <c r="D784" s="8">
        <v>2508.39990234375</v>
      </c>
      <c r="F784" s="7">
        <v>45526</v>
      </c>
      <c r="G784" s="13">
        <v>60381.91</v>
      </c>
      <c r="H784" s="4">
        <v>60381.91</v>
      </c>
      <c r="I784" s="4">
        <v>60381.91</v>
      </c>
      <c r="J784" s="4">
        <v>2508.39990234375</v>
      </c>
      <c r="K784" s="4">
        <v>2508.39990234375</v>
      </c>
      <c r="L784" s="4">
        <v>2508.39990234375</v>
      </c>
      <c r="M784" s="3">
        <v>39</v>
      </c>
      <c r="N784" s="3">
        <v>39</v>
      </c>
      <c r="O784" s="54">
        <v>39</v>
      </c>
    </row>
    <row r="785" spans="2:15" x14ac:dyDescent="0.25">
      <c r="B785" s="7">
        <v>45527</v>
      </c>
      <c r="C785" s="13">
        <v>64094.36</v>
      </c>
      <c r="D785" s="8">
        <v>2478.89990234375</v>
      </c>
      <c r="F785" s="7">
        <v>45527</v>
      </c>
      <c r="G785" s="13">
        <v>64094.36</v>
      </c>
      <c r="H785" s="4">
        <v>64094.36</v>
      </c>
      <c r="I785" s="4">
        <v>64094.36</v>
      </c>
      <c r="J785" s="4">
        <v>2478.89990234375</v>
      </c>
      <c r="K785" s="4">
        <v>2478.89990234375</v>
      </c>
      <c r="L785" s="4">
        <v>2478.89990234375</v>
      </c>
      <c r="M785" s="3">
        <v>34</v>
      </c>
      <c r="N785" s="3">
        <v>34</v>
      </c>
      <c r="O785" s="54">
        <v>34</v>
      </c>
    </row>
    <row r="786" spans="2:15" x14ac:dyDescent="0.25">
      <c r="B786" s="7">
        <v>45528</v>
      </c>
      <c r="C786" s="13">
        <v>64178.99</v>
      </c>
      <c r="D786" s="8">
        <v>2508.39990234375</v>
      </c>
      <c r="F786" s="7">
        <v>45528</v>
      </c>
      <c r="G786" s="13">
        <v>64178.99</v>
      </c>
      <c r="H786" s="4">
        <v>64178.99</v>
      </c>
      <c r="I786" s="4">
        <v>64178.99</v>
      </c>
      <c r="J786" s="4">
        <v>2508.39990234375</v>
      </c>
      <c r="K786" s="4">
        <v>2508.39990234375</v>
      </c>
      <c r="L786" s="4">
        <v>2508.39990234375</v>
      </c>
      <c r="M786" s="3">
        <v>56</v>
      </c>
      <c r="N786" s="3">
        <v>56</v>
      </c>
      <c r="O786" s="54">
        <v>56</v>
      </c>
    </row>
    <row r="787" spans="2:15" x14ac:dyDescent="0.25">
      <c r="B787" s="7">
        <v>45529</v>
      </c>
      <c r="C787" s="13">
        <v>64333.54</v>
      </c>
      <c r="D787" s="8">
        <v>2478.89990234375</v>
      </c>
      <c r="F787" s="7">
        <v>45529</v>
      </c>
      <c r="G787" s="13">
        <v>64333.54</v>
      </c>
      <c r="H787" s="4">
        <v>64333.54</v>
      </c>
      <c r="I787" s="4">
        <v>64333.54</v>
      </c>
      <c r="J787" s="4">
        <v>2478.89990234375</v>
      </c>
      <c r="K787" s="4">
        <v>2478.89990234375</v>
      </c>
      <c r="L787" s="4">
        <v>2478.89990234375</v>
      </c>
      <c r="M787" s="3">
        <v>54</v>
      </c>
      <c r="N787" s="3">
        <v>54</v>
      </c>
      <c r="O787" s="54">
        <v>54</v>
      </c>
    </row>
    <row r="788" spans="2:15" x14ac:dyDescent="0.25">
      <c r="B788" s="7">
        <v>45530</v>
      </c>
      <c r="C788" s="13">
        <v>62880.66</v>
      </c>
      <c r="D788" s="8">
        <v>2508.39990234375</v>
      </c>
      <c r="F788" s="7">
        <v>45530</v>
      </c>
      <c r="G788" s="13">
        <v>62880.66</v>
      </c>
      <c r="H788" s="4">
        <v>62880.66</v>
      </c>
      <c r="I788" s="4">
        <v>62880.66</v>
      </c>
      <c r="J788" s="4">
        <v>2508.39990234375</v>
      </c>
      <c r="K788" s="4">
        <v>2508.39990234375</v>
      </c>
      <c r="L788" s="4">
        <v>2508.39990234375</v>
      </c>
      <c r="M788" s="3">
        <v>55</v>
      </c>
      <c r="N788" s="3">
        <v>55</v>
      </c>
      <c r="O788" s="54">
        <v>55</v>
      </c>
    </row>
    <row r="789" spans="2:15" x14ac:dyDescent="0.25">
      <c r="B789" s="7">
        <v>45531</v>
      </c>
      <c r="C789" s="13">
        <v>59504.13</v>
      </c>
      <c r="D789" s="8">
        <v>2517.69995117187</v>
      </c>
      <c r="F789" s="7">
        <v>45531</v>
      </c>
      <c r="G789" s="13">
        <v>59504.13</v>
      </c>
      <c r="H789" s="4">
        <v>59504.13</v>
      </c>
      <c r="I789" s="4">
        <v>59504.13</v>
      </c>
      <c r="J789" s="4">
        <v>2517.69995117187</v>
      </c>
      <c r="K789" s="4">
        <v>2517.69995117187</v>
      </c>
      <c r="L789" s="4">
        <v>2517.69995117187</v>
      </c>
      <c r="M789" s="3">
        <v>48</v>
      </c>
      <c r="N789" s="3">
        <v>48</v>
      </c>
      <c r="O789" s="54">
        <v>48</v>
      </c>
    </row>
    <row r="790" spans="2:15" x14ac:dyDescent="0.25">
      <c r="B790" s="7">
        <v>45532</v>
      </c>
      <c r="C790" s="13">
        <v>59027.63</v>
      </c>
      <c r="D790" s="8">
        <v>2516</v>
      </c>
      <c r="F790" s="7">
        <v>45532</v>
      </c>
      <c r="G790" s="13">
        <v>59027.63</v>
      </c>
      <c r="H790" s="4">
        <v>59027.63</v>
      </c>
      <c r="I790" s="4">
        <v>59027.63</v>
      </c>
      <c r="J790" s="4">
        <v>2516</v>
      </c>
      <c r="K790" s="4">
        <v>2516</v>
      </c>
      <c r="L790" s="4">
        <v>2516</v>
      </c>
      <c r="M790" s="3">
        <v>30</v>
      </c>
      <c r="N790" s="3">
        <v>30</v>
      </c>
      <c r="O790" s="54">
        <v>30</v>
      </c>
    </row>
    <row r="791" spans="2:15" x14ac:dyDescent="0.25">
      <c r="B791" s="7">
        <v>45533</v>
      </c>
      <c r="C791" s="13">
        <v>59388.18</v>
      </c>
      <c r="D791" s="8">
        <v>2501</v>
      </c>
      <c r="F791" s="7">
        <v>45533</v>
      </c>
      <c r="G791" s="13">
        <v>59388.18</v>
      </c>
      <c r="H791" s="4">
        <v>59388.18</v>
      </c>
      <c r="I791" s="4">
        <v>59388.18</v>
      </c>
      <c r="J791" s="4">
        <v>2501</v>
      </c>
      <c r="K791" s="4">
        <v>2501</v>
      </c>
      <c r="L791" s="4">
        <v>2501</v>
      </c>
      <c r="M791" s="3">
        <v>29</v>
      </c>
      <c r="N791" s="3">
        <v>29</v>
      </c>
      <c r="O791" s="54">
        <v>29</v>
      </c>
    </row>
    <row r="792" spans="2:15" x14ac:dyDescent="0.25">
      <c r="B792" s="7">
        <v>45534</v>
      </c>
      <c r="C792" s="13">
        <v>59119.48</v>
      </c>
      <c r="D792" s="8">
        <v>2525.69995117187</v>
      </c>
      <c r="F792" s="7">
        <v>45534</v>
      </c>
      <c r="G792" s="13">
        <v>59119.48</v>
      </c>
      <c r="H792" s="4">
        <v>59119.48</v>
      </c>
      <c r="I792" s="4">
        <v>59119.48</v>
      </c>
      <c r="J792" s="4">
        <v>2525.69995117187</v>
      </c>
      <c r="K792" s="4">
        <v>2525.69995117187</v>
      </c>
      <c r="L792" s="4">
        <v>2525.69995117187</v>
      </c>
      <c r="M792" s="3">
        <v>34</v>
      </c>
      <c r="N792" s="3">
        <v>34</v>
      </c>
      <c r="O792" s="54">
        <v>34</v>
      </c>
    </row>
    <row r="793" spans="2:15" x14ac:dyDescent="0.25">
      <c r="B793" s="7">
        <v>45535</v>
      </c>
      <c r="C793" s="13">
        <v>58969.9</v>
      </c>
      <c r="D793" s="8">
        <v>2493.80004882812</v>
      </c>
      <c r="F793" s="7">
        <v>45535</v>
      </c>
      <c r="G793" s="13">
        <v>58969.9</v>
      </c>
      <c r="H793" s="4">
        <v>58969.9</v>
      </c>
      <c r="I793" s="4">
        <v>58969.9</v>
      </c>
      <c r="J793" s="4">
        <v>2493.80004882812</v>
      </c>
      <c r="K793" s="4">
        <v>2493.80004882812</v>
      </c>
      <c r="L793" s="4">
        <v>2493.80004882812</v>
      </c>
      <c r="M793" s="3">
        <v>29</v>
      </c>
      <c r="N793" s="3">
        <v>29</v>
      </c>
      <c r="O793" s="54">
        <v>29</v>
      </c>
    </row>
    <row r="794" spans="2:15" x14ac:dyDescent="0.25">
      <c r="B794" s="7">
        <v>45536</v>
      </c>
      <c r="C794" s="13">
        <v>57325.49</v>
      </c>
      <c r="D794" s="8">
        <v>2525.69995117187</v>
      </c>
      <c r="F794" s="7">
        <v>45536</v>
      </c>
      <c r="G794" s="13">
        <v>57325.49</v>
      </c>
      <c r="H794" s="4">
        <v>57325.49</v>
      </c>
      <c r="I794" s="4">
        <v>57325.49</v>
      </c>
      <c r="J794" s="4">
        <v>2525.69995117187</v>
      </c>
      <c r="K794" s="4">
        <v>2525.69995117187</v>
      </c>
      <c r="L794" s="4">
        <v>2525.69995117187</v>
      </c>
      <c r="M794" s="3">
        <v>26</v>
      </c>
      <c r="N794" s="3">
        <v>26</v>
      </c>
      <c r="O794" s="54">
        <v>26</v>
      </c>
    </row>
    <row r="795" spans="2:15" x14ac:dyDescent="0.25">
      <c r="B795" s="7">
        <v>45537</v>
      </c>
      <c r="C795" s="13">
        <v>59112.480000000003</v>
      </c>
      <c r="D795" s="8">
        <v>2493.80004882812</v>
      </c>
      <c r="F795" s="7">
        <v>45537</v>
      </c>
      <c r="G795" s="13">
        <v>59112.480000000003</v>
      </c>
      <c r="H795" s="4">
        <v>59112.480000000003</v>
      </c>
      <c r="I795" s="4">
        <v>59112.480000000003</v>
      </c>
      <c r="J795" s="4">
        <v>2493.80004882812</v>
      </c>
      <c r="K795" s="4">
        <v>2493.80004882812</v>
      </c>
      <c r="L795" s="4">
        <v>2493.80004882812</v>
      </c>
      <c r="M795" s="3">
        <v>26</v>
      </c>
      <c r="N795" s="3">
        <v>26</v>
      </c>
      <c r="O795" s="54">
        <v>26</v>
      </c>
    </row>
    <row r="796" spans="2:15" x14ac:dyDescent="0.25">
      <c r="B796" s="7">
        <v>45538</v>
      </c>
      <c r="C796" s="13">
        <v>57431.02</v>
      </c>
      <c r="D796" s="8">
        <v>2525.69995117187</v>
      </c>
      <c r="F796" s="7">
        <v>45538</v>
      </c>
      <c r="G796" s="13">
        <v>57431.02</v>
      </c>
      <c r="H796" s="4">
        <v>57431.02</v>
      </c>
      <c r="I796" s="4">
        <v>57431.02</v>
      </c>
      <c r="J796" s="4">
        <v>2525.69995117187</v>
      </c>
      <c r="K796" s="4">
        <v>2525.69995117187</v>
      </c>
      <c r="L796" s="4">
        <v>2525.69995117187</v>
      </c>
      <c r="M796" s="3">
        <v>26</v>
      </c>
      <c r="N796" s="3">
        <v>26</v>
      </c>
      <c r="O796" s="54">
        <v>26</v>
      </c>
    </row>
    <row r="797" spans="2:15" x14ac:dyDescent="0.25">
      <c r="B797" s="7">
        <v>45539</v>
      </c>
      <c r="C797" s="13">
        <v>57971.54</v>
      </c>
      <c r="D797" s="8">
        <v>2489.89990234375</v>
      </c>
      <c r="F797" s="7">
        <v>45539</v>
      </c>
      <c r="G797" s="13">
        <v>57971.54</v>
      </c>
      <c r="H797" s="4">
        <v>57971.54</v>
      </c>
      <c r="I797" s="4">
        <v>57971.54</v>
      </c>
      <c r="J797" s="4">
        <v>2489.89990234375</v>
      </c>
      <c r="K797" s="4">
        <v>2489.89990234375</v>
      </c>
      <c r="L797" s="4">
        <v>2489.89990234375</v>
      </c>
      <c r="M797" s="3">
        <v>27</v>
      </c>
      <c r="N797" s="3">
        <v>27</v>
      </c>
      <c r="O797" s="54">
        <v>27</v>
      </c>
    </row>
    <row r="798" spans="2:15" x14ac:dyDescent="0.25">
      <c r="B798" s="7">
        <v>45540</v>
      </c>
      <c r="C798" s="13">
        <v>56160.49</v>
      </c>
      <c r="D798" s="8">
        <v>2493.39990234375</v>
      </c>
      <c r="F798" s="7">
        <v>45540</v>
      </c>
      <c r="G798" s="13">
        <v>56160.49</v>
      </c>
      <c r="H798" s="4">
        <v>56160.49</v>
      </c>
      <c r="I798" s="4">
        <v>56160.49</v>
      </c>
      <c r="J798" s="4">
        <v>2493.39990234375</v>
      </c>
      <c r="K798" s="4">
        <v>2493.39990234375</v>
      </c>
      <c r="L798" s="4">
        <v>2493.39990234375</v>
      </c>
      <c r="M798" s="3">
        <v>29</v>
      </c>
      <c r="N798" s="3">
        <v>29</v>
      </c>
      <c r="O798" s="54">
        <v>29</v>
      </c>
    </row>
    <row r="799" spans="2:15" x14ac:dyDescent="0.25">
      <c r="B799" s="7">
        <v>45541</v>
      </c>
      <c r="C799" s="13">
        <v>53948.75</v>
      </c>
      <c r="D799" s="8">
        <v>2511.39990234375</v>
      </c>
      <c r="F799" s="7">
        <v>45541</v>
      </c>
      <c r="G799" s="13">
        <v>53948.75</v>
      </c>
      <c r="H799" s="4">
        <v>53948.75</v>
      </c>
      <c r="I799" s="4">
        <v>53948.75</v>
      </c>
      <c r="J799" s="4">
        <v>2511.39990234375</v>
      </c>
      <c r="K799" s="4">
        <v>2511.39990234375</v>
      </c>
      <c r="L799" s="4">
        <v>2511.39990234375</v>
      </c>
      <c r="M799" s="3">
        <v>22</v>
      </c>
      <c r="N799" s="3">
        <v>22</v>
      </c>
      <c r="O799" s="54">
        <v>22</v>
      </c>
    </row>
    <row r="800" spans="2:15" x14ac:dyDescent="0.25">
      <c r="B800" s="7">
        <v>45542</v>
      </c>
      <c r="C800" s="13">
        <v>54139.69</v>
      </c>
      <c r="D800" s="8">
        <v>2493.5</v>
      </c>
      <c r="F800" s="7">
        <v>45542</v>
      </c>
      <c r="G800" s="13">
        <v>54139.69</v>
      </c>
      <c r="H800" s="4">
        <v>54139.69</v>
      </c>
      <c r="I800" s="4">
        <v>54139.69</v>
      </c>
      <c r="J800" s="4">
        <v>2493.5</v>
      </c>
      <c r="K800" s="4">
        <v>2493.5</v>
      </c>
      <c r="L800" s="4">
        <v>2493.5</v>
      </c>
      <c r="M800" s="3">
        <v>23</v>
      </c>
      <c r="N800" s="3">
        <v>23</v>
      </c>
      <c r="O800" s="54">
        <v>23</v>
      </c>
    </row>
    <row r="801" spans="2:15" x14ac:dyDescent="0.25">
      <c r="B801" s="7">
        <v>45543</v>
      </c>
      <c r="C801" s="13">
        <v>54841.57</v>
      </c>
      <c r="D801" s="8">
        <v>2511.39990234375</v>
      </c>
      <c r="F801" s="7">
        <v>45543</v>
      </c>
      <c r="G801" s="13">
        <v>54841.57</v>
      </c>
      <c r="H801" s="4">
        <v>54841.57</v>
      </c>
      <c r="I801" s="4">
        <v>54841.57</v>
      </c>
      <c r="J801" s="4">
        <v>2511.39990234375</v>
      </c>
      <c r="K801" s="4">
        <v>2511.39990234375</v>
      </c>
      <c r="L801" s="4">
        <v>2511.39990234375</v>
      </c>
      <c r="M801" s="3">
        <v>29</v>
      </c>
      <c r="N801" s="3">
        <v>29</v>
      </c>
      <c r="O801" s="54">
        <v>29</v>
      </c>
    </row>
    <row r="802" spans="2:15" x14ac:dyDescent="0.25">
      <c r="B802" s="7">
        <v>45544</v>
      </c>
      <c r="C802" s="13">
        <v>57019.54</v>
      </c>
      <c r="D802" s="8">
        <v>2493.5</v>
      </c>
      <c r="F802" s="7">
        <v>45544</v>
      </c>
      <c r="G802" s="13">
        <v>57019.54</v>
      </c>
      <c r="H802" s="4">
        <v>57019.54</v>
      </c>
      <c r="I802" s="4">
        <v>57019.54</v>
      </c>
      <c r="J802" s="4">
        <v>2493.5</v>
      </c>
      <c r="K802" s="4">
        <v>2493.5</v>
      </c>
      <c r="L802" s="4">
        <v>2493.5</v>
      </c>
      <c r="M802" s="3">
        <v>26</v>
      </c>
      <c r="N802" s="3">
        <v>26</v>
      </c>
      <c r="O802" s="54">
        <v>26</v>
      </c>
    </row>
    <row r="803" spans="2:15" x14ac:dyDescent="0.25">
      <c r="B803" s="7">
        <v>45545</v>
      </c>
      <c r="C803" s="13">
        <v>57648.71</v>
      </c>
      <c r="D803" s="8">
        <v>2501.80004882812</v>
      </c>
      <c r="F803" s="7">
        <v>45545</v>
      </c>
      <c r="G803" s="13">
        <v>57648.71</v>
      </c>
      <c r="H803" s="4">
        <v>57648.71</v>
      </c>
      <c r="I803" s="4">
        <v>57648.71</v>
      </c>
      <c r="J803" s="4">
        <v>2501.80004882812</v>
      </c>
      <c r="K803" s="4">
        <v>2501.80004882812</v>
      </c>
      <c r="L803" s="4">
        <v>2501.80004882812</v>
      </c>
      <c r="M803" s="3">
        <v>33</v>
      </c>
      <c r="N803" s="3">
        <v>33</v>
      </c>
      <c r="O803" s="54">
        <v>33</v>
      </c>
    </row>
    <row r="804" spans="2:15" x14ac:dyDescent="0.25">
      <c r="B804" s="7">
        <v>45546</v>
      </c>
      <c r="C804" s="13">
        <v>57343.17</v>
      </c>
      <c r="D804" s="8">
        <v>2512.30004882812</v>
      </c>
      <c r="F804" s="7">
        <v>45546</v>
      </c>
      <c r="G804" s="13">
        <v>57343.17</v>
      </c>
      <c r="H804" s="4">
        <v>57343.17</v>
      </c>
      <c r="I804" s="4">
        <v>57343.17</v>
      </c>
      <c r="J804" s="4">
        <v>2512.30004882812</v>
      </c>
      <c r="K804" s="4">
        <v>2512.30004882812</v>
      </c>
      <c r="L804" s="4">
        <v>2512.30004882812</v>
      </c>
      <c r="M804" s="3">
        <v>37</v>
      </c>
      <c r="N804" s="3">
        <v>37</v>
      </c>
      <c r="O804" s="54">
        <v>37</v>
      </c>
    </row>
    <row r="805" spans="2:15" x14ac:dyDescent="0.25">
      <c r="B805" s="7">
        <v>45547</v>
      </c>
      <c r="C805" s="13">
        <v>58127.01</v>
      </c>
      <c r="D805" s="8">
        <v>2512.10009765625</v>
      </c>
      <c r="F805" s="7">
        <v>45547</v>
      </c>
      <c r="G805" s="13">
        <v>58127.01</v>
      </c>
      <c r="H805" s="4">
        <v>58127.01</v>
      </c>
      <c r="I805" s="4">
        <v>58127.01</v>
      </c>
      <c r="J805" s="4">
        <v>2512.10009765625</v>
      </c>
      <c r="K805" s="4">
        <v>2512.10009765625</v>
      </c>
      <c r="L805" s="4">
        <v>2512.10009765625</v>
      </c>
      <c r="M805" s="3">
        <v>31</v>
      </c>
      <c r="N805" s="3">
        <v>31</v>
      </c>
      <c r="O805" s="54">
        <v>31</v>
      </c>
    </row>
    <row r="806" spans="2:15" x14ac:dyDescent="0.25">
      <c r="B806" s="7">
        <v>45548</v>
      </c>
      <c r="C806" s="13">
        <v>60571.3</v>
      </c>
      <c r="D806" s="8">
        <v>2551.19995117187</v>
      </c>
      <c r="F806" s="7">
        <v>45548</v>
      </c>
      <c r="G806" s="13">
        <v>60571.3</v>
      </c>
      <c r="H806" s="4">
        <v>60571.3</v>
      </c>
      <c r="I806" s="4">
        <v>60571.3</v>
      </c>
      <c r="J806" s="4">
        <v>2551.19995117187</v>
      </c>
      <c r="K806" s="4">
        <v>2551.19995117187</v>
      </c>
      <c r="L806" s="4">
        <v>2551.19995117187</v>
      </c>
      <c r="M806" s="3">
        <v>32</v>
      </c>
      <c r="N806" s="3">
        <v>32</v>
      </c>
      <c r="O806" s="54">
        <v>32</v>
      </c>
    </row>
    <row r="807" spans="2:15" x14ac:dyDescent="0.25">
      <c r="B807" s="7">
        <v>45549</v>
      </c>
      <c r="C807" s="13">
        <v>60005.120000000003</v>
      </c>
      <c r="D807" s="8">
        <v>2581.30004882812</v>
      </c>
      <c r="F807" s="7">
        <v>45549</v>
      </c>
      <c r="G807" s="13">
        <v>60005.120000000003</v>
      </c>
      <c r="H807" s="4">
        <v>60005.120000000003</v>
      </c>
      <c r="I807" s="4">
        <v>60005.120000000003</v>
      </c>
      <c r="J807" s="4">
        <v>2581.30004882812</v>
      </c>
      <c r="K807" s="4">
        <v>2581.30004882812</v>
      </c>
      <c r="L807" s="4">
        <v>2581.30004882812</v>
      </c>
      <c r="M807" s="3">
        <v>50</v>
      </c>
      <c r="N807" s="3">
        <v>50</v>
      </c>
      <c r="O807" s="54">
        <v>50</v>
      </c>
    </row>
    <row r="808" spans="2:15" x14ac:dyDescent="0.25">
      <c r="B808" s="7">
        <v>45550</v>
      </c>
      <c r="C808" s="13">
        <v>59182.84</v>
      </c>
      <c r="D808" s="8">
        <v>2551.19995117187</v>
      </c>
      <c r="F808" s="7">
        <v>45550</v>
      </c>
      <c r="G808" s="13">
        <v>59182.84</v>
      </c>
      <c r="H808" s="4">
        <v>59182.84</v>
      </c>
      <c r="I808" s="4">
        <v>59182.84</v>
      </c>
      <c r="J808" s="4">
        <v>2551.19995117187</v>
      </c>
      <c r="K808" s="4">
        <v>2551.19995117187</v>
      </c>
      <c r="L808" s="4">
        <v>2551.19995117187</v>
      </c>
      <c r="M808" s="3">
        <v>51</v>
      </c>
      <c r="N808" s="3">
        <v>51</v>
      </c>
      <c r="O808" s="54">
        <v>51</v>
      </c>
    </row>
    <row r="809" spans="2:15" x14ac:dyDescent="0.25">
      <c r="B809" s="7">
        <v>45551</v>
      </c>
      <c r="C809" s="13">
        <v>58192.51</v>
      </c>
      <c r="D809" s="8">
        <v>2581.30004882812</v>
      </c>
      <c r="F809" s="7">
        <v>45551</v>
      </c>
      <c r="G809" s="13">
        <v>58192.51</v>
      </c>
      <c r="H809" s="4">
        <v>58192.51</v>
      </c>
      <c r="I809" s="4">
        <v>58192.51</v>
      </c>
      <c r="J809" s="4">
        <v>2581.30004882812</v>
      </c>
      <c r="K809" s="4">
        <v>2581.30004882812</v>
      </c>
      <c r="L809" s="4">
        <v>2581.30004882812</v>
      </c>
      <c r="M809" s="3">
        <v>39</v>
      </c>
      <c r="N809" s="3">
        <v>39</v>
      </c>
      <c r="O809" s="54">
        <v>39</v>
      </c>
    </row>
    <row r="810" spans="2:15" x14ac:dyDescent="0.25">
      <c r="B810" s="7">
        <v>45552</v>
      </c>
      <c r="C810" s="13">
        <v>60308.54</v>
      </c>
      <c r="D810" s="8">
        <v>2580.39990234375</v>
      </c>
      <c r="F810" s="7">
        <v>45552</v>
      </c>
      <c r="G810" s="13">
        <v>60308.54</v>
      </c>
      <c r="H810" s="4">
        <v>60308.54</v>
      </c>
      <c r="I810" s="4">
        <v>60308.54</v>
      </c>
      <c r="J810" s="4">
        <v>2580.39990234375</v>
      </c>
      <c r="K810" s="4">
        <v>2580.39990234375</v>
      </c>
      <c r="L810" s="4">
        <v>2580.39990234375</v>
      </c>
      <c r="M810" s="3">
        <v>33</v>
      </c>
      <c r="N810" s="3">
        <v>33</v>
      </c>
      <c r="O810" s="54">
        <v>33</v>
      </c>
    </row>
    <row r="811" spans="2:15" x14ac:dyDescent="0.25">
      <c r="B811" s="7">
        <v>45553</v>
      </c>
      <c r="C811" s="13">
        <v>61649.68</v>
      </c>
      <c r="D811" s="8">
        <v>2564.30004882812</v>
      </c>
      <c r="F811" s="7">
        <v>45553</v>
      </c>
      <c r="G811" s="13">
        <v>61649.68</v>
      </c>
      <c r="H811" s="4">
        <v>61649.68</v>
      </c>
      <c r="I811" s="4">
        <v>61649.68</v>
      </c>
      <c r="J811" s="4">
        <v>2564.30004882812</v>
      </c>
      <c r="K811" s="4">
        <v>2564.30004882812</v>
      </c>
      <c r="L811" s="4">
        <v>2564.30004882812</v>
      </c>
      <c r="M811" s="3">
        <v>45</v>
      </c>
      <c r="N811" s="3">
        <v>45</v>
      </c>
      <c r="O811" s="54">
        <v>45</v>
      </c>
    </row>
    <row r="812" spans="2:15" x14ac:dyDescent="0.25">
      <c r="B812" s="7">
        <v>45554</v>
      </c>
      <c r="C812" s="13">
        <v>62940.46</v>
      </c>
      <c r="D812" s="8">
        <v>2570.69995117187</v>
      </c>
      <c r="F812" s="7">
        <v>45554</v>
      </c>
      <c r="G812" s="13">
        <v>62940.46</v>
      </c>
      <c r="H812" s="4">
        <v>62940.46</v>
      </c>
      <c r="I812" s="4">
        <v>62940.46</v>
      </c>
      <c r="J812" s="4">
        <v>2570.69995117187</v>
      </c>
      <c r="K812" s="4">
        <v>2570.69995117187</v>
      </c>
      <c r="L812" s="4">
        <v>2570.69995117187</v>
      </c>
      <c r="M812" s="3">
        <v>49</v>
      </c>
      <c r="N812" s="3">
        <v>49</v>
      </c>
      <c r="O812" s="54">
        <v>49</v>
      </c>
    </row>
    <row r="813" spans="2:15" x14ac:dyDescent="0.25">
      <c r="B813" s="7">
        <v>45555</v>
      </c>
      <c r="C813" s="13">
        <v>63192.98</v>
      </c>
      <c r="D813" s="8">
        <v>2588</v>
      </c>
      <c r="F813" s="7">
        <v>45555</v>
      </c>
      <c r="G813" s="13">
        <v>63192.98</v>
      </c>
      <c r="H813" s="4">
        <v>63192.98</v>
      </c>
      <c r="I813" s="4">
        <v>63192.98</v>
      </c>
      <c r="J813" s="4">
        <v>2588</v>
      </c>
      <c r="K813" s="4">
        <v>2588</v>
      </c>
      <c r="L813" s="4">
        <v>2588</v>
      </c>
      <c r="M813" s="3">
        <v>54</v>
      </c>
      <c r="N813" s="3">
        <v>54</v>
      </c>
      <c r="O813" s="54">
        <v>54</v>
      </c>
    </row>
    <row r="814" spans="2:15" x14ac:dyDescent="0.25">
      <c r="B814" s="7">
        <v>45556</v>
      </c>
      <c r="C814" s="13">
        <v>63394.84</v>
      </c>
      <c r="D814" s="8">
        <v>2619.89990234375</v>
      </c>
      <c r="F814" s="7">
        <v>45556</v>
      </c>
      <c r="G814" s="13">
        <v>63394.84</v>
      </c>
      <c r="H814" s="4">
        <v>63394.84</v>
      </c>
      <c r="I814" s="4">
        <v>63394.84</v>
      </c>
      <c r="J814" s="4">
        <v>2619.89990234375</v>
      </c>
      <c r="K814" s="4">
        <v>2619.89990234375</v>
      </c>
      <c r="L814" s="4">
        <v>2619.89990234375</v>
      </c>
      <c r="M814" s="3">
        <v>54</v>
      </c>
      <c r="N814" s="3">
        <v>54</v>
      </c>
      <c r="O814" s="54">
        <v>54</v>
      </c>
    </row>
    <row r="815" spans="2:15" x14ac:dyDescent="0.25">
      <c r="B815" s="7">
        <v>45557</v>
      </c>
      <c r="C815" s="13">
        <v>63648.71</v>
      </c>
      <c r="D815" s="8">
        <v>2588</v>
      </c>
      <c r="F815" s="7">
        <v>45557</v>
      </c>
      <c r="G815" s="13">
        <v>63648.71</v>
      </c>
      <c r="H815" s="4">
        <v>63648.71</v>
      </c>
      <c r="I815" s="4">
        <v>63648.71</v>
      </c>
      <c r="J815" s="4">
        <v>2588</v>
      </c>
      <c r="K815" s="4">
        <v>2588</v>
      </c>
      <c r="L815" s="4">
        <v>2588</v>
      </c>
      <c r="M815" s="3">
        <v>52</v>
      </c>
      <c r="N815" s="3">
        <v>52</v>
      </c>
      <c r="O815" s="54">
        <v>52</v>
      </c>
    </row>
    <row r="816" spans="2:15" x14ac:dyDescent="0.25">
      <c r="B816" s="7">
        <v>45558</v>
      </c>
      <c r="C816" s="13">
        <v>63329.8</v>
      </c>
      <c r="D816" s="8">
        <v>2619.89990234375</v>
      </c>
      <c r="F816" s="7">
        <v>45558</v>
      </c>
      <c r="G816" s="13">
        <v>63329.8</v>
      </c>
      <c r="H816" s="4">
        <v>63329.8</v>
      </c>
      <c r="I816" s="4">
        <v>63329.8</v>
      </c>
      <c r="J816" s="4">
        <v>2619.89990234375</v>
      </c>
      <c r="K816" s="4">
        <v>2619.89990234375</v>
      </c>
      <c r="L816" s="4">
        <v>2619.89990234375</v>
      </c>
      <c r="M816" s="3">
        <v>50</v>
      </c>
      <c r="N816" s="3">
        <v>50</v>
      </c>
      <c r="O816" s="54">
        <v>50</v>
      </c>
    </row>
    <row r="817" spans="2:15" x14ac:dyDescent="0.25">
      <c r="B817" s="7">
        <v>45559</v>
      </c>
      <c r="C817" s="13">
        <v>64301.97</v>
      </c>
      <c r="D817" s="8">
        <v>2626.5</v>
      </c>
      <c r="F817" s="7">
        <v>45559</v>
      </c>
      <c r="G817" s="13">
        <v>64301.97</v>
      </c>
      <c r="H817" s="4">
        <v>64301.97</v>
      </c>
      <c r="I817" s="4">
        <v>64301.97</v>
      </c>
      <c r="J817" s="4">
        <v>2626.5</v>
      </c>
      <c r="K817" s="4">
        <v>2626.5</v>
      </c>
      <c r="L817" s="4">
        <v>2626.5</v>
      </c>
      <c r="M817" s="3">
        <v>54</v>
      </c>
      <c r="N817" s="3">
        <v>54</v>
      </c>
      <c r="O817" s="54">
        <v>54</v>
      </c>
    </row>
    <row r="818" spans="2:15" x14ac:dyDescent="0.25">
      <c r="B818" s="7">
        <v>45560</v>
      </c>
      <c r="C818" s="13">
        <v>63143.14</v>
      </c>
      <c r="D818" s="8">
        <v>2651.19995117187</v>
      </c>
      <c r="F818" s="7">
        <v>45560</v>
      </c>
      <c r="G818" s="13">
        <v>63143.14</v>
      </c>
      <c r="H818" s="4">
        <v>63143.14</v>
      </c>
      <c r="I818" s="4">
        <v>63143.14</v>
      </c>
      <c r="J818" s="4">
        <v>2651.19995117187</v>
      </c>
      <c r="K818" s="4">
        <v>2651.19995117187</v>
      </c>
      <c r="L818" s="4">
        <v>2651.19995117187</v>
      </c>
      <c r="M818" s="3">
        <v>59</v>
      </c>
      <c r="N818" s="3">
        <v>59</v>
      </c>
      <c r="O818" s="54">
        <v>59</v>
      </c>
    </row>
    <row r="819" spans="2:15" x14ac:dyDescent="0.25">
      <c r="B819" s="7">
        <v>45561</v>
      </c>
      <c r="C819" s="13">
        <v>65181.02</v>
      </c>
      <c r="D819" s="8">
        <v>2659.19995117187</v>
      </c>
      <c r="F819" s="7">
        <v>45561</v>
      </c>
      <c r="G819" s="13">
        <v>65181.02</v>
      </c>
      <c r="H819" s="4">
        <v>65181.02</v>
      </c>
      <c r="I819" s="4">
        <v>65181.02</v>
      </c>
      <c r="J819" s="4">
        <v>2659.19995117187</v>
      </c>
      <c r="K819" s="4">
        <v>2659.19995117187</v>
      </c>
      <c r="L819" s="4">
        <v>2659.19995117187</v>
      </c>
      <c r="M819" s="3">
        <v>50</v>
      </c>
      <c r="N819" s="3">
        <v>50</v>
      </c>
      <c r="O819" s="54">
        <v>50</v>
      </c>
    </row>
    <row r="820" spans="2:15" x14ac:dyDescent="0.25">
      <c r="B820" s="7">
        <v>45562</v>
      </c>
      <c r="C820" s="13">
        <v>65790.66</v>
      </c>
      <c r="D820" s="8">
        <v>2669.89990234375</v>
      </c>
      <c r="F820" s="7">
        <v>45562</v>
      </c>
      <c r="G820" s="13">
        <v>65790.66</v>
      </c>
      <c r="H820" s="4">
        <v>65790.66</v>
      </c>
      <c r="I820" s="4">
        <v>65790.66</v>
      </c>
      <c r="J820" s="4">
        <v>2669.89990234375</v>
      </c>
      <c r="K820" s="4">
        <v>2669.89990234375</v>
      </c>
      <c r="L820" s="4">
        <v>2669.89990234375</v>
      </c>
      <c r="M820" s="3">
        <v>61</v>
      </c>
      <c r="N820" s="3">
        <v>61</v>
      </c>
      <c r="O820" s="54">
        <v>61</v>
      </c>
    </row>
    <row r="821" spans="2:15" x14ac:dyDescent="0.25">
      <c r="B821" s="7">
        <v>45563</v>
      </c>
      <c r="C821" s="13">
        <v>65887.649999999994</v>
      </c>
      <c r="D821" s="8">
        <v>2644.30004882812</v>
      </c>
      <c r="F821" s="7">
        <v>45563</v>
      </c>
      <c r="G821" s="13">
        <v>65887.649999999994</v>
      </c>
      <c r="H821" s="4">
        <v>65887.649999999994</v>
      </c>
      <c r="I821" s="4">
        <v>65887.649999999994</v>
      </c>
      <c r="J821" s="4">
        <v>2644.30004882812</v>
      </c>
      <c r="K821" s="4">
        <v>2644.30004882812</v>
      </c>
      <c r="L821" s="4">
        <v>2644.30004882812</v>
      </c>
      <c r="M821" s="3">
        <v>64</v>
      </c>
      <c r="N821" s="3">
        <v>64</v>
      </c>
      <c r="O821" s="54">
        <v>64</v>
      </c>
    </row>
    <row r="822" spans="2:15" x14ac:dyDescent="0.25">
      <c r="B822" s="7">
        <v>45564</v>
      </c>
      <c r="C822" s="13">
        <v>65635.3</v>
      </c>
      <c r="D822" s="8">
        <v>2669.89990234375</v>
      </c>
      <c r="F822" s="7">
        <v>45564</v>
      </c>
      <c r="G822" s="13">
        <v>65635.3</v>
      </c>
      <c r="H822" s="4">
        <v>65635.3</v>
      </c>
      <c r="I822" s="4">
        <v>65635.3</v>
      </c>
      <c r="J822" s="4">
        <v>2669.89990234375</v>
      </c>
      <c r="K822" s="4">
        <v>2669.89990234375</v>
      </c>
      <c r="L822" s="4">
        <v>2669.89990234375</v>
      </c>
      <c r="M822" s="3">
        <v>63</v>
      </c>
      <c r="N822" s="3">
        <v>63</v>
      </c>
      <c r="O822" s="54">
        <v>63</v>
      </c>
    </row>
    <row r="823" spans="2:15" x14ac:dyDescent="0.25">
      <c r="B823" s="7">
        <v>45565</v>
      </c>
      <c r="C823" s="13">
        <v>63329.5</v>
      </c>
      <c r="D823" s="8">
        <v>2644.30004882812</v>
      </c>
      <c r="F823" s="7">
        <v>45565</v>
      </c>
      <c r="G823" s="13">
        <v>63329.5</v>
      </c>
      <c r="H823" s="4">
        <v>63329.5</v>
      </c>
      <c r="I823" s="4">
        <v>63329.5</v>
      </c>
      <c r="J823" s="4">
        <v>2644.30004882812</v>
      </c>
      <c r="K823" s="4">
        <v>2644.30004882812</v>
      </c>
      <c r="L823" s="4">
        <v>2644.30004882812</v>
      </c>
      <c r="M823" s="3">
        <v>61</v>
      </c>
      <c r="N823" s="3">
        <v>61</v>
      </c>
      <c r="O823" s="54">
        <v>61</v>
      </c>
    </row>
    <row r="824" spans="2:15" x14ac:dyDescent="0.25">
      <c r="B824" s="7">
        <v>45566</v>
      </c>
      <c r="C824" s="13">
        <v>60837.01</v>
      </c>
      <c r="D824" s="8">
        <v>2636.10009765625</v>
      </c>
      <c r="F824" s="7">
        <v>45566</v>
      </c>
      <c r="G824" s="13">
        <v>60837.01</v>
      </c>
      <c r="H824" s="4">
        <v>60837.01</v>
      </c>
      <c r="I824" s="4">
        <v>60837.01</v>
      </c>
      <c r="J824" s="4">
        <v>2636.10009765625</v>
      </c>
      <c r="K824" s="4">
        <v>2636.10009765625</v>
      </c>
      <c r="L824" s="4">
        <v>2636.10009765625</v>
      </c>
      <c r="M824" s="3">
        <v>50</v>
      </c>
      <c r="N824" s="3">
        <v>50</v>
      </c>
      <c r="O824" s="54">
        <v>50</v>
      </c>
    </row>
    <row r="825" spans="2:15" x14ac:dyDescent="0.25">
      <c r="B825" s="7">
        <v>45567</v>
      </c>
      <c r="C825" s="13">
        <v>60632.79</v>
      </c>
      <c r="D825" s="8">
        <v>2667.30004882812</v>
      </c>
      <c r="F825" s="7">
        <v>45567</v>
      </c>
      <c r="G825" s="13">
        <v>60632.79</v>
      </c>
      <c r="H825" s="4">
        <v>60632.79</v>
      </c>
      <c r="I825" s="4">
        <v>60632.79</v>
      </c>
      <c r="J825" s="4">
        <v>2667.30004882812</v>
      </c>
      <c r="K825" s="4">
        <v>2667.30004882812</v>
      </c>
      <c r="L825" s="4">
        <v>2667.30004882812</v>
      </c>
      <c r="M825" s="3">
        <v>42</v>
      </c>
      <c r="N825" s="3">
        <v>42</v>
      </c>
      <c r="O825" s="54">
        <v>42</v>
      </c>
    </row>
    <row r="826" spans="2:15" x14ac:dyDescent="0.25">
      <c r="B826" s="7">
        <v>45568</v>
      </c>
      <c r="C826" s="13">
        <v>60759.4</v>
      </c>
      <c r="D826" s="8">
        <v>2647.10009765625</v>
      </c>
      <c r="F826" s="7">
        <v>45568</v>
      </c>
      <c r="G826" s="13">
        <v>60759.4</v>
      </c>
      <c r="H826" s="4">
        <v>60759.4</v>
      </c>
      <c r="I826" s="4">
        <v>60759.4</v>
      </c>
      <c r="J826" s="4">
        <v>2647.10009765625</v>
      </c>
      <c r="K826" s="4">
        <v>2647.10009765625</v>
      </c>
      <c r="L826" s="4">
        <v>2647.10009765625</v>
      </c>
      <c r="M826" s="3">
        <v>37</v>
      </c>
      <c r="N826" s="3">
        <v>37</v>
      </c>
      <c r="O826" s="54">
        <v>37</v>
      </c>
    </row>
    <row r="827" spans="2:15" x14ac:dyDescent="0.25">
      <c r="B827" s="7">
        <v>45569</v>
      </c>
      <c r="C827" s="13">
        <v>62067.48</v>
      </c>
      <c r="D827" s="8">
        <v>2657.10009765625</v>
      </c>
      <c r="F827" s="7">
        <v>45569</v>
      </c>
      <c r="G827" s="13">
        <v>62067.48</v>
      </c>
      <c r="H827" s="4">
        <v>62067.48</v>
      </c>
      <c r="I827" s="4">
        <v>62067.48</v>
      </c>
      <c r="J827" s="4">
        <v>2657.10009765625</v>
      </c>
      <c r="K827" s="4">
        <v>2657.10009765625</v>
      </c>
      <c r="L827" s="4">
        <v>2657.10009765625</v>
      </c>
      <c r="M827" s="3">
        <v>41</v>
      </c>
      <c r="N827" s="3">
        <v>41</v>
      </c>
      <c r="O827" s="54">
        <v>41</v>
      </c>
    </row>
    <row r="828" spans="2:15" x14ac:dyDescent="0.25">
      <c r="B828" s="7">
        <v>45570</v>
      </c>
      <c r="C828" s="13">
        <v>62089.95</v>
      </c>
      <c r="D828" s="8">
        <v>2645.80004882812</v>
      </c>
      <c r="F828" s="7">
        <v>45570</v>
      </c>
      <c r="G828" s="13">
        <v>62089.95</v>
      </c>
      <c r="H828" s="4">
        <v>62089.95</v>
      </c>
      <c r="I828" s="4">
        <v>62089.95</v>
      </c>
      <c r="J828" s="4">
        <v>2645.80004882812</v>
      </c>
      <c r="K828" s="4">
        <v>2645.80004882812</v>
      </c>
      <c r="L828" s="4">
        <v>2645.80004882812</v>
      </c>
      <c r="M828" s="3">
        <v>49</v>
      </c>
      <c r="N828" s="3">
        <v>49</v>
      </c>
      <c r="O828" s="54">
        <v>49</v>
      </c>
    </row>
    <row r="829" spans="2:15" x14ac:dyDescent="0.25">
      <c r="B829" s="7">
        <v>45571</v>
      </c>
      <c r="C829" s="13">
        <v>62818.95</v>
      </c>
      <c r="D829" s="8">
        <v>2657.10009765625</v>
      </c>
      <c r="F829" s="7">
        <v>45571</v>
      </c>
      <c r="G829" s="13">
        <v>62818.95</v>
      </c>
      <c r="H829" s="4">
        <v>62818.95</v>
      </c>
      <c r="I829" s="4">
        <v>62818.95</v>
      </c>
      <c r="J829" s="4">
        <v>2657.10009765625</v>
      </c>
      <c r="K829" s="4">
        <v>2657.10009765625</v>
      </c>
      <c r="L829" s="4">
        <v>2657.10009765625</v>
      </c>
      <c r="M829" s="3">
        <v>50</v>
      </c>
      <c r="N829" s="3">
        <v>50</v>
      </c>
      <c r="O829" s="54">
        <v>50</v>
      </c>
    </row>
    <row r="830" spans="2:15" x14ac:dyDescent="0.25">
      <c r="B830" s="7">
        <v>45572</v>
      </c>
      <c r="C830" s="13">
        <v>62236.66</v>
      </c>
      <c r="D830" s="8">
        <v>2645.80004882812</v>
      </c>
      <c r="F830" s="7">
        <v>45572</v>
      </c>
      <c r="G830" s="13">
        <v>62236.66</v>
      </c>
      <c r="H830" s="4">
        <v>62236.66</v>
      </c>
      <c r="I830" s="4">
        <v>62236.66</v>
      </c>
      <c r="J830" s="4">
        <v>2645.80004882812</v>
      </c>
      <c r="K830" s="4">
        <v>2645.80004882812</v>
      </c>
      <c r="L830" s="4">
        <v>2645.80004882812</v>
      </c>
      <c r="M830" s="3">
        <v>50</v>
      </c>
      <c r="N830" s="3">
        <v>50</v>
      </c>
      <c r="O830" s="54">
        <v>50</v>
      </c>
    </row>
    <row r="831" spans="2:15" x14ac:dyDescent="0.25">
      <c r="B831" s="7">
        <v>45573</v>
      </c>
      <c r="C831" s="13">
        <v>62131.97</v>
      </c>
      <c r="D831" s="8">
        <v>2644.80004882812</v>
      </c>
      <c r="F831" s="7">
        <v>45573</v>
      </c>
      <c r="G831" s="13">
        <v>62131.97</v>
      </c>
      <c r="H831" s="4">
        <v>62131.97</v>
      </c>
      <c r="I831" s="4">
        <v>62131.97</v>
      </c>
      <c r="J831" s="4">
        <v>2644.80004882812</v>
      </c>
      <c r="K831" s="4">
        <v>2644.80004882812</v>
      </c>
      <c r="L831" s="4">
        <v>2644.80004882812</v>
      </c>
      <c r="M831" s="3">
        <v>49</v>
      </c>
      <c r="N831" s="3">
        <v>49</v>
      </c>
      <c r="O831" s="54">
        <v>49</v>
      </c>
    </row>
    <row r="832" spans="2:15" x14ac:dyDescent="0.25">
      <c r="B832" s="7">
        <v>45574</v>
      </c>
      <c r="C832" s="13">
        <v>60582.1</v>
      </c>
      <c r="D832" s="8">
        <v>2615</v>
      </c>
      <c r="F832" s="7">
        <v>45574</v>
      </c>
      <c r="G832" s="13">
        <v>60582.1</v>
      </c>
      <c r="H832" s="4">
        <v>60582.1</v>
      </c>
      <c r="I832" s="4">
        <v>60582.1</v>
      </c>
      <c r="J832" s="4">
        <v>2615</v>
      </c>
      <c r="K832" s="4">
        <v>2615</v>
      </c>
      <c r="L832" s="4">
        <v>2615</v>
      </c>
      <c r="M832" s="3">
        <v>49</v>
      </c>
      <c r="N832" s="3">
        <v>49</v>
      </c>
      <c r="O832" s="54">
        <v>49</v>
      </c>
    </row>
    <row r="833" spans="2:15" x14ac:dyDescent="0.25">
      <c r="B833" s="7">
        <v>45575</v>
      </c>
      <c r="C833" s="13">
        <v>60274.5</v>
      </c>
      <c r="D833" s="8">
        <v>2606</v>
      </c>
      <c r="F833" s="7">
        <v>45575</v>
      </c>
      <c r="G833" s="13">
        <v>60274.5</v>
      </c>
      <c r="H833" s="4">
        <v>60274.5</v>
      </c>
      <c r="I833" s="4">
        <v>60274.5</v>
      </c>
      <c r="J833" s="4">
        <v>2606</v>
      </c>
      <c r="K833" s="4">
        <v>2606</v>
      </c>
      <c r="L833" s="4">
        <v>2606</v>
      </c>
      <c r="M833" s="3">
        <v>39</v>
      </c>
      <c r="N833" s="3">
        <v>39</v>
      </c>
      <c r="O833" s="54">
        <v>39</v>
      </c>
    </row>
    <row r="834" spans="2:15" x14ac:dyDescent="0.25">
      <c r="B834" s="7">
        <v>45576</v>
      </c>
      <c r="C834" s="13">
        <v>62445.09</v>
      </c>
      <c r="D834" s="8">
        <v>2620.60009765625</v>
      </c>
      <c r="F834" s="7">
        <v>45576</v>
      </c>
      <c r="G834" s="13">
        <v>62445.09</v>
      </c>
      <c r="H834" s="4">
        <v>62445.09</v>
      </c>
      <c r="I834" s="4">
        <v>62445.09</v>
      </c>
      <c r="J834" s="4">
        <v>2620.60009765625</v>
      </c>
      <c r="K834" s="4">
        <v>2620.60009765625</v>
      </c>
      <c r="L834" s="4">
        <v>2620.60009765625</v>
      </c>
      <c r="M834" s="3">
        <v>32</v>
      </c>
      <c r="N834" s="3">
        <v>32</v>
      </c>
      <c r="O834" s="54">
        <v>32</v>
      </c>
    </row>
    <row r="835" spans="2:15" x14ac:dyDescent="0.25">
      <c r="B835" s="7">
        <v>45577</v>
      </c>
      <c r="C835" s="13">
        <v>63193.02</v>
      </c>
      <c r="D835" s="8">
        <v>2657.60009765625</v>
      </c>
      <c r="F835" s="7">
        <v>45577</v>
      </c>
      <c r="G835" s="13">
        <v>63193.02</v>
      </c>
      <c r="H835" s="4">
        <v>63193.02</v>
      </c>
      <c r="I835" s="4">
        <v>63193.02</v>
      </c>
      <c r="J835" s="4">
        <v>2657.60009765625</v>
      </c>
      <c r="K835" s="4">
        <v>2657.60009765625</v>
      </c>
      <c r="L835" s="4">
        <v>2657.60009765625</v>
      </c>
      <c r="M835" s="3">
        <v>49</v>
      </c>
      <c r="N835" s="3">
        <v>49</v>
      </c>
      <c r="O835" s="54">
        <v>49</v>
      </c>
    </row>
    <row r="836" spans="2:15" x14ac:dyDescent="0.25">
      <c r="B836" s="7">
        <v>45578</v>
      </c>
      <c r="C836" s="13">
        <v>62851.38</v>
      </c>
      <c r="D836" s="8">
        <v>2620.60009765625</v>
      </c>
      <c r="F836" s="7">
        <v>45578</v>
      </c>
      <c r="G836" s="13">
        <v>62851.38</v>
      </c>
      <c r="H836" s="4">
        <v>62851.38</v>
      </c>
      <c r="I836" s="4">
        <v>62851.38</v>
      </c>
      <c r="J836" s="4">
        <v>2620.60009765625</v>
      </c>
      <c r="K836" s="4">
        <v>2620.60009765625</v>
      </c>
      <c r="L836" s="4">
        <v>2620.60009765625</v>
      </c>
      <c r="M836" s="3">
        <v>50</v>
      </c>
      <c r="N836" s="3">
        <v>50</v>
      </c>
      <c r="O836" s="54">
        <v>50</v>
      </c>
    </row>
    <row r="837" spans="2:15" x14ac:dyDescent="0.25">
      <c r="B837" s="7">
        <v>45579</v>
      </c>
      <c r="C837" s="13">
        <v>66046.13</v>
      </c>
      <c r="D837" s="8">
        <v>2657.60009765625</v>
      </c>
      <c r="F837" s="7">
        <v>45579</v>
      </c>
      <c r="G837" s="13">
        <v>66046.13</v>
      </c>
      <c r="H837" s="4">
        <v>66046.13</v>
      </c>
      <c r="I837" s="4">
        <v>66046.13</v>
      </c>
      <c r="J837" s="4">
        <v>2657.60009765625</v>
      </c>
      <c r="K837" s="4">
        <v>2657.60009765625</v>
      </c>
      <c r="L837" s="4">
        <v>2657.60009765625</v>
      </c>
      <c r="M837" s="3">
        <v>48</v>
      </c>
      <c r="N837" s="3">
        <v>48</v>
      </c>
      <c r="O837" s="54">
        <v>48</v>
      </c>
    </row>
    <row r="838" spans="2:15" x14ac:dyDescent="0.25">
      <c r="B838" s="7">
        <v>45580</v>
      </c>
      <c r="C838" s="13">
        <v>67041.11</v>
      </c>
      <c r="D838" s="8">
        <v>2647.80004882812</v>
      </c>
      <c r="F838" s="7">
        <v>45580</v>
      </c>
      <c r="G838" s="13">
        <v>67041.11</v>
      </c>
      <c r="H838" s="4">
        <v>67041.11</v>
      </c>
      <c r="I838" s="4">
        <v>67041.11</v>
      </c>
      <c r="J838" s="4">
        <v>2647.80004882812</v>
      </c>
      <c r="K838" s="4">
        <v>2647.80004882812</v>
      </c>
      <c r="L838" s="4">
        <v>2647.80004882812</v>
      </c>
      <c r="M838" s="3">
        <v>65</v>
      </c>
      <c r="N838" s="3">
        <v>65</v>
      </c>
      <c r="O838" s="54">
        <v>65</v>
      </c>
    </row>
    <row r="839" spans="2:15" x14ac:dyDescent="0.25">
      <c r="B839" s="7">
        <v>45581</v>
      </c>
      <c r="C839" s="13">
        <v>67612.72</v>
      </c>
      <c r="D839" s="8">
        <v>2661.39990234375</v>
      </c>
      <c r="F839" s="7">
        <v>45581</v>
      </c>
      <c r="G839" s="13">
        <v>67612.72</v>
      </c>
      <c r="H839" s="4">
        <v>67612.72</v>
      </c>
      <c r="I839" s="4">
        <v>67612.72</v>
      </c>
      <c r="J839" s="4">
        <v>2661.39990234375</v>
      </c>
      <c r="K839" s="4">
        <v>2661.39990234375</v>
      </c>
      <c r="L839" s="4">
        <v>2661.39990234375</v>
      </c>
      <c r="M839" s="3">
        <v>73</v>
      </c>
      <c r="N839" s="3">
        <v>73</v>
      </c>
      <c r="O839" s="54">
        <v>73</v>
      </c>
    </row>
    <row r="840" spans="2:15" x14ac:dyDescent="0.25">
      <c r="B840" s="7">
        <v>45582</v>
      </c>
      <c r="C840" s="13">
        <v>67399.839999999997</v>
      </c>
      <c r="D840" s="8">
        <v>2674</v>
      </c>
      <c r="F840" s="7">
        <v>45582</v>
      </c>
      <c r="G840" s="13">
        <v>67399.839999999997</v>
      </c>
      <c r="H840" s="4">
        <v>67399.839999999997</v>
      </c>
      <c r="I840" s="4">
        <v>67399.839999999997</v>
      </c>
      <c r="J840" s="4">
        <v>2674</v>
      </c>
      <c r="K840" s="4">
        <v>2674</v>
      </c>
      <c r="L840" s="4">
        <v>2674</v>
      </c>
      <c r="M840" s="3">
        <v>71</v>
      </c>
      <c r="N840" s="3">
        <v>71</v>
      </c>
      <c r="O840" s="54">
        <v>71</v>
      </c>
    </row>
    <row r="841" spans="2:15" x14ac:dyDescent="0.25">
      <c r="B841" s="7">
        <v>45583</v>
      </c>
      <c r="C841" s="13">
        <v>68418.789999999994</v>
      </c>
      <c r="D841" s="8">
        <v>2691</v>
      </c>
      <c r="F841" s="7">
        <v>45583</v>
      </c>
      <c r="G841" s="13">
        <v>68418.789999999994</v>
      </c>
      <c r="H841" s="4">
        <v>68418.789999999994</v>
      </c>
      <c r="I841" s="4">
        <v>68418.789999999994</v>
      </c>
      <c r="J841" s="4">
        <v>2691</v>
      </c>
      <c r="K841" s="4">
        <v>2691</v>
      </c>
      <c r="L841" s="4">
        <v>2691</v>
      </c>
      <c r="M841" s="3">
        <v>73</v>
      </c>
      <c r="N841" s="3">
        <v>73</v>
      </c>
      <c r="O841" s="54">
        <v>73</v>
      </c>
    </row>
    <row r="842" spans="2:15" x14ac:dyDescent="0.25">
      <c r="B842" s="7">
        <v>45584</v>
      </c>
      <c r="C842" s="13">
        <v>68362.73</v>
      </c>
      <c r="D842" s="8">
        <v>2713.69995117187</v>
      </c>
      <c r="F842" s="7">
        <v>45584</v>
      </c>
      <c r="G842" s="13">
        <v>68362.73</v>
      </c>
      <c r="H842" s="4">
        <v>68362.73</v>
      </c>
      <c r="I842" s="4">
        <v>68362.73</v>
      </c>
      <c r="J842" s="4">
        <v>2713.69995117187</v>
      </c>
      <c r="K842" s="4">
        <v>2713.69995117187</v>
      </c>
      <c r="L842" s="4">
        <v>2713.69995117187</v>
      </c>
      <c r="M842" s="3">
        <v>72</v>
      </c>
      <c r="N842" s="3">
        <v>72</v>
      </c>
      <c r="O842" s="54">
        <v>72</v>
      </c>
    </row>
    <row r="843" spans="2:15" x14ac:dyDescent="0.25">
      <c r="B843" s="7">
        <v>45585</v>
      </c>
      <c r="C843" s="13">
        <v>69001.7</v>
      </c>
      <c r="D843" s="8">
        <v>2691</v>
      </c>
      <c r="F843" s="7">
        <v>45585</v>
      </c>
      <c r="G843" s="13">
        <v>69001.7</v>
      </c>
      <c r="H843" s="4">
        <v>69001.7</v>
      </c>
      <c r="I843" s="4">
        <v>69001.7</v>
      </c>
      <c r="J843" s="4">
        <v>2691</v>
      </c>
      <c r="K843" s="4">
        <v>2691</v>
      </c>
      <c r="L843" s="4">
        <v>2691</v>
      </c>
      <c r="M843" s="3">
        <v>73</v>
      </c>
      <c r="N843" s="3">
        <v>73</v>
      </c>
      <c r="O843" s="54">
        <v>73</v>
      </c>
    </row>
    <row r="844" spans="2:15" x14ac:dyDescent="0.25">
      <c r="B844" s="7">
        <v>45586</v>
      </c>
      <c r="C844" s="13">
        <v>67367.850000000006</v>
      </c>
      <c r="D844" s="8">
        <v>2713.69995117187</v>
      </c>
      <c r="F844" s="7">
        <v>45586</v>
      </c>
      <c r="G844" s="13">
        <v>67367.850000000006</v>
      </c>
      <c r="H844" s="4">
        <v>67367.850000000006</v>
      </c>
      <c r="I844" s="4">
        <v>67367.850000000006</v>
      </c>
      <c r="J844" s="4">
        <v>2713.69995117187</v>
      </c>
      <c r="K844" s="4">
        <v>2713.69995117187</v>
      </c>
      <c r="L844" s="4">
        <v>2713.69995117187</v>
      </c>
      <c r="M844" s="3">
        <v>72</v>
      </c>
      <c r="N844" s="3">
        <v>72</v>
      </c>
      <c r="O844" s="54">
        <v>72</v>
      </c>
    </row>
    <row r="845" spans="2:15" x14ac:dyDescent="0.25">
      <c r="B845" s="7">
        <v>45587</v>
      </c>
      <c r="C845" s="13">
        <v>67361.41</v>
      </c>
      <c r="D845" s="8">
        <v>2723.10009765625</v>
      </c>
      <c r="F845" s="7">
        <v>45587</v>
      </c>
      <c r="G845" s="13">
        <v>67361.41</v>
      </c>
      <c r="H845" s="4">
        <v>67361.41</v>
      </c>
      <c r="I845" s="4">
        <v>67361.41</v>
      </c>
      <c r="J845" s="4">
        <v>2723.10009765625</v>
      </c>
      <c r="K845" s="4">
        <v>2723.10009765625</v>
      </c>
      <c r="L845" s="4">
        <v>2723.10009765625</v>
      </c>
      <c r="M845" s="3">
        <v>70</v>
      </c>
      <c r="N845" s="3">
        <v>70</v>
      </c>
      <c r="O845" s="54">
        <v>70</v>
      </c>
    </row>
    <row r="846" spans="2:15" x14ac:dyDescent="0.25">
      <c r="B846" s="7">
        <v>45588</v>
      </c>
      <c r="C846" s="13">
        <v>66432.2</v>
      </c>
      <c r="D846" s="8">
        <v>2744.19995117187</v>
      </c>
      <c r="F846" s="7">
        <v>45588</v>
      </c>
      <c r="G846" s="13">
        <v>66432.2</v>
      </c>
      <c r="H846" s="4">
        <v>66432.2</v>
      </c>
      <c r="I846" s="4">
        <v>66432.2</v>
      </c>
      <c r="J846" s="4">
        <v>2744.19995117187</v>
      </c>
      <c r="K846" s="4">
        <v>2744.19995117187</v>
      </c>
      <c r="L846" s="4">
        <v>2744.19995117187</v>
      </c>
      <c r="M846" s="3">
        <v>71</v>
      </c>
      <c r="N846" s="3">
        <v>71</v>
      </c>
      <c r="O846" s="54">
        <v>71</v>
      </c>
    </row>
    <row r="847" spans="2:15" x14ac:dyDescent="0.25">
      <c r="B847" s="7">
        <v>45589</v>
      </c>
      <c r="C847" s="13">
        <v>68161.05</v>
      </c>
      <c r="D847" s="8">
        <v>2714.39990234375</v>
      </c>
      <c r="F847" s="7">
        <v>45589</v>
      </c>
      <c r="G847" s="13">
        <v>68161.05</v>
      </c>
      <c r="H847" s="4">
        <v>68161.05</v>
      </c>
      <c r="I847" s="4">
        <v>68161.05</v>
      </c>
      <c r="J847" s="4">
        <v>2714.39990234375</v>
      </c>
      <c r="K847" s="4">
        <v>2714.39990234375</v>
      </c>
      <c r="L847" s="4">
        <v>2714.39990234375</v>
      </c>
      <c r="M847" s="3">
        <v>69</v>
      </c>
      <c r="N847" s="3">
        <v>69</v>
      </c>
      <c r="O847" s="54">
        <v>69</v>
      </c>
    </row>
    <row r="848" spans="2:15" x14ac:dyDescent="0.25">
      <c r="B848" s="7">
        <v>45590</v>
      </c>
      <c r="C848" s="13">
        <v>66642.41</v>
      </c>
      <c r="D848" s="8">
        <v>2734.89990234375</v>
      </c>
      <c r="F848" s="7">
        <v>45590</v>
      </c>
      <c r="G848" s="13">
        <v>66642.41</v>
      </c>
      <c r="H848" s="4">
        <v>66642.41</v>
      </c>
      <c r="I848" s="4">
        <v>66642.41</v>
      </c>
      <c r="J848" s="4">
        <v>2734.89990234375</v>
      </c>
      <c r="K848" s="4">
        <v>2734.89990234375</v>
      </c>
      <c r="L848" s="4">
        <v>2734.89990234375</v>
      </c>
      <c r="M848" s="3">
        <v>72</v>
      </c>
      <c r="N848" s="3">
        <v>72</v>
      </c>
      <c r="O848" s="54">
        <v>72</v>
      </c>
    </row>
    <row r="849" spans="2:15" x14ac:dyDescent="0.25">
      <c r="B849" s="7">
        <v>45591</v>
      </c>
      <c r="C849" s="13">
        <v>67014.7</v>
      </c>
      <c r="D849" s="8">
        <v>2740.89990234375</v>
      </c>
      <c r="F849" s="7">
        <v>45591</v>
      </c>
      <c r="G849" s="13">
        <v>67014.7</v>
      </c>
      <c r="H849" s="4">
        <v>67014.7</v>
      </c>
      <c r="I849" s="4">
        <v>67014.7</v>
      </c>
      <c r="J849" s="4">
        <v>2740.89990234375</v>
      </c>
      <c r="K849" s="4">
        <v>2740.89990234375</v>
      </c>
      <c r="L849" s="4">
        <v>2740.89990234375</v>
      </c>
      <c r="M849" s="3">
        <v>73</v>
      </c>
      <c r="N849" s="3">
        <v>73</v>
      </c>
      <c r="O849" s="54">
        <v>73</v>
      </c>
    </row>
    <row r="850" spans="2:15" x14ac:dyDescent="0.25">
      <c r="B850" s="7">
        <v>45592</v>
      </c>
      <c r="C850" s="13">
        <v>67929.3</v>
      </c>
      <c r="D850" s="8">
        <v>2734.89990234375</v>
      </c>
      <c r="F850" s="7">
        <v>45592</v>
      </c>
      <c r="G850" s="13">
        <v>67929.3</v>
      </c>
      <c r="H850" s="4">
        <v>67929.3</v>
      </c>
      <c r="I850" s="4">
        <v>67929.3</v>
      </c>
      <c r="J850" s="4">
        <v>2734.89990234375</v>
      </c>
      <c r="K850" s="4">
        <v>2734.89990234375</v>
      </c>
      <c r="L850" s="4">
        <v>2734.89990234375</v>
      </c>
      <c r="M850" s="3">
        <v>74</v>
      </c>
      <c r="N850" s="3">
        <v>74</v>
      </c>
      <c r="O850" s="54">
        <v>74</v>
      </c>
    </row>
    <row r="851" spans="2:15" x14ac:dyDescent="0.25">
      <c r="B851" s="7">
        <v>45593</v>
      </c>
      <c r="C851" s="13">
        <v>69907.759999999995</v>
      </c>
      <c r="D851" s="8">
        <v>2740.89990234375</v>
      </c>
      <c r="F851" s="7">
        <v>45593</v>
      </c>
      <c r="G851" s="13">
        <v>69907.759999999995</v>
      </c>
      <c r="H851" s="4">
        <v>69907.759999999995</v>
      </c>
      <c r="I851" s="4">
        <v>69907.759999999995</v>
      </c>
      <c r="J851" s="4">
        <v>2740.89990234375</v>
      </c>
      <c r="K851" s="4">
        <v>2740.89990234375</v>
      </c>
      <c r="L851" s="4">
        <v>2740.89990234375</v>
      </c>
      <c r="M851" s="3">
        <v>72</v>
      </c>
      <c r="N851" s="3">
        <v>72</v>
      </c>
      <c r="O851" s="54">
        <v>72</v>
      </c>
    </row>
    <row r="852" spans="2:15" x14ac:dyDescent="0.25">
      <c r="B852" s="7">
        <v>45594</v>
      </c>
      <c r="C852" s="13">
        <v>72720.490000000005</v>
      </c>
      <c r="D852" s="8">
        <v>2742.89990234375</v>
      </c>
      <c r="F852" s="7">
        <v>45594</v>
      </c>
      <c r="G852" s="13">
        <v>72720.490000000005</v>
      </c>
      <c r="H852" s="4">
        <v>72720.490000000005</v>
      </c>
      <c r="I852" s="4">
        <v>72720.490000000005</v>
      </c>
      <c r="J852" s="4">
        <v>2742.89990234375</v>
      </c>
      <c r="K852" s="4">
        <v>2742.89990234375</v>
      </c>
      <c r="L852" s="4">
        <v>2742.89990234375</v>
      </c>
      <c r="M852" s="3">
        <v>72</v>
      </c>
      <c r="N852" s="3">
        <v>72</v>
      </c>
      <c r="O852" s="54">
        <v>72</v>
      </c>
    </row>
    <row r="853" spans="2:15" x14ac:dyDescent="0.25">
      <c r="B853" s="7">
        <v>45595</v>
      </c>
      <c r="C853" s="13">
        <v>72339.539999999994</v>
      </c>
      <c r="D853" s="8">
        <v>2768.39990234375</v>
      </c>
      <c r="F853" s="7">
        <v>45595</v>
      </c>
      <c r="G853" s="13">
        <v>72339.539999999994</v>
      </c>
      <c r="H853" s="4">
        <v>72339.539999999994</v>
      </c>
      <c r="I853" s="4">
        <v>72339.539999999994</v>
      </c>
      <c r="J853" s="4">
        <v>2768.39990234375</v>
      </c>
      <c r="K853" s="4">
        <v>2768.39990234375</v>
      </c>
      <c r="L853" s="4">
        <v>2768.39990234375</v>
      </c>
      <c r="M853" s="3">
        <v>77</v>
      </c>
      <c r="N853" s="3">
        <v>77</v>
      </c>
      <c r="O853" s="54">
        <v>77</v>
      </c>
    </row>
    <row r="854" spans="2:15" x14ac:dyDescent="0.25">
      <c r="B854" s="7">
        <v>45596</v>
      </c>
      <c r="C854" s="13">
        <v>70215.19</v>
      </c>
      <c r="D854" s="8">
        <v>2788.5</v>
      </c>
      <c r="F854" s="7">
        <v>45596</v>
      </c>
      <c r="G854" s="13">
        <v>70215.19</v>
      </c>
      <c r="H854" s="4">
        <v>70215.19</v>
      </c>
      <c r="I854" s="4">
        <v>70215.19</v>
      </c>
      <c r="J854" s="4">
        <v>2788.5</v>
      </c>
      <c r="K854" s="4">
        <v>2788.5</v>
      </c>
      <c r="L854" s="4">
        <v>2788.5</v>
      </c>
      <c r="M854" s="3">
        <v>77</v>
      </c>
      <c r="N854" s="3">
        <v>77</v>
      </c>
      <c r="O854" s="54">
        <v>77</v>
      </c>
    </row>
    <row r="855" spans="2:15" x14ac:dyDescent="0.25">
      <c r="B855" s="7">
        <v>45597</v>
      </c>
      <c r="C855" s="13">
        <v>69482.47</v>
      </c>
      <c r="D855" s="8">
        <v>2738.30004882812</v>
      </c>
      <c r="F855" s="7">
        <v>45597</v>
      </c>
      <c r="G855" s="13">
        <v>69482.47</v>
      </c>
      <c r="H855" s="4">
        <v>69482.47</v>
      </c>
      <c r="I855" s="4">
        <v>69482.47</v>
      </c>
      <c r="J855" s="4">
        <v>2738.30004882812</v>
      </c>
      <c r="K855" s="4">
        <v>2738.30004882812</v>
      </c>
      <c r="L855" s="4">
        <v>2738.30004882812</v>
      </c>
      <c r="M855" s="3">
        <v>75</v>
      </c>
      <c r="N855" s="3">
        <v>75</v>
      </c>
      <c r="O855" s="54">
        <v>75</v>
      </c>
    </row>
    <row r="856" spans="2:15" x14ac:dyDescent="0.25">
      <c r="B856" s="7">
        <v>45598</v>
      </c>
      <c r="C856" s="13">
        <v>69289.27</v>
      </c>
      <c r="D856" s="8">
        <v>2738.60009765625</v>
      </c>
      <c r="F856" s="7">
        <v>45598</v>
      </c>
      <c r="G856" s="13">
        <v>69289.27</v>
      </c>
      <c r="H856" s="4">
        <v>69289.27</v>
      </c>
      <c r="I856" s="4">
        <v>69289.27</v>
      </c>
      <c r="J856" s="4">
        <v>2738.60009765625</v>
      </c>
      <c r="K856" s="4">
        <v>2738.60009765625</v>
      </c>
      <c r="L856" s="4">
        <v>2738.60009765625</v>
      </c>
      <c r="M856" s="3">
        <v>72</v>
      </c>
      <c r="N856" s="3">
        <v>72</v>
      </c>
      <c r="O856" s="54">
        <v>72</v>
      </c>
    </row>
    <row r="857" spans="2:15" x14ac:dyDescent="0.25">
      <c r="B857" s="7">
        <v>45599</v>
      </c>
      <c r="C857" s="13">
        <v>68741.119999999995</v>
      </c>
      <c r="D857" s="8">
        <v>2738.30004882812</v>
      </c>
      <c r="F857" s="7">
        <v>45599</v>
      </c>
      <c r="G857" s="13">
        <v>68741.119999999995</v>
      </c>
      <c r="H857" s="4">
        <v>68741.119999999995</v>
      </c>
      <c r="I857" s="4">
        <v>68741.119999999995</v>
      </c>
      <c r="J857" s="4">
        <v>2738.30004882812</v>
      </c>
      <c r="K857" s="4">
        <v>2738.30004882812</v>
      </c>
      <c r="L857" s="4">
        <v>2738.30004882812</v>
      </c>
      <c r="M857" s="3">
        <v>74</v>
      </c>
      <c r="N857" s="3">
        <v>74</v>
      </c>
      <c r="O857" s="54">
        <v>74</v>
      </c>
    </row>
    <row r="858" spans="2:15" x14ac:dyDescent="0.25">
      <c r="B858" s="7">
        <v>45600</v>
      </c>
      <c r="C858" s="13">
        <v>67811.509999999995</v>
      </c>
      <c r="D858" s="8">
        <v>2738.60009765625</v>
      </c>
      <c r="F858" s="7">
        <v>45600</v>
      </c>
      <c r="G858" s="13">
        <v>67811.509999999995</v>
      </c>
      <c r="H858" s="4">
        <v>67811.509999999995</v>
      </c>
      <c r="I858" s="4">
        <v>67811.509999999995</v>
      </c>
      <c r="J858" s="4">
        <v>2738.60009765625</v>
      </c>
      <c r="K858" s="4">
        <v>2738.60009765625</v>
      </c>
      <c r="L858" s="4">
        <v>2738.60009765625</v>
      </c>
      <c r="M858" s="3">
        <v>70</v>
      </c>
      <c r="N858" s="3">
        <v>70</v>
      </c>
      <c r="O858" s="54">
        <v>70</v>
      </c>
    </row>
    <row r="859" spans="2:15" x14ac:dyDescent="0.25">
      <c r="B859" s="7">
        <v>45601</v>
      </c>
      <c r="C859" s="13">
        <v>69359.56</v>
      </c>
      <c r="D859" s="8">
        <v>2736.10009765625</v>
      </c>
      <c r="F859" s="7">
        <v>45601</v>
      </c>
      <c r="G859" s="13">
        <v>69359.56</v>
      </c>
      <c r="H859" s="4">
        <v>69359.56</v>
      </c>
      <c r="I859" s="4">
        <v>69359.56</v>
      </c>
      <c r="J859" s="4">
        <v>2736.10009765625</v>
      </c>
      <c r="K859" s="4">
        <v>2736.10009765625</v>
      </c>
      <c r="L859" s="4">
        <v>2736.10009765625</v>
      </c>
      <c r="M859" s="3">
        <v>70</v>
      </c>
      <c r="N859" s="3">
        <v>70</v>
      </c>
      <c r="O859" s="54">
        <v>70</v>
      </c>
    </row>
    <row r="860" spans="2:15" x14ac:dyDescent="0.25">
      <c r="B860" s="7">
        <v>45602</v>
      </c>
      <c r="C860" s="13">
        <v>75639.08</v>
      </c>
      <c r="D860" s="8">
        <v>2740.30004882812</v>
      </c>
      <c r="F860" s="7">
        <v>45602</v>
      </c>
      <c r="G860" s="13">
        <v>75639.08</v>
      </c>
      <c r="H860" s="4">
        <v>75639.08</v>
      </c>
      <c r="I860" s="4">
        <v>75639.08</v>
      </c>
      <c r="J860" s="4">
        <v>2740.30004882812</v>
      </c>
      <c r="K860" s="4">
        <v>2740.30004882812</v>
      </c>
      <c r="L860" s="4">
        <v>2740.30004882812</v>
      </c>
      <c r="M860" s="3">
        <v>70</v>
      </c>
      <c r="N860" s="3">
        <v>70</v>
      </c>
      <c r="O860" s="54">
        <v>70</v>
      </c>
    </row>
    <row r="861" spans="2:15" x14ac:dyDescent="0.25">
      <c r="B861" s="7">
        <v>45603</v>
      </c>
      <c r="C861" s="13">
        <v>75904.86</v>
      </c>
      <c r="D861" s="8">
        <v>2667.60009765625</v>
      </c>
      <c r="F861" s="7">
        <v>45603</v>
      </c>
      <c r="G861" s="13">
        <v>75904.86</v>
      </c>
      <c r="H861" s="4">
        <v>75904.86</v>
      </c>
      <c r="I861" s="4">
        <v>75904.86</v>
      </c>
      <c r="J861" s="4">
        <v>2667.60009765625</v>
      </c>
      <c r="K861" s="4">
        <v>2667.60009765625</v>
      </c>
      <c r="L861" s="4">
        <v>2667.60009765625</v>
      </c>
      <c r="M861" s="3">
        <v>77</v>
      </c>
      <c r="N861" s="3">
        <v>77</v>
      </c>
      <c r="O861" s="54">
        <v>77</v>
      </c>
    </row>
    <row r="862" spans="2:15" x14ac:dyDescent="0.25">
      <c r="B862" s="7">
        <v>45604</v>
      </c>
      <c r="C862" s="13">
        <v>76545.48</v>
      </c>
      <c r="D862" s="8">
        <v>2698.39990234375</v>
      </c>
      <c r="F862" s="7">
        <v>45604</v>
      </c>
      <c r="G862" s="13">
        <v>76545.48</v>
      </c>
      <c r="H862" s="4">
        <v>76545.48</v>
      </c>
      <c r="I862" s="4">
        <v>76545.48</v>
      </c>
      <c r="J862" s="4">
        <v>2698.39990234375</v>
      </c>
      <c r="K862" s="4">
        <v>2698.39990234375</v>
      </c>
      <c r="L862" s="4">
        <v>2698.39990234375</v>
      </c>
      <c r="M862" s="3">
        <v>75</v>
      </c>
      <c r="N862" s="3">
        <v>75</v>
      </c>
      <c r="O862" s="54">
        <v>75</v>
      </c>
    </row>
    <row r="863" spans="2:15" x14ac:dyDescent="0.25">
      <c r="B863" s="7">
        <v>45605</v>
      </c>
      <c r="C863" s="13">
        <v>76778.87</v>
      </c>
      <c r="D863" s="8">
        <v>2687.5</v>
      </c>
      <c r="F863" s="7">
        <v>45605</v>
      </c>
      <c r="G863" s="13">
        <v>76778.87</v>
      </c>
      <c r="H863" s="4">
        <v>76778.87</v>
      </c>
      <c r="I863" s="4">
        <v>76778.87</v>
      </c>
      <c r="J863" s="4">
        <v>2687.5</v>
      </c>
      <c r="K863" s="4">
        <v>2687.5</v>
      </c>
      <c r="L863" s="4">
        <v>2687.5</v>
      </c>
      <c r="M863" s="3">
        <v>75</v>
      </c>
      <c r="N863" s="3">
        <v>75</v>
      </c>
      <c r="O863" s="54">
        <v>75</v>
      </c>
    </row>
    <row r="864" spans="2:15" x14ac:dyDescent="0.25">
      <c r="B864" s="7">
        <v>45606</v>
      </c>
      <c r="C864" s="13">
        <v>80474.19</v>
      </c>
      <c r="D864" s="8">
        <v>2698.39990234375</v>
      </c>
      <c r="F864" s="7">
        <v>45606</v>
      </c>
      <c r="G864" s="13">
        <v>80474.19</v>
      </c>
      <c r="H864" s="4">
        <v>80474.19</v>
      </c>
      <c r="I864" s="4">
        <v>80474.19</v>
      </c>
      <c r="J864" s="4">
        <v>2698.39990234375</v>
      </c>
      <c r="K864" s="4">
        <v>2698.39990234375</v>
      </c>
      <c r="L864" s="4">
        <v>2698.39990234375</v>
      </c>
      <c r="M864" s="3">
        <v>78</v>
      </c>
      <c r="N864" s="3">
        <v>78</v>
      </c>
      <c r="O864" s="54">
        <v>78</v>
      </c>
    </row>
    <row r="865" spans="2:15" x14ac:dyDescent="0.25">
      <c r="B865" s="7">
        <v>45607</v>
      </c>
      <c r="C865" s="13">
        <v>88701.48</v>
      </c>
      <c r="D865" s="8">
        <v>2687.5</v>
      </c>
      <c r="F865" s="7">
        <v>45607</v>
      </c>
      <c r="G865" s="13">
        <v>88701.48</v>
      </c>
      <c r="H865" s="4">
        <v>88701.48</v>
      </c>
      <c r="I865" s="4">
        <v>88701.48</v>
      </c>
      <c r="J865" s="4">
        <v>2687.5</v>
      </c>
      <c r="K865" s="4">
        <v>2687.5</v>
      </c>
      <c r="L865" s="4">
        <v>2687.5</v>
      </c>
      <c r="M865" s="3">
        <v>76</v>
      </c>
      <c r="N865" s="3">
        <v>76</v>
      </c>
      <c r="O865" s="54">
        <v>76</v>
      </c>
    </row>
    <row r="866" spans="2:15" x14ac:dyDescent="0.25">
      <c r="B866" s="7">
        <v>45608</v>
      </c>
      <c r="C866" s="13">
        <v>87955.81</v>
      </c>
      <c r="D866" s="8">
        <v>2611.19995117187</v>
      </c>
      <c r="F866" s="7">
        <v>45608</v>
      </c>
      <c r="G866" s="13">
        <v>87955.81</v>
      </c>
      <c r="H866" s="4">
        <v>87955.81</v>
      </c>
      <c r="I866" s="4">
        <v>87955.81</v>
      </c>
      <c r="J866" s="4">
        <v>2611.19995117187</v>
      </c>
      <c r="K866" s="4">
        <v>2611.19995117187</v>
      </c>
      <c r="L866" s="4">
        <v>2611.19995117187</v>
      </c>
      <c r="M866" s="3">
        <v>80</v>
      </c>
      <c r="N866" s="3">
        <v>80</v>
      </c>
      <c r="O866" s="54">
        <v>80</v>
      </c>
    </row>
    <row r="867" spans="2:15" x14ac:dyDescent="0.25">
      <c r="B867" s="7">
        <v>45609</v>
      </c>
      <c r="C867" s="13">
        <v>90584.16</v>
      </c>
      <c r="D867" s="8">
        <v>2600</v>
      </c>
      <c r="F867" s="7">
        <v>45609</v>
      </c>
      <c r="G867" s="13">
        <v>90584.16</v>
      </c>
      <c r="H867" s="4">
        <v>90584.16</v>
      </c>
      <c r="I867" s="4">
        <v>90584.16</v>
      </c>
      <c r="J867" s="4">
        <v>2600</v>
      </c>
      <c r="K867" s="4">
        <v>2600</v>
      </c>
      <c r="L867" s="4">
        <v>2600</v>
      </c>
      <c r="M867" s="3">
        <v>84</v>
      </c>
      <c r="N867" s="3">
        <v>84</v>
      </c>
      <c r="O867" s="54">
        <v>84</v>
      </c>
    </row>
    <row r="868" spans="2:15" x14ac:dyDescent="0.25">
      <c r="B868" s="7">
        <v>45610</v>
      </c>
      <c r="C868" s="13">
        <v>87250.43</v>
      </c>
      <c r="D868" s="8">
        <v>2580.80004882812</v>
      </c>
      <c r="F868" s="7">
        <v>45610</v>
      </c>
      <c r="G868" s="13">
        <v>87250.43</v>
      </c>
      <c r="H868" s="4">
        <v>87250.43</v>
      </c>
      <c r="I868" s="4">
        <v>87250.43</v>
      </c>
      <c r="J868" s="4">
        <v>2580.80004882812</v>
      </c>
      <c r="K868" s="4">
        <v>2580.80004882812</v>
      </c>
      <c r="L868" s="4">
        <v>2580.80004882812</v>
      </c>
      <c r="M868" s="3">
        <v>88</v>
      </c>
      <c r="N868" s="3">
        <v>88</v>
      </c>
      <c r="O868" s="54">
        <v>88</v>
      </c>
    </row>
    <row r="869" spans="2:15" x14ac:dyDescent="0.25">
      <c r="B869" s="7">
        <v>45611</v>
      </c>
      <c r="C869" s="13">
        <v>91066.01</v>
      </c>
      <c r="D869" s="8">
        <v>2568.19995117187</v>
      </c>
      <c r="F869" s="7">
        <v>45611</v>
      </c>
      <c r="G869" s="13">
        <v>91066.01</v>
      </c>
      <c r="H869" s="4">
        <v>91066.01</v>
      </c>
      <c r="I869" s="4">
        <v>91066.01</v>
      </c>
      <c r="J869" s="4">
        <v>2568.19995117187</v>
      </c>
      <c r="K869" s="4">
        <v>2568.19995117187</v>
      </c>
      <c r="L869" s="4">
        <v>2568.19995117187</v>
      </c>
      <c r="M869" s="3">
        <v>80</v>
      </c>
      <c r="N869" s="3">
        <v>80</v>
      </c>
      <c r="O869" s="54">
        <v>80</v>
      </c>
    </row>
    <row r="870" spans="2:15" x14ac:dyDescent="0.25">
      <c r="B870" s="7">
        <v>45612</v>
      </c>
      <c r="C870" s="13">
        <v>90558.48</v>
      </c>
      <c r="D870" s="8">
        <v>2565.69995117187</v>
      </c>
      <c r="F870" s="7">
        <v>45612</v>
      </c>
      <c r="G870" s="13">
        <v>90558.48</v>
      </c>
      <c r="H870" s="4">
        <v>90558.48</v>
      </c>
      <c r="I870" s="4">
        <v>90558.48</v>
      </c>
      <c r="J870" s="4">
        <v>2565.69995117187</v>
      </c>
      <c r="K870" s="4">
        <v>2565.69995117187</v>
      </c>
      <c r="L870" s="4">
        <v>2565.69995117187</v>
      </c>
      <c r="M870" s="3">
        <v>86</v>
      </c>
      <c r="N870" s="3">
        <v>86</v>
      </c>
      <c r="O870" s="54">
        <v>86</v>
      </c>
    </row>
    <row r="871" spans="2:15" x14ac:dyDescent="0.25">
      <c r="B871" s="7">
        <v>45613</v>
      </c>
      <c r="C871" s="13">
        <v>89845.85</v>
      </c>
      <c r="D871" s="8">
        <v>2568.19995117187</v>
      </c>
      <c r="F871" s="7">
        <v>45613</v>
      </c>
      <c r="G871" s="13">
        <v>89845.85</v>
      </c>
      <c r="H871" s="4">
        <v>89845.85</v>
      </c>
      <c r="I871" s="4">
        <v>89845.85</v>
      </c>
      <c r="J871" s="4">
        <v>2568.19995117187</v>
      </c>
      <c r="K871" s="4">
        <v>2568.19995117187</v>
      </c>
      <c r="L871" s="4">
        <v>2568.19995117187</v>
      </c>
      <c r="M871" s="3">
        <v>90</v>
      </c>
      <c r="N871" s="3">
        <v>90</v>
      </c>
      <c r="O871" s="54">
        <v>90</v>
      </c>
    </row>
    <row r="872" spans="2:15" x14ac:dyDescent="0.25">
      <c r="B872" s="7">
        <v>45614</v>
      </c>
      <c r="C872" s="13">
        <v>90542.64</v>
      </c>
      <c r="D872" s="8">
        <v>2565.69995117187</v>
      </c>
      <c r="F872" s="7">
        <v>45614</v>
      </c>
      <c r="G872" s="13">
        <v>90542.64</v>
      </c>
      <c r="H872" s="4">
        <v>90542.64</v>
      </c>
      <c r="I872" s="4">
        <v>90542.64</v>
      </c>
      <c r="J872" s="4">
        <v>2565.69995117187</v>
      </c>
      <c r="K872" s="4">
        <v>2565.69995117187</v>
      </c>
      <c r="L872" s="4">
        <v>2565.69995117187</v>
      </c>
      <c r="M872" s="3">
        <v>83</v>
      </c>
      <c r="N872" s="3">
        <v>83</v>
      </c>
      <c r="O872" s="54">
        <v>83</v>
      </c>
    </row>
    <row r="873" spans="2:15" x14ac:dyDescent="0.25">
      <c r="B873" s="7">
        <v>45615</v>
      </c>
      <c r="C873" s="13">
        <v>92343.79</v>
      </c>
      <c r="D873" s="8">
        <v>2610.60009765625</v>
      </c>
      <c r="F873" s="7">
        <v>45615</v>
      </c>
      <c r="G873" s="13">
        <v>92343.79</v>
      </c>
      <c r="H873" s="4">
        <v>92343.79</v>
      </c>
      <c r="I873" s="4">
        <v>92343.79</v>
      </c>
      <c r="J873" s="4">
        <v>2610.60009765625</v>
      </c>
      <c r="K873" s="4">
        <v>2610.60009765625</v>
      </c>
      <c r="L873" s="4">
        <v>2610.60009765625</v>
      </c>
      <c r="M873" s="3">
        <v>90</v>
      </c>
      <c r="N873" s="3">
        <v>90</v>
      </c>
      <c r="O873" s="54">
        <v>90</v>
      </c>
    </row>
    <row r="874" spans="2:15" x14ac:dyDescent="0.25">
      <c r="B874" s="7">
        <v>45616</v>
      </c>
      <c r="C874" s="13">
        <v>94339.49</v>
      </c>
      <c r="D874" s="8">
        <v>2627.10009765625</v>
      </c>
      <c r="F874" s="7">
        <v>45616</v>
      </c>
      <c r="G874" s="13">
        <v>94339.49</v>
      </c>
      <c r="H874" s="4">
        <v>94339.49</v>
      </c>
      <c r="I874" s="4">
        <v>94339.49</v>
      </c>
      <c r="J874" s="4">
        <v>2627.10009765625</v>
      </c>
      <c r="K874" s="4">
        <v>2627.10009765625</v>
      </c>
      <c r="L874" s="4">
        <v>2627.10009765625</v>
      </c>
      <c r="M874" s="3">
        <v>83</v>
      </c>
      <c r="N874" s="3">
        <v>83</v>
      </c>
      <c r="O874" s="54">
        <v>83</v>
      </c>
    </row>
    <row r="875" spans="2:15" x14ac:dyDescent="0.25">
      <c r="B875" s="7">
        <v>45617</v>
      </c>
      <c r="C875" s="13">
        <v>98504.73</v>
      </c>
      <c r="D875" s="8">
        <v>2648.19995117187</v>
      </c>
      <c r="F875" s="7">
        <v>45617</v>
      </c>
      <c r="G875" s="13">
        <v>98504.73</v>
      </c>
      <c r="H875" s="4">
        <v>98504.73</v>
      </c>
      <c r="I875" s="4">
        <v>98504.73</v>
      </c>
      <c r="J875" s="4">
        <v>2648.19995117187</v>
      </c>
      <c r="K875" s="4">
        <v>2648.19995117187</v>
      </c>
      <c r="L875" s="4">
        <v>2648.19995117187</v>
      </c>
      <c r="M875" s="3">
        <v>82</v>
      </c>
      <c r="N875" s="3">
        <v>82</v>
      </c>
      <c r="O875" s="54">
        <v>82</v>
      </c>
    </row>
    <row r="876" spans="2:15" x14ac:dyDescent="0.25">
      <c r="B876" s="7">
        <v>45618</v>
      </c>
      <c r="C876" s="13">
        <v>98997.66</v>
      </c>
      <c r="D876" s="8">
        <v>2672.10009765625</v>
      </c>
      <c r="F876" s="7">
        <v>45618</v>
      </c>
      <c r="G876" s="13">
        <v>98997.66</v>
      </c>
      <c r="H876" s="4">
        <v>98997.66</v>
      </c>
      <c r="I876" s="4">
        <v>98997.66</v>
      </c>
      <c r="J876" s="4">
        <v>2672.10009765625</v>
      </c>
      <c r="K876" s="4">
        <v>2672.10009765625</v>
      </c>
      <c r="L876" s="4">
        <v>2672.10009765625</v>
      </c>
      <c r="M876" s="3">
        <v>94</v>
      </c>
      <c r="N876" s="3">
        <v>94</v>
      </c>
      <c r="O876" s="54">
        <v>94</v>
      </c>
    </row>
    <row r="877" spans="2:15" x14ac:dyDescent="0.25">
      <c r="B877" s="7">
        <v>45619</v>
      </c>
      <c r="C877" s="13">
        <v>97777.279999999999</v>
      </c>
      <c r="D877" s="8">
        <v>2709.89990234375</v>
      </c>
      <c r="F877" s="7">
        <v>45619</v>
      </c>
      <c r="G877" s="13">
        <v>97777.279999999999</v>
      </c>
      <c r="H877" s="4">
        <v>97777.279999999999</v>
      </c>
      <c r="I877" s="4">
        <v>97777.279999999999</v>
      </c>
      <c r="J877" s="4">
        <v>2709.89990234375</v>
      </c>
      <c r="K877" s="4">
        <v>2709.89990234375</v>
      </c>
      <c r="L877" s="4">
        <v>2709.89990234375</v>
      </c>
      <c r="M877" s="3">
        <v>93</v>
      </c>
      <c r="N877" s="3">
        <v>93</v>
      </c>
      <c r="O877" s="54">
        <v>93</v>
      </c>
    </row>
    <row r="878" spans="2:15" x14ac:dyDescent="0.25">
      <c r="B878" s="7">
        <v>45620</v>
      </c>
      <c r="C878" s="13">
        <v>98013.82</v>
      </c>
      <c r="D878" s="8">
        <v>2672.10009765625</v>
      </c>
      <c r="F878" s="7">
        <v>45620</v>
      </c>
      <c r="G878" s="13">
        <v>98013.82</v>
      </c>
      <c r="H878" s="4">
        <v>98013.82</v>
      </c>
      <c r="I878" s="4">
        <v>98013.82</v>
      </c>
      <c r="J878" s="4">
        <v>2672.10009765625</v>
      </c>
      <c r="K878" s="4">
        <v>2672.10009765625</v>
      </c>
      <c r="L878" s="4">
        <v>2672.10009765625</v>
      </c>
      <c r="M878" s="3">
        <v>80</v>
      </c>
      <c r="N878" s="3">
        <v>80</v>
      </c>
      <c r="O878" s="54">
        <v>80</v>
      </c>
    </row>
    <row r="879" spans="2:15" x14ac:dyDescent="0.25">
      <c r="B879" s="7">
        <v>45621</v>
      </c>
      <c r="C879" s="13">
        <v>93102.3</v>
      </c>
      <c r="D879" s="8">
        <v>2709.89990234375</v>
      </c>
      <c r="F879" s="7">
        <v>45621</v>
      </c>
      <c r="G879" s="13">
        <v>93102.3</v>
      </c>
      <c r="H879" s="4">
        <v>93102.3</v>
      </c>
      <c r="I879" s="4">
        <v>93102.3</v>
      </c>
      <c r="J879" s="4">
        <v>2709.89990234375</v>
      </c>
      <c r="K879" s="4">
        <v>2709.89990234375</v>
      </c>
      <c r="L879" s="4">
        <v>2709.89990234375</v>
      </c>
      <c r="M879" s="3">
        <v>82</v>
      </c>
      <c r="N879" s="3">
        <v>82</v>
      </c>
      <c r="O879" s="54">
        <v>82</v>
      </c>
    </row>
    <row r="880" spans="2:15" x14ac:dyDescent="0.25">
      <c r="B880" s="7">
        <v>45622</v>
      </c>
      <c r="C880" s="13">
        <v>91985.32</v>
      </c>
      <c r="D880" s="8">
        <v>2616.80004882812</v>
      </c>
      <c r="F880" s="7">
        <v>45622</v>
      </c>
      <c r="G880" s="13">
        <v>91985.32</v>
      </c>
      <c r="H880" s="4">
        <v>91985.32</v>
      </c>
      <c r="I880" s="4">
        <v>91985.32</v>
      </c>
      <c r="J880" s="4">
        <v>2616.80004882812</v>
      </c>
      <c r="K880" s="4">
        <v>2616.80004882812</v>
      </c>
      <c r="L880" s="4">
        <v>2616.80004882812</v>
      </c>
      <c r="M880" s="3">
        <v>79</v>
      </c>
      <c r="N880" s="3">
        <v>79</v>
      </c>
      <c r="O880" s="54">
        <v>79</v>
      </c>
    </row>
    <row r="881" spans="2:15" x14ac:dyDescent="0.25">
      <c r="B881" s="7">
        <v>45623</v>
      </c>
      <c r="C881" s="13">
        <v>95962.53</v>
      </c>
      <c r="D881" s="8">
        <v>2620.30004882812</v>
      </c>
      <c r="F881" s="7">
        <v>45623</v>
      </c>
      <c r="G881" s="13">
        <v>95962.53</v>
      </c>
      <c r="H881" s="4">
        <v>95962.53</v>
      </c>
      <c r="I881" s="4">
        <v>95962.53</v>
      </c>
      <c r="J881" s="4">
        <v>2620.30004882812</v>
      </c>
      <c r="K881" s="4">
        <v>2620.30004882812</v>
      </c>
      <c r="L881" s="4">
        <v>2620.30004882812</v>
      </c>
      <c r="M881" s="3">
        <v>75</v>
      </c>
      <c r="N881" s="3">
        <v>75</v>
      </c>
      <c r="O881" s="54">
        <v>75</v>
      </c>
    </row>
    <row r="882" spans="2:15" x14ac:dyDescent="0.25">
      <c r="B882" s="7">
        <v>45624</v>
      </c>
      <c r="C882" s="13">
        <v>95652.47</v>
      </c>
      <c r="D882" s="8">
        <v>2639.89990234375</v>
      </c>
      <c r="F882" s="7">
        <v>45624</v>
      </c>
      <c r="G882" s="13">
        <v>95652.47</v>
      </c>
      <c r="H882" s="4">
        <v>95652.47</v>
      </c>
      <c r="I882" s="4">
        <v>95652.47</v>
      </c>
      <c r="J882" s="4">
        <v>2639.89990234375</v>
      </c>
      <c r="K882" s="4">
        <v>2639.89990234375</v>
      </c>
      <c r="L882" s="4">
        <v>2639.89990234375</v>
      </c>
      <c r="M882" s="3">
        <v>77</v>
      </c>
      <c r="N882" s="3">
        <v>77</v>
      </c>
      <c r="O882" s="54">
        <v>77</v>
      </c>
    </row>
    <row r="883" spans="2:15" x14ac:dyDescent="0.25">
      <c r="B883" s="7">
        <v>45625</v>
      </c>
      <c r="C883" s="13">
        <v>97461.52</v>
      </c>
      <c r="D883" s="8">
        <v>2620.30004882812</v>
      </c>
      <c r="F883" s="7">
        <v>45625</v>
      </c>
      <c r="G883" s="13">
        <v>97461.52</v>
      </c>
      <c r="H883" s="4">
        <v>97461.52</v>
      </c>
      <c r="I883" s="4">
        <v>97461.52</v>
      </c>
      <c r="J883" s="4">
        <v>2620.30004882812</v>
      </c>
      <c r="K883" s="4">
        <v>2620.30004882812</v>
      </c>
      <c r="L883" s="4">
        <v>2620.30004882812</v>
      </c>
      <c r="M883" s="3">
        <v>78</v>
      </c>
      <c r="N883" s="3">
        <v>78</v>
      </c>
      <c r="O883" s="54">
        <v>78</v>
      </c>
    </row>
    <row r="884" spans="2:15" x14ac:dyDescent="0.25">
      <c r="B884" s="7">
        <v>45626</v>
      </c>
      <c r="C884" s="13">
        <v>96449.05</v>
      </c>
      <c r="D884" s="8">
        <v>2657</v>
      </c>
      <c r="F884" s="7">
        <v>45626</v>
      </c>
      <c r="G884" s="13">
        <v>96449.05</v>
      </c>
      <c r="H884" s="4">
        <v>96449.05</v>
      </c>
      <c r="I884" s="4">
        <v>96449.05</v>
      </c>
      <c r="J884" s="4">
        <v>2657</v>
      </c>
      <c r="K884" s="4">
        <v>2657</v>
      </c>
      <c r="L884" s="4">
        <v>2657</v>
      </c>
      <c r="M884" s="3">
        <v>84</v>
      </c>
      <c r="N884" s="3">
        <v>84</v>
      </c>
      <c r="O884" s="54">
        <v>84</v>
      </c>
    </row>
    <row r="885" spans="2:15" x14ac:dyDescent="0.25">
      <c r="B885" s="7">
        <v>45627</v>
      </c>
      <c r="C885" s="13">
        <v>97279.79</v>
      </c>
      <c r="D885" s="8">
        <v>2620.30004882812</v>
      </c>
      <c r="F885" s="7">
        <v>45627</v>
      </c>
      <c r="G885" s="13">
        <v>97279.79</v>
      </c>
      <c r="H885" s="4">
        <v>97279.79</v>
      </c>
      <c r="I885" s="4">
        <v>97279.79</v>
      </c>
      <c r="J885" s="4">
        <v>2620.30004882812</v>
      </c>
      <c r="K885" s="4">
        <v>2620.30004882812</v>
      </c>
      <c r="L885" s="4">
        <v>2620.30004882812</v>
      </c>
      <c r="M885" s="3">
        <v>81</v>
      </c>
      <c r="N885" s="3">
        <v>81</v>
      </c>
      <c r="O885" s="54">
        <v>81</v>
      </c>
    </row>
    <row r="886" spans="2:15" x14ac:dyDescent="0.25">
      <c r="B886" s="7">
        <v>45628</v>
      </c>
      <c r="C886" s="13">
        <v>95865.3</v>
      </c>
      <c r="D886" s="8">
        <v>2657</v>
      </c>
      <c r="F886" s="7">
        <v>45628</v>
      </c>
      <c r="G886" s="13">
        <v>95865.3</v>
      </c>
      <c r="H886" s="4">
        <v>95865.3</v>
      </c>
      <c r="I886" s="4">
        <v>95865.3</v>
      </c>
      <c r="J886" s="4">
        <v>2657</v>
      </c>
      <c r="K886" s="4">
        <v>2657</v>
      </c>
      <c r="L886" s="4">
        <v>2657</v>
      </c>
      <c r="M886" s="3">
        <v>80</v>
      </c>
      <c r="N886" s="3">
        <v>80</v>
      </c>
      <c r="O886" s="54">
        <v>80</v>
      </c>
    </row>
    <row r="887" spans="2:15" x14ac:dyDescent="0.25">
      <c r="B887" s="7">
        <v>45629</v>
      </c>
      <c r="C887" s="13">
        <v>96002.16</v>
      </c>
      <c r="D887" s="8">
        <v>2634.89990234375</v>
      </c>
      <c r="F887" s="7">
        <v>45629</v>
      </c>
      <c r="G887" s="13">
        <v>96002.16</v>
      </c>
      <c r="H887" s="4">
        <v>96002.16</v>
      </c>
      <c r="I887" s="4">
        <v>96002.16</v>
      </c>
      <c r="J887" s="4">
        <v>2634.89990234375</v>
      </c>
      <c r="K887" s="4">
        <v>2634.89990234375</v>
      </c>
      <c r="L887" s="4">
        <v>2634.89990234375</v>
      </c>
      <c r="M887" s="3">
        <v>76</v>
      </c>
      <c r="N887" s="3">
        <v>76</v>
      </c>
      <c r="O887" s="54">
        <v>76</v>
      </c>
    </row>
    <row r="888" spans="2:15" x14ac:dyDescent="0.25">
      <c r="B888" s="7">
        <v>45630</v>
      </c>
      <c r="C888" s="13">
        <v>98768.53</v>
      </c>
      <c r="D888" s="8">
        <v>2644.69995117187</v>
      </c>
      <c r="F888" s="7">
        <v>45630</v>
      </c>
      <c r="G888" s="13">
        <v>98768.53</v>
      </c>
      <c r="H888" s="4">
        <v>98768.53</v>
      </c>
      <c r="I888" s="4">
        <v>98768.53</v>
      </c>
      <c r="J888" s="4">
        <v>2644.69995117187</v>
      </c>
      <c r="K888" s="4">
        <v>2644.69995117187</v>
      </c>
      <c r="L888" s="4">
        <v>2644.69995117187</v>
      </c>
      <c r="M888" s="3">
        <v>78</v>
      </c>
      <c r="N888" s="3">
        <v>78</v>
      </c>
      <c r="O888" s="54">
        <v>78</v>
      </c>
    </row>
    <row r="889" spans="2:15" x14ac:dyDescent="0.25">
      <c r="B889" s="7">
        <v>45631</v>
      </c>
      <c r="C889" s="13">
        <v>96593.57</v>
      </c>
      <c r="D889" s="8">
        <v>2653.80004882812</v>
      </c>
      <c r="F889" s="7">
        <v>45631</v>
      </c>
      <c r="G889" s="13">
        <v>96593.57</v>
      </c>
      <c r="H889" s="4">
        <v>96593.57</v>
      </c>
      <c r="I889" s="4">
        <v>96593.57</v>
      </c>
      <c r="J889" s="4">
        <v>2653.80004882812</v>
      </c>
      <c r="K889" s="4">
        <v>2653.80004882812</v>
      </c>
      <c r="L889" s="4">
        <v>2653.80004882812</v>
      </c>
      <c r="M889" s="3">
        <v>84</v>
      </c>
      <c r="N889" s="3">
        <v>84</v>
      </c>
      <c r="O889" s="54">
        <v>84</v>
      </c>
    </row>
    <row r="890" spans="2:15" x14ac:dyDescent="0.25">
      <c r="B890" s="7">
        <v>45632</v>
      </c>
      <c r="C890" s="13">
        <v>99920.71</v>
      </c>
      <c r="D890" s="8">
        <v>2626.60009765625</v>
      </c>
      <c r="F890" s="7">
        <v>45632</v>
      </c>
      <c r="G890" s="13">
        <v>99920.71</v>
      </c>
      <c r="H890" s="4">
        <v>99920.71</v>
      </c>
      <c r="I890" s="4">
        <v>99920.71</v>
      </c>
      <c r="J890" s="4">
        <v>2626.60009765625</v>
      </c>
      <c r="K890" s="4">
        <v>2626.60009765625</v>
      </c>
      <c r="L890" s="4">
        <v>2626.60009765625</v>
      </c>
      <c r="M890" s="3">
        <v>72</v>
      </c>
      <c r="N890" s="3">
        <v>72</v>
      </c>
      <c r="O890" s="54">
        <v>72</v>
      </c>
    </row>
    <row r="891" spans="2:15" x14ac:dyDescent="0.25">
      <c r="B891" s="7">
        <v>45633</v>
      </c>
      <c r="C891" s="13">
        <v>99923.34</v>
      </c>
      <c r="D891" s="8">
        <v>2638.60009765625</v>
      </c>
      <c r="F891" s="7">
        <v>45633</v>
      </c>
      <c r="G891" s="13">
        <v>99923.34</v>
      </c>
      <c r="H891" s="4">
        <v>99923.34</v>
      </c>
      <c r="I891" s="4">
        <v>99923.34</v>
      </c>
      <c r="J891" s="4">
        <v>2638.60009765625</v>
      </c>
      <c r="K891" s="4">
        <v>2638.60009765625</v>
      </c>
      <c r="L891" s="4">
        <v>2638.60009765625</v>
      </c>
      <c r="M891" s="3">
        <v>75</v>
      </c>
      <c r="N891" s="3">
        <v>75</v>
      </c>
      <c r="O891" s="54">
        <v>75</v>
      </c>
    </row>
    <row r="892" spans="2:15" x14ac:dyDescent="0.25">
      <c r="B892" s="7">
        <v>45634</v>
      </c>
      <c r="C892" s="13">
        <v>101236.02</v>
      </c>
      <c r="D892" s="8">
        <v>2626.60009765625</v>
      </c>
      <c r="F892" s="7">
        <v>45634</v>
      </c>
      <c r="G892" s="13">
        <v>101236.02</v>
      </c>
      <c r="H892" s="4">
        <v>101236.02</v>
      </c>
      <c r="I892" s="4">
        <v>101236.02</v>
      </c>
      <c r="J892" s="4">
        <v>2626.60009765625</v>
      </c>
      <c r="K892" s="4">
        <v>2626.60009765625</v>
      </c>
      <c r="L892" s="4">
        <v>2626.60009765625</v>
      </c>
      <c r="M892" s="3">
        <v>79</v>
      </c>
      <c r="N892" s="3">
        <v>79</v>
      </c>
      <c r="O892" s="54">
        <v>79</v>
      </c>
    </row>
    <row r="893" spans="2:15" x14ac:dyDescent="0.25">
      <c r="B893" s="7">
        <v>45635</v>
      </c>
      <c r="C893" s="13">
        <v>97432.72</v>
      </c>
      <c r="D893" s="8">
        <v>2638.60009765625</v>
      </c>
      <c r="F893" s="7">
        <v>45635</v>
      </c>
      <c r="G893" s="13">
        <v>97432.72</v>
      </c>
      <c r="H893" s="4">
        <v>97432.72</v>
      </c>
      <c r="I893" s="4">
        <v>97432.72</v>
      </c>
      <c r="J893" s="4">
        <v>2638.60009765625</v>
      </c>
      <c r="K893" s="4">
        <v>2638.60009765625</v>
      </c>
      <c r="L893" s="4">
        <v>2638.60009765625</v>
      </c>
      <c r="M893" s="3">
        <v>78</v>
      </c>
      <c r="N893" s="3">
        <v>78</v>
      </c>
      <c r="O893" s="54">
        <v>78</v>
      </c>
    </row>
    <row r="894" spans="2:15" x14ac:dyDescent="0.25">
      <c r="B894" s="7">
        <v>45636</v>
      </c>
      <c r="C894" s="13">
        <v>96675.43</v>
      </c>
      <c r="D894" s="8">
        <v>2664.89990234375</v>
      </c>
      <c r="F894" s="7">
        <v>45636</v>
      </c>
      <c r="G894" s="13">
        <v>96675.43</v>
      </c>
      <c r="H894" s="4">
        <v>96675.43</v>
      </c>
      <c r="I894" s="4">
        <v>96675.43</v>
      </c>
      <c r="J894" s="4">
        <v>2664.89990234375</v>
      </c>
      <c r="K894" s="4">
        <v>2664.89990234375</v>
      </c>
      <c r="L894" s="4">
        <v>2664.89990234375</v>
      </c>
      <c r="M894" s="3">
        <v>78</v>
      </c>
      <c r="N894" s="3">
        <v>78</v>
      </c>
      <c r="O894" s="54">
        <v>78</v>
      </c>
    </row>
    <row r="895" spans="2:15" x14ac:dyDescent="0.25">
      <c r="B895" s="7">
        <v>45637</v>
      </c>
      <c r="C895" s="13">
        <v>101173.03</v>
      </c>
      <c r="D895" s="8">
        <v>2697.60009765625</v>
      </c>
      <c r="F895" s="7">
        <v>45637</v>
      </c>
      <c r="G895" s="13">
        <v>101173.03</v>
      </c>
      <c r="H895" s="4">
        <v>101173.03</v>
      </c>
      <c r="I895" s="4">
        <v>101173.03</v>
      </c>
      <c r="J895" s="4">
        <v>2697.60009765625</v>
      </c>
      <c r="K895" s="4">
        <v>2697.60009765625</v>
      </c>
      <c r="L895" s="4">
        <v>2697.60009765625</v>
      </c>
      <c r="M895" s="3">
        <v>74</v>
      </c>
      <c r="N895" s="3">
        <v>74</v>
      </c>
      <c r="O895" s="54">
        <v>74</v>
      </c>
    </row>
    <row r="896" spans="2:15" x14ac:dyDescent="0.25">
      <c r="B896" s="7">
        <v>45638</v>
      </c>
      <c r="C896" s="13">
        <v>100043</v>
      </c>
      <c r="D896" s="8">
        <v>2733.80004882812</v>
      </c>
      <c r="F896" s="7">
        <v>45638</v>
      </c>
      <c r="G896" s="13">
        <v>100043</v>
      </c>
      <c r="H896" s="4">
        <v>100043</v>
      </c>
      <c r="I896" s="4">
        <v>100043</v>
      </c>
      <c r="J896" s="4">
        <v>2733.80004882812</v>
      </c>
      <c r="K896" s="4">
        <v>2733.80004882812</v>
      </c>
      <c r="L896" s="4">
        <v>2733.80004882812</v>
      </c>
      <c r="M896" s="3">
        <v>83</v>
      </c>
      <c r="N896" s="3">
        <v>83</v>
      </c>
      <c r="O896" s="54">
        <v>83</v>
      </c>
    </row>
    <row r="897" spans="2:15" x14ac:dyDescent="0.25">
      <c r="B897" s="7">
        <v>45639</v>
      </c>
      <c r="C897" s="13">
        <v>101459.26</v>
      </c>
      <c r="D897" s="8">
        <v>2687.5</v>
      </c>
      <c r="F897" s="7">
        <v>45639</v>
      </c>
      <c r="G897" s="13">
        <v>101459.26</v>
      </c>
      <c r="H897" s="4">
        <v>101459.26</v>
      </c>
      <c r="I897" s="4">
        <v>101459.26</v>
      </c>
      <c r="J897" s="4">
        <v>2687.5</v>
      </c>
      <c r="K897" s="4">
        <v>2687.5</v>
      </c>
      <c r="L897" s="4">
        <v>2687.5</v>
      </c>
      <c r="M897" s="3">
        <v>76</v>
      </c>
      <c r="N897" s="3">
        <v>76</v>
      </c>
      <c r="O897" s="54">
        <v>76</v>
      </c>
    </row>
    <row r="898" spans="2:15" x14ac:dyDescent="0.25">
      <c r="B898" s="7">
        <v>45640</v>
      </c>
      <c r="C898" s="13">
        <v>101372.97</v>
      </c>
      <c r="D898" s="8">
        <v>2656</v>
      </c>
      <c r="F898" s="7">
        <v>45640</v>
      </c>
      <c r="G898" s="13">
        <v>101372.97</v>
      </c>
      <c r="H898" s="4">
        <v>101372.97</v>
      </c>
      <c r="I898" s="4">
        <v>101372.97</v>
      </c>
      <c r="J898" s="4">
        <v>2656</v>
      </c>
      <c r="K898" s="4">
        <v>2656</v>
      </c>
      <c r="L898" s="4">
        <v>2656</v>
      </c>
      <c r="M898" s="3">
        <v>83</v>
      </c>
      <c r="N898" s="3">
        <v>83</v>
      </c>
      <c r="O898" s="54">
        <v>83</v>
      </c>
    </row>
    <row r="899" spans="2:15" x14ac:dyDescent="0.25">
      <c r="B899" s="7">
        <v>45641</v>
      </c>
      <c r="C899" s="13">
        <v>104298.7</v>
      </c>
      <c r="D899" s="8">
        <v>2687.5</v>
      </c>
      <c r="F899" s="7">
        <v>45641</v>
      </c>
      <c r="G899" s="13">
        <v>104298.7</v>
      </c>
      <c r="H899" s="4">
        <v>104298.7</v>
      </c>
      <c r="I899" s="4">
        <v>104298.7</v>
      </c>
      <c r="J899" s="4">
        <v>2687.5</v>
      </c>
      <c r="K899" s="4">
        <v>2687.5</v>
      </c>
      <c r="L899" s="4">
        <v>2687.5</v>
      </c>
      <c r="M899" s="3">
        <v>80</v>
      </c>
      <c r="N899" s="3">
        <v>80</v>
      </c>
      <c r="O899" s="54">
        <v>80</v>
      </c>
    </row>
    <row r="900" spans="2:15" x14ac:dyDescent="0.25">
      <c r="B900" s="7">
        <v>45642</v>
      </c>
      <c r="C900" s="13">
        <v>106029.72</v>
      </c>
      <c r="D900" s="8">
        <v>2656</v>
      </c>
      <c r="F900" s="7">
        <v>45642</v>
      </c>
      <c r="G900" s="13">
        <v>106029.72</v>
      </c>
      <c r="H900" s="4">
        <v>106029.72</v>
      </c>
      <c r="I900" s="4">
        <v>106029.72</v>
      </c>
      <c r="J900" s="4">
        <v>2656</v>
      </c>
      <c r="K900" s="4">
        <v>2656</v>
      </c>
      <c r="L900" s="4">
        <v>2656</v>
      </c>
      <c r="M900" s="3">
        <v>83</v>
      </c>
      <c r="N900" s="3">
        <v>83</v>
      </c>
      <c r="O900" s="54">
        <v>83</v>
      </c>
    </row>
    <row r="901" spans="2:15" x14ac:dyDescent="0.25">
      <c r="B901" s="7">
        <v>45643</v>
      </c>
      <c r="C901" s="13">
        <v>106140.6</v>
      </c>
      <c r="D901" s="8">
        <v>2651.39990234375</v>
      </c>
      <c r="F901" s="7">
        <v>45643</v>
      </c>
      <c r="G901" s="13">
        <v>106140.6</v>
      </c>
      <c r="H901" s="4">
        <v>106140.6</v>
      </c>
      <c r="I901" s="4">
        <v>106140.6</v>
      </c>
      <c r="J901" s="4">
        <v>2651.39990234375</v>
      </c>
      <c r="K901" s="4">
        <v>2651.39990234375</v>
      </c>
      <c r="L901" s="4">
        <v>2651.39990234375</v>
      </c>
      <c r="M901" s="3">
        <v>87</v>
      </c>
      <c r="N901" s="3">
        <v>87</v>
      </c>
      <c r="O901" s="54">
        <v>87</v>
      </c>
    </row>
    <row r="902" spans="2:15" x14ac:dyDescent="0.25">
      <c r="B902" s="7">
        <v>45644</v>
      </c>
      <c r="C902" s="13">
        <v>100041.54</v>
      </c>
      <c r="D902" s="8">
        <v>2644.39990234375</v>
      </c>
      <c r="F902" s="7">
        <v>45644</v>
      </c>
      <c r="G902" s="13">
        <v>100041.54</v>
      </c>
      <c r="H902" s="4">
        <v>100041.54</v>
      </c>
      <c r="I902" s="4">
        <v>100041.54</v>
      </c>
      <c r="J902" s="4">
        <v>2644.39990234375</v>
      </c>
      <c r="K902" s="4">
        <v>2644.39990234375</v>
      </c>
      <c r="L902" s="4">
        <v>2644.39990234375</v>
      </c>
      <c r="M902" s="3">
        <v>81</v>
      </c>
      <c r="N902" s="3">
        <v>81</v>
      </c>
      <c r="O902" s="54">
        <v>81</v>
      </c>
    </row>
    <row r="903" spans="2:15" x14ac:dyDescent="0.25">
      <c r="B903" s="7">
        <v>45645</v>
      </c>
      <c r="C903" s="13">
        <v>97490.95</v>
      </c>
      <c r="D903" s="8">
        <v>2636.5</v>
      </c>
      <c r="F903" s="7">
        <v>45645</v>
      </c>
      <c r="G903" s="13">
        <v>97490.95</v>
      </c>
      <c r="H903" s="4">
        <v>97490.95</v>
      </c>
      <c r="I903" s="4">
        <v>97490.95</v>
      </c>
      <c r="J903" s="4">
        <v>2636.5</v>
      </c>
      <c r="K903" s="4">
        <v>2636.5</v>
      </c>
      <c r="L903" s="4">
        <v>2636.5</v>
      </c>
      <c r="M903" s="3">
        <v>75</v>
      </c>
      <c r="N903" s="3">
        <v>75</v>
      </c>
      <c r="O903" s="54">
        <v>75</v>
      </c>
    </row>
    <row r="904" spans="2:15" x14ac:dyDescent="0.25">
      <c r="B904" s="7">
        <v>45646</v>
      </c>
      <c r="C904" s="13">
        <v>97755.93</v>
      </c>
      <c r="D904" s="8">
        <v>2592.19995117187</v>
      </c>
      <c r="F904" s="7">
        <v>45646</v>
      </c>
      <c r="G904" s="13">
        <v>97755.93</v>
      </c>
      <c r="H904" s="4">
        <v>97755.93</v>
      </c>
      <c r="I904" s="4">
        <v>97755.93</v>
      </c>
      <c r="J904" s="4">
        <v>2592.19995117187</v>
      </c>
      <c r="K904" s="4">
        <v>2592.19995117187</v>
      </c>
      <c r="L904" s="4">
        <v>2592.19995117187</v>
      </c>
      <c r="M904" s="3">
        <v>74</v>
      </c>
      <c r="N904" s="3">
        <v>74</v>
      </c>
      <c r="O904" s="54">
        <v>74</v>
      </c>
    </row>
    <row r="905" spans="2:15" x14ac:dyDescent="0.25">
      <c r="B905" s="7">
        <v>45647</v>
      </c>
      <c r="C905" s="13">
        <v>97224.73</v>
      </c>
      <c r="D905" s="8">
        <v>2628.69995117187</v>
      </c>
      <c r="F905" s="7">
        <v>45647</v>
      </c>
      <c r="G905" s="13">
        <v>97224.73</v>
      </c>
      <c r="H905" s="4">
        <v>97224.73</v>
      </c>
      <c r="I905" s="4">
        <v>97224.73</v>
      </c>
      <c r="J905" s="4">
        <v>2628.69995117187</v>
      </c>
      <c r="K905" s="4">
        <v>2628.69995117187</v>
      </c>
      <c r="L905" s="4">
        <v>2628.69995117187</v>
      </c>
      <c r="M905" s="3">
        <v>73</v>
      </c>
      <c r="N905" s="3">
        <v>73</v>
      </c>
      <c r="O905" s="54">
        <v>73</v>
      </c>
    </row>
    <row r="906" spans="2:15" x14ac:dyDescent="0.25">
      <c r="B906" s="7">
        <v>45648</v>
      </c>
      <c r="C906" s="13">
        <v>95104.94</v>
      </c>
      <c r="D906" s="8">
        <v>2592.19995117187</v>
      </c>
      <c r="F906" s="7">
        <v>45648</v>
      </c>
      <c r="G906" s="13">
        <v>95104.94</v>
      </c>
      <c r="H906" s="4">
        <v>95104.94</v>
      </c>
      <c r="I906" s="4">
        <v>95104.94</v>
      </c>
      <c r="J906" s="4">
        <v>2592.19995117187</v>
      </c>
      <c r="K906" s="4">
        <v>2592.19995117187</v>
      </c>
      <c r="L906" s="4">
        <v>2592.19995117187</v>
      </c>
      <c r="M906" s="3">
        <v>73</v>
      </c>
      <c r="N906" s="3">
        <v>73</v>
      </c>
      <c r="O906" s="54">
        <v>73</v>
      </c>
    </row>
    <row r="907" spans="2:15" x14ac:dyDescent="0.25">
      <c r="B907" s="7">
        <v>45649</v>
      </c>
      <c r="C907" s="13">
        <v>94686.24</v>
      </c>
      <c r="D907" s="8">
        <v>2628.69995117187</v>
      </c>
      <c r="F907" s="7">
        <v>45649</v>
      </c>
      <c r="G907" s="13">
        <v>94686.24</v>
      </c>
      <c r="H907" s="4">
        <v>94686.24</v>
      </c>
      <c r="I907" s="4">
        <v>94686.24</v>
      </c>
      <c r="J907" s="4">
        <v>2628.69995117187</v>
      </c>
      <c r="K907" s="4">
        <v>2628.69995117187</v>
      </c>
      <c r="L907" s="4">
        <v>2628.69995117187</v>
      </c>
      <c r="M907" s="3">
        <v>70</v>
      </c>
      <c r="N907" s="3">
        <v>70</v>
      </c>
      <c r="O907" s="54">
        <v>70</v>
      </c>
    </row>
    <row r="908" spans="2:15" x14ac:dyDescent="0.25">
      <c r="B908" s="7">
        <v>45650</v>
      </c>
      <c r="C908" s="13">
        <v>98676.09</v>
      </c>
      <c r="D908" s="8">
        <v>2612.30004882812</v>
      </c>
      <c r="F908" s="7">
        <v>45650</v>
      </c>
      <c r="G908" s="13">
        <v>98676.09</v>
      </c>
      <c r="H908" s="4">
        <v>98676.09</v>
      </c>
      <c r="I908" s="4">
        <v>98676.09</v>
      </c>
      <c r="J908" s="4">
        <v>2612.30004882812</v>
      </c>
      <c r="K908" s="4">
        <v>2612.30004882812</v>
      </c>
      <c r="L908" s="4">
        <v>2612.30004882812</v>
      </c>
      <c r="M908" s="3">
        <v>73</v>
      </c>
      <c r="N908" s="3">
        <v>73</v>
      </c>
      <c r="O908" s="54">
        <v>73</v>
      </c>
    </row>
    <row r="909" spans="2:15" x14ac:dyDescent="0.25">
      <c r="B909" s="7">
        <v>45651</v>
      </c>
      <c r="C909" s="13">
        <v>99299.199999999997</v>
      </c>
      <c r="D909" s="8">
        <v>2620</v>
      </c>
      <c r="F909" s="7">
        <v>45651</v>
      </c>
      <c r="G909" s="13">
        <v>99299.199999999997</v>
      </c>
      <c r="H909" s="4">
        <v>99299.199999999997</v>
      </c>
      <c r="I909" s="4">
        <v>99299.199999999997</v>
      </c>
      <c r="J909" s="4">
        <v>2620</v>
      </c>
      <c r="K909" s="4">
        <v>2620</v>
      </c>
      <c r="L909" s="4">
        <v>2620</v>
      </c>
      <c r="M909" s="3">
        <v>73</v>
      </c>
      <c r="N909" s="3">
        <v>73</v>
      </c>
      <c r="O909" s="54">
        <v>73</v>
      </c>
    </row>
    <row r="910" spans="2:15" x14ac:dyDescent="0.25">
      <c r="B910" s="7">
        <v>45652</v>
      </c>
      <c r="C910" s="13">
        <v>95795.520000000004</v>
      </c>
      <c r="D910" s="8">
        <v>2612.30004882812</v>
      </c>
      <c r="F910" s="7">
        <v>45652</v>
      </c>
      <c r="G910" s="13">
        <v>95795.520000000004</v>
      </c>
      <c r="H910" s="4">
        <v>95795.520000000004</v>
      </c>
      <c r="I910" s="4">
        <v>95795.520000000004</v>
      </c>
      <c r="J910" s="4">
        <v>2612.30004882812</v>
      </c>
      <c r="K910" s="4">
        <v>2612.30004882812</v>
      </c>
      <c r="L910" s="4">
        <v>2612.30004882812</v>
      </c>
      <c r="M910" s="3">
        <v>79</v>
      </c>
      <c r="N910" s="3">
        <v>79</v>
      </c>
      <c r="O910" s="54">
        <v>79</v>
      </c>
    </row>
    <row r="911" spans="2:15" x14ac:dyDescent="0.25">
      <c r="B911" s="7">
        <v>45653</v>
      </c>
      <c r="C911" s="13">
        <v>94164.86</v>
      </c>
      <c r="D911" s="8">
        <v>2638.80004882812</v>
      </c>
      <c r="F911" s="7">
        <v>45653</v>
      </c>
      <c r="G911" s="13">
        <v>94164.86</v>
      </c>
      <c r="H911" s="4">
        <v>94164.86</v>
      </c>
      <c r="I911" s="4">
        <v>94164.86</v>
      </c>
      <c r="J911" s="4">
        <v>2638.80004882812</v>
      </c>
      <c r="K911" s="4">
        <v>2638.80004882812</v>
      </c>
      <c r="L911" s="4">
        <v>2638.80004882812</v>
      </c>
      <c r="M911" s="3">
        <v>74</v>
      </c>
      <c r="N911" s="3">
        <v>74</v>
      </c>
      <c r="O911" s="54">
        <v>74</v>
      </c>
    </row>
    <row r="912" spans="2:15" x14ac:dyDescent="0.25">
      <c r="B912" s="7">
        <v>45654</v>
      </c>
      <c r="C912" s="13">
        <v>95163.93</v>
      </c>
      <c r="D912" s="8">
        <v>2617.19995117187</v>
      </c>
      <c r="F912" s="7">
        <v>45654</v>
      </c>
      <c r="G912" s="13">
        <v>95163.93</v>
      </c>
      <c r="H912" s="4">
        <v>95163.93</v>
      </c>
      <c r="I912" s="4">
        <v>95163.93</v>
      </c>
      <c r="J912" s="4">
        <v>2617.19995117187</v>
      </c>
      <c r="K912" s="4">
        <v>2617.19995117187</v>
      </c>
      <c r="L912" s="4">
        <v>2617.19995117187</v>
      </c>
      <c r="M912" s="3">
        <v>72</v>
      </c>
      <c r="N912" s="3">
        <v>72</v>
      </c>
      <c r="O912" s="54">
        <v>72</v>
      </c>
    </row>
    <row r="913" spans="2:15" x14ac:dyDescent="0.25">
      <c r="B913" s="7">
        <v>45655</v>
      </c>
      <c r="C913" s="13">
        <v>93530.23</v>
      </c>
      <c r="D913" s="8">
        <v>2638.80004882812</v>
      </c>
      <c r="F913" s="7">
        <v>45655</v>
      </c>
      <c r="G913" s="13">
        <v>93530.23</v>
      </c>
      <c r="H913" s="4">
        <v>93530.23</v>
      </c>
      <c r="I913" s="4">
        <v>93530.23</v>
      </c>
      <c r="J913" s="4">
        <v>2638.80004882812</v>
      </c>
      <c r="K913" s="4">
        <v>2638.80004882812</v>
      </c>
      <c r="L913" s="4">
        <v>2638.80004882812</v>
      </c>
      <c r="M913" s="3">
        <v>73</v>
      </c>
      <c r="N913" s="3">
        <v>73</v>
      </c>
      <c r="O913" s="54">
        <v>73</v>
      </c>
    </row>
    <row r="914" spans="2:15" x14ac:dyDescent="0.25">
      <c r="B914" s="7">
        <v>45656</v>
      </c>
      <c r="C914" s="13">
        <v>92643.21</v>
      </c>
      <c r="D914" s="8">
        <v>2617.19995117187</v>
      </c>
      <c r="F914" s="7">
        <v>45656</v>
      </c>
      <c r="G914" s="13">
        <v>92643.21</v>
      </c>
      <c r="H914" s="4">
        <v>92643.21</v>
      </c>
      <c r="I914" s="4">
        <v>92643.21</v>
      </c>
      <c r="J914" s="4">
        <v>2617.19995117187</v>
      </c>
      <c r="K914" s="4">
        <v>2617.19995117187</v>
      </c>
      <c r="L914" s="4">
        <v>2617.19995117187</v>
      </c>
      <c r="M914" s="3">
        <v>65</v>
      </c>
      <c r="N914" s="3">
        <v>65</v>
      </c>
      <c r="O914" s="54">
        <v>65</v>
      </c>
    </row>
    <row r="915" spans="2:15" x14ac:dyDescent="0.25">
      <c r="B915" s="7">
        <v>45657</v>
      </c>
      <c r="C915" s="13">
        <v>93429.2</v>
      </c>
      <c r="D915" s="8">
        <v>2606.10009765625</v>
      </c>
      <c r="F915" s="7">
        <v>45657</v>
      </c>
      <c r="G915" s="13">
        <v>93429.2</v>
      </c>
      <c r="H915" s="4">
        <v>93429.2</v>
      </c>
      <c r="I915" s="4">
        <v>93429.2</v>
      </c>
      <c r="J915" s="4">
        <v>2606.10009765625</v>
      </c>
      <c r="K915" s="4">
        <v>2606.10009765625</v>
      </c>
      <c r="L915" s="4">
        <v>2606.10009765625</v>
      </c>
      <c r="M915" s="3">
        <v>64</v>
      </c>
      <c r="N915" s="3">
        <v>64</v>
      </c>
      <c r="O915" s="54">
        <v>64</v>
      </c>
    </row>
    <row r="916" spans="2:15" x14ac:dyDescent="0.25">
      <c r="B916" s="7">
        <v>45658</v>
      </c>
      <c r="C916" s="13">
        <v>94419.76</v>
      </c>
      <c r="D916" s="8">
        <v>2629.19995117187</v>
      </c>
      <c r="F916" s="7">
        <v>45658</v>
      </c>
      <c r="G916" s="13">
        <v>94419.76</v>
      </c>
      <c r="H916" s="4">
        <v>94419.76</v>
      </c>
      <c r="I916" s="4">
        <v>94419.76</v>
      </c>
      <c r="J916" s="4">
        <v>2629.19995117187</v>
      </c>
      <c r="K916" s="4">
        <v>2629.19995117187</v>
      </c>
      <c r="L916" s="4">
        <v>2629.19995117187</v>
      </c>
      <c r="M916" s="3">
        <v>66</v>
      </c>
      <c r="N916" s="3">
        <v>66</v>
      </c>
      <c r="O916" s="54">
        <v>66</v>
      </c>
    </row>
    <row r="917" spans="2:15" x14ac:dyDescent="0.25">
      <c r="B917" s="7">
        <v>45659</v>
      </c>
      <c r="C917" s="13">
        <v>96886.88</v>
      </c>
      <c r="D917" s="8">
        <v>2606.10009765625</v>
      </c>
      <c r="F917" s="7">
        <v>45659</v>
      </c>
      <c r="G917" s="13">
        <v>96886.88</v>
      </c>
      <c r="H917" s="4">
        <v>96886.88</v>
      </c>
      <c r="I917" s="4">
        <v>96886.88</v>
      </c>
      <c r="J917" s="4">
        <v>2606.10009765625</v>
      </c>
      <c r="K917" s="4">
        <v>2606.10009765625</v>
      </c>
      <c r="L917" s="4">
        <v>2606.10009765625</v>
      </c>
      <c r="M917" s="3">
        <v>70</v>
      </c>
      <c r="N917" s="3">
        <v>70</v>
      </c>
      <c r="O917" s="54">
        <v>70</v>
      </c>
    </row>
    <row r="918" spans="2:15" x14ac:dyDescent="0.25">
      <c r="B918" s="7">
        <v>45660</v>
      </c>
      <c r="C918" s="13">
        <v>98107.43</v>
      </c>
      <c r="D918" s="8">
        <v>2658.89990234375</v>
      </c>
      <c r="F918" s="7">
        <v>45660</v>
      </c>
      <c r="G918" s="13">
        <v>98107.43</v>
      </c>
      <c r="H918" s="4">
        <v>98107.43</v>
      </c>
      <c r="I918" s="4">
        <v>98107.43</v>
      </c>
      <c r="J918" s="4">
        <v>2658.89990234375</v>
      </c>
      <c r="K918" s="4">
        <v>2658.89990234375</v>
      </c>
      <c r="L918" s="4">
        <v>2658.89990234375</v>
      </c>
      <c r="M918" s="3">
        <v>74</v>
      </c>
      <c r="N918" s="3">
        <v>74</v>
      </c>
      <c r="O918" s="54">
        <v>74</v>
      </c>
    </row>
    <row r="919" spans="2:15" x14ac:dyDescent="0.25">
      <c r="B919" s="7">
        <v>45661</v>
      </c>
      <c r="C919" s="13">
        <v>98236.23</v>
      </c>
      <c r="D919" s="8">
        <v>2645</v>
      </c>
      <c r="F919" s="7">
        <v>45661</v>
      </c>
      <c r="G919" s="13">
        <v>98236.23</v>
      </c>
      <c r="H919" s="4">
        <v>98236.23</v>
      </c>
      <c r="I919" s="4">
        <v>98236.23</v>
      </c>
      <c r="J919" s="4">
        <v>2645</v>
      </c>
      <c r="K919" s="4">
        <v>2645</v>
      </c>
      <c r="L919" s="4">
        <v>2645</v>
      </c>
      <c r="M919" s="3">
        <v>73</v>
      </c>
      <c r="N919" s="3">
        <v>73</v>
      </c>
      <c r="O919" s="54">
        <v>73</v>
      </c>
    </row>
    <row r="920" spans="2:15" x14ac:dyDescent="0.25">
      <c r="B920" s="7">
        <v>45662</v>
      </c>
      <c r="C920" s="13">
        <v>98314.96</v>
      </c>
      <c r="D920" s="8">
        <v>2658.89990234375</v>
      </c>
      <c r="F920" s="7">
        <v>45662</v>
      </c>
      <c r="G920" s="13">
        <v>98314.96</v>
      </c>
      <c r="H920" s="4">
        <v>98314.96</v>
      </c>
      <c r="I920" s="4">
        <v>98314.96</v>
      </c>
      <c r="J920" s="4">
        <v>2658.89990234375</v>
      </c>
      <c r="K920" s="4">
        <v>2658.89990234375</v>
      </c>
      <c r="L920" s="4">
        <v>2658.89990234375</v>
      </c>
      <c r="M920" s="3">
        <v>72</v>
      </c>
      <c r="N920" s="3">
        <v>72</v>
      </c>
      <c r="O920" s="54">
        <v>72</v>
      </c>
    </row>
    <row r="921" spans="2:15" x14ac:dyDescent="0.25">
      <c r="B921" s="7">
        <v>45663</v>
      </c>
      <c r="C921" s="13">
        <v>102078.09</v>
      </c>
      <c r="D921" s="8">
        <v>2645</v>
      </c>
      <c r="F921" s="7">
        <v>45663</v>
      </c>
      <c r="G921" s="13">
        <v>102078.09</v>
      </c>
      <c r="H921" s="4">
        <v>102078.09</v>
      </c>
      <c r="I921" s="4">
        <v>102078.09</v>
      </c>
      <c r="J921" s="4">
        <v>2645</v>
      </c>
      <c r="K921" s="4">
        <v>2645</v>
      </c>
      <c r="L921" s="4">
        <v>2645</v>
      </c>
      <c r="M921" s="3">
        <v>76</v>
      </c>
      <c r="N921" s="3">
        <v>76</v>
      </c>
      <c r="O921" s="54">
        <v>76</v>
      </c>
    </row>
    <row r="922" spans="2:15" x14ac:dyDescent="0.25">
      <c r="B922" s="7">
        <v>45664</v>
      </c>
      <c r="C922" s="13">
        <v>96922.7</v>
      </c>
      <c r="D922" s="8">
        <v>2638.39990234375</v>
      </c>
      <c r="F922" s="7">
        <v>45664</v>
      </c>
      <c r="G922" s="13">
        <v>96922.7</v>
      </c>
      <c r="H922" s="4">
        <v>96922.7</v>
      </c>
      <c r="I922" s="4">
        <v>96922.7</v>
      </c>
      <c r="J922" s="4">
        <v>2638.39990234375</v>
      </c>
      <c r="K922" s="4">
        <v>2638.39990234375</v>
      </c>
      <c r="L922" s="4">
        <v>2638.39990234375</v>
      </c>
      <c r="M922" s="3">
        <v>78</v>
      </c>
      <c r="N922" s="3">
        <v>78</v>
      </c>
      <c r="O922" s="54">
        <v>78</v>
      </c>
    </row>
    <row r="923" spans="2:15" x14ac:dyDescent="0.25">
      <c r="B923" s="7">
        <v>45665</v>
      </c>
      <c r="C923" s="13">
        <v>95043.520000000004</v>
      </c>
      <c r="D923" s="8">
        <v>2656.69995117187</v>
      </c>
      <c r="F923" s="7">
        <v>45665</v>
      </c>
      <c r="G923" s="13">
        <v>95043.520000000004</v>
      </c>
      <c r="H923" s="4">
        <v>95043.520000000004</v>
      </c>
      <c r="I923" s="4">
        <v>95043.520000000004</v>
      </c>
      <c r="J923" s="4">
        <v>2656.69995117187</v>
      </c>
      <c r="K923" s="4">
        <v>2656.69995117187</v>
      </c>
      <c r="L923" s="4">
        <v>2656.69995117187</v>
      </c>
      <c r="M923" s="3">
        <v>70</v>
      </c>
      <c r="N923" s="3">
        <v>70</v>
      </c>
      <c r="O923" s="54">
        <v>70</v>
      </c>
    </row>
    <row r="924" spans="2:15" x14ac:dyDescent="0.25">
      <c r="B924" s="7">
        <v>45666</v>
      </c>
      <c r="C924" s="13">
        <v>92484.04</v>
      </c>
      <c r="D924" s="8">
        <v>2664.5</v>
      </c>
      <c r="F924" s="7">
        <v>45666</v>
      </c>
      <c r="G924" s="13">
        <v>92484.04</v>
      </c>
      <c r="H924" s="4">
        <v>92484.04</v>
      </c>
      <c r="I924" s="4">
        <v>92484.04</v>
      </c>
      <c r="J924" s="4">
        <v>2664.5</v>
      </c>
      <c r="K924" s="4">
        <v>2664.5</v>
      </c>
      <c r="L924" s="4">
        <v>2664.5</v>
      </c>
      <c r="M924" s="3">
        <v>69</v>
      </c>
      <c r="N924" s="3">
        <v>69</v>
      </c>
      <c r="O924" s="54">
        <v>69</v>
      </c>
    </row>
    <row r="925" spans="2:15" x14ac:dyDescent="0.25">
      <c r="B925" s="7">
        <v>45667</v>
      </c>
      <c r="C925" s="13">
        <v>94701.45</v>
      </c>
      <c r="D925" s="8">
        <v>2683.80004882812</v>
      </c>
      <c r="F925" s="7">
        <v>45667</v>
      </c>
      <c r="G925" s="13">
        <v>94701.45</v>
      </c>
      <c r="H925" s="4">
        <v>94701.45</v>
      </c>
      <c r="I925" s="4">
        <v>94701.45</v>
      </c>
      <c r="J925" s="4">
        <v>2683.80004882812</v>
      </c>
      <c r="K925" s="4">
        <v>2683.80004882812</v>
      </c>
      <c r="L925" s="4">
        <v>2683.80004882812</v>
      </c>
      <c r="M925" s="3">
        <v>50</v>
      </c>
      <c r="N925" s="3">
        <v>50</v>
      </c>
      <c r="O925" s="54">
        <v>50</v>
      </c>
    </row>
    <row r="926" spans="2:15" x14ac:dyDescent="0.25">
      <c r="B926" s="7">
        <v>45668</v>
      </c>
      <c r="C926" s="13">
        <v>94566.59</v>
      </c>
      <c r="D926" s="8">
        <v>2708.5</v>
      </c>
      <c r="F926" s="7">
        <v>45668</v>
      </c>
      <c r="G926" s="13">
        <v>94566.59</v>
      </c>
      <c r="H926" s="4">
        <v>94566.59</v>
      </c>
      <c r="I926" s="4">
        <v>94566.59</v>
      </c>
      <c r="J926" s="4">
        <v>2708.5</v>
      </c>
      <c r="K926" s="4">
        <v>2708.5</v>
      </c>
      <c r="L926" s="4">
        <v>2708.5</v>
      </c>
      <c r="M926" s="3">
        <v>69</v>
      </c>
      <c r="N926" s="3">
        <v>69</v>
      </c>
      <c r="O926" s="54">
        <v>69</v>
      </c>
    </row>
    <row r="927" spans="2:15" x14ac:dyDescent="0.25">
      <c r="B927" s="7">
        <v>45669</v>
      </c>
      <c r="C927" s="13">
        <v>94488.44</v>
      </c>
      <c r="D927" s="8">
        <v>2683.80004882812</v>
      </c>
      <c r="F927" s="7">
        <v>45669</v>
      </c>
      <c r="G927" s="13">
        <v>94488.44</v>
      </c>
      <c r="H927" s="4">
        <v>94488.44</v>
      </c>
      <c r="I927" s="4">
        <v>94488.44</v>
      </c>
      <c r="J927" s="4">
        <v>2683.80004882812</v>
      </c>
      <c r="K927" s="4">
        <v>2683.80004882812</v>
      </c>
      <c r="L927" s="4">
        <v>2683.80004882812</v>
      </c>
      <c r="M927" s="3">
        <v>62</v>
      </c>
      <c r="N927" s="3">
        <v>62</v>
      </c>
      <c r="O927" s="54">
        <v>62</v>
      </c>
    </row>
    <row r="928" spans="2:15" x14ac:dyDescent="0.25">
      <c r="B928" s="7">
        <v>45670</v>
      </c>
      <c r="C928" s="13">
        <v>94516.52</v>
      </c>
      <c r="D928" s="8">
        <v>2708.5</v>
      </c>
      <c r="F928" s="7">
        <v>45670</v>
      </c>
      <c r="G928" s="13">
        <v>94516.52</v>
      </c>
      <c r="H928" s="4">
        <v>94516.52</v>
      </c>
      <c r="I928" s="4">
        <v>94516.52</v>
      </c>
      <c r="J928" s="4">
        <v>2708.5</v>
      </c>
      <c r="K928" s="4">
        <v>2708.5</v>
      </c>
      <c r="L928" s="4">
        <v>2708.5</v>
      </c>
      <c r="M928" s="3">
        <v>61</v>
      </c>
      <c r="N928" s="3">
        <v>61</v>
      </c>
      <c r="O928" s="54">
        <v>61</v>
      </c>
    </row>
    <row r="929" spans="2:15" x14ac:dyDescent="0.25">
      <c r="B929" s="7">
        <v>45671</v>
      </c>
      <c r="C929" s="13">
        <v>96534.05</v>
      </c>
      <c r="D929" s="8">
        <v>2673.5</v>
      </c>
      <c r="F929" s="7">
        <v>45671</v>
      </c>
      <c r="G929" s="13">
        <v>96534.05</v>
      </c>
      <c r="H929" s="4">
        <v>96534.05</v>
      </c>
      <c r="I929" s="4">
        <v>96534.05</v>
      </c>
      <c r="J929" s="4">
        <v>2673.5</v>
      </c>
      <c r="K929" s="4">
        <v>2673.5</v>
      </c>
      <c r="L929" s="4">
        <v>2673.5</v>
      </c>
      <c r="M929" s="3">
        <v>63</v>
      </c>
      <c r="N929" s="3">
        <v>63</v>
      </c>
      <c r="O929" s="54">
        <v>63</v>
      </c>
    </row>
    <row r="930" spans="2:15" x14ac:dyDescent="0.25">
      <c r="B930" s="7">
        <v>45672</v>
      </c>
      <c r="C930" s="13">
        <v>100504.49</v>
      </c>
      <c r="D930" s="8">
        <v>2677.5</v>
      </c>
      <c r="F930" s="7">
        <v>45672</v>
      </c>
      <c r="G930" s="13">
        <v>100504.49</v>
      </c>
      <c r="H930" s="4">
        <v>100504.49</v>
      </c>
      <c r="I930" s="4">
        <v>100504.49</v>
      </c>
      <c r="J930" s="4">
        <v>2677.5</v>
      </c>
      <c r="K930" s="4">
        <v>2677.5</v>
      </c>
      <c r="L930" s="4">
        <v>2677.5</v>
      </c>
      <c r="M930" s="3">
        <v>70</v>
      </c>
      <c r="N930" s="3">
        <v>70</v>
      </c>
      <c r="O930" s="54">
        <v>70</v>
      </c>
    </row>
    <row r="931" spans="2:15" x14ac:dyDescent="0.25">
      <c r="B931" s="7">
        <v>45673</v>
      </c>
      <c r="C931" s="13">
        <v>99756.91</v>
      </c>
      <c r="D931" s="8">
        <v>2712.5</v>
      </c>
      <c r="F931" s="7">
        <v>45673</v>
      </c>
      <c r="G931" s="13">
        <v>99756.91</v>
      </c>
      <c r="H931" s="4">
        <v>99756.91</v>
      </c>
      <c r="I931" s="4">
        <v>99756.91</v>
      </c>
      <c r="J931" s="4">
        <v>2712.5</v>
      </c>
      <c r="K931" s="4">
        <v>2712.5</v>
      </c>
      <c r="L931" s="4">
        <v>2712.5</v>
      </c>
      <c r="M931" s="3">
        <v>75</v>
      </c>
      <c r="N931" s="3">
        <v>75</v>
      </c>
      <c r="O931" s="54">
        <v>75</v>
      </c>
    </row>
    <row r="932" spans="2:15" x14ac:dyDescent="0.25">
      <c r="B932" s="7">
        <v>45674</v>
      </c>
      <c r="C932" s="13">
        <v>104462.04</v>
      </c>
      <c r="D932" s="8">
        <v>2746.39990234375</v>
      </c>
      <c r="F932" s="7">
        <v>45674</v>
      </c>
      <c r="G932" s="13">
        <v>104462.04</v>
      </c>
      <c r="H932" s="4">
        <v>104462.04</v>
      </c>
      <c r="I932" s="4">
        <v>104462.04</v>
      </c>
      <c r="J932" s="4">
        <v>2746.39990234375</v>
      </c>
      <c r="K932" s="4">
        <v>2746.39990234375</v>
      </c>
      <c r="L932" s="4">
        <v>2746.39990234375</v>
      </c>
      <c r="M932" s="3">
        <v>75</v>
      </c>
      <c r="N932" s="3">
        <v>75</v>
      </c>
      <c r="O932" s="54">
        <v>75</v>
      </c>
    </row>
    <row r="933" spans="2:15" x14ac:dyDescent="0.25">
      <c r="B933" s="7">
        <v>45675</v>
      </c>
      <c r="C933" s="13">
        <v>104408.07</v>
      </c>
      <c r="D933" s="8">
        <v>2744.30004882812</v>
      </c>
      <c r="F933" s="7">
        <v>45675</v>
      </c>
      <c r="G933" s="13">
        <v>104408.07</v>
      </c>
      <c r="H933" s="4">
        <v>104408.07</v>
      </c>
      <c r="I933" s="4">
        <v>104408.07</v>
      </c>
      <c r="J933" s="4">
        <v>2744.30004882812</v>
      </c>
      <c r="K933" s="4">
        <v>2744.30004882812</v>
      </c>
      <c r="L933" s="4">
        <v>2744.30004882812</v>
      </c>
      <c r="M933" s="3">
        <v>77</v>
      </c>
      <c r="N933" s="3">
        <v>77</v>
      </c>
      <c r="O933" s="54">
        <v>77</v>
      </c>
    </row>
    <row r="934" spans="2:15" x14ac:dyDescent="0.25">
      <c r="B934" s="7">
        <v>45676</v>
      </c>
      <c r="C934" s="13">
        <v>101089.61</v>
      </c>
      <c r="D934" s="8">
        <v>2746.39990234375</v>
      </c>
      <c r="F934" s="7">
        <v>45676</v>
      </c>
      <c r="G934" s="13">
        <v>101089.61</v>
      </c>
      <c r="H934" s="4">
        <v>101089.61</v>
      </c>
      <c r="I934" s="4">
        <v>101089.61</v>
      </c>
      <c r="J934" s="4">
        <v>2746.39990234375</v>
      </c>
      <c r="K934" s="4">
        <v>2746.39990234375</v>
      </c>
      <c r="L934" s="4">
        <v>2746.39990234375</v>
      </c>
      <c r="M934" s="3">
        <v>77</v>
      </c>
      <c r="N934" s="3">
        <v>77</v>
      </c>
      <c r="O934" s="54">
        <v>77</v>
      </c>
    </row>
    <row r="935" spans="2:15" x14ac:dyDescent="0.25">
      <c r="B935" s="7">
        <v>45677</v>
      </c>
      <c r="C935" s="13">
        <v>102016.66</v>
      </c>
      <c r="D935" s="8">
        <v>2744.30004882812</v>
      </c>
      <c r="F935" s="7">
        <v>45677</v>
      </c>
      <c r="G935" s="13">
        <v>102016.66</v>
      </c>
      <c r="H935" s="4">
        <v>102016.66</v>
      </c>
      <c r="I935" s="4">
        <v>102016.66</v>
      </c>
      <c r="J935" s="4">
        <v>2744.30004882812</v>
      </c>
      <c r="K935" s="4">
        <v>2744.30004882812</v>
      </c>
      <c r="L935" s="4">
        <v>2744.30004882812</v>
      </c>
      <c r="M935" s="3">
        <v>76</v>
      </c>
      <c r="N935" s="3">
        <v>76</v>
      </c>
      <c r="O935" s="54">
        <v>76</v>
      </c>
    </row>
    <row r="936" spans="2:15" x14ac:dyDescent="0.25">
      <c r="B936" s="7">
        <v>45678</v>
      </c>
      <c r="C936" s="13">
        <v>106146.27</v>
      </c>
      <c r="D936" s="8">
        <v>2746.39990234375</v>
      </c>
      <c r="F936" s="7">
        <v>45678</v>
      </c>
      <c r="G936" s="13">
        <v>106146.27</v>
      </c>
      <c r="H936" s="4">
        <v>106146.27</v>
      </c>
      <c r="I936" s="4">
        <v>106146.27</v>
      </c>
      <c r="J936" s="4">
        <v>2746.39990234375</v>
      </c>
      <c r="K936" s="4">
        <v>2746.39990234375</v>
      </c>
      <c r="L936" s="4">
        <v>2746.39990234375</v>
      </c>
      <c r="M936" s="3">
        <v>76</v>
      </c>
      <c r="N936" s="3">
        <v>76</v>
      </c>
      <c r="O936" s="54">
        <v>76</v>
      </c>
    </row>
    <row r="937" spans="2:15" x14ac:dyDescent="0.25">
      <c r="B937" s="7">
        <v>45679</v>
      </c>
      <c r="C937" s="13">
        <v>103653.07</v>
      </c>
      <c r="D937" s="8">
        <v>2755</v>
      </c>
      <c r="F937" s="7">
        <v>45679</v>
      </c>
      <c r="G937" s="13">
        <v>103653.07</v>
      </c>
      <c r="H937" s="4">
        <v>103653.07</v>
      </c>
      <c r="I937" s="4">
        <v>103653.07</v>
      </c>
      <c r="J937" s="4">
        <v>2755</v>
      </c>
      <c r="K937" s="4">
        <v>2755</v>
      </c>
      <c r="L937" s="4">
        <v>2755</v>
      </c>
      <c r="M937" s="3">
        <v>84</v>
      </c>
      <c r="N937" s="3">
        <v>84</v>
      </c>
      <c r="O937" s="54">
        <v>84</v>
      </c>
    </row>
    <row r="938" spans="2:15" x14ac:dyDescent="0.25">
      <c r="B938" s="7">
        <v>45680</v>
      </c>
      <c r="C938" s="13">
        <v>103960.17</v>
      </c>
      <c r="D938" s="8">
        <v>2767.60009765625</v>
      </c>
      <c r="F938" s="7">
        <v>45680</v>
      </c>
      <c r="G938" s="13">
        <v>103960.17</v>
      </c>
      <c r="H938" s="4">
        <v>103960.17</v>
      </c>
      <c r="I938" s="4">
        <v>103960.17</v>
      </c>
      <c r="J938" s="4">
        <v>2767.60009765625</v>
      </c>
      <c r="K938" s="4">
        <v>2767.60009765625</v>
      </c>
      <c r="L938" s="4">
        <v>2767.60009765625</v>
      </c>
      <c r="M938" s="3">
        <v>75</v>
      </c>
      <c r="N938" s="3">
        <v>75</v>
      </c>
      <c r="O938" s="54">
        <v>75</v>
      </c>
    </row>
    <row r="939" spans="2:15" x14ac:dyDescent="0.25">
      <c r="B939" s="7">
        <v>45681</v>
      </c>
      <c r="C939" s="13">
        <v>104819.48</v>
      </c>
      <c r="D939" s="8">
        <v>2763.10009765625</v>
      </c>
      <c r="F939" s="7">
        <v>45681</v>
      </c>
      <c r="G939" s="13">
        <v>104819.48</v>
      </c>
      <c r="H939" s="4">
        <v>104819.48</v>
      </c>
      <c r="I939" s="4">
        <v>104819.48</v>
      </c>
      <c r="J939" s="4">
        <v>2763.10009765625</v>
      </c>
      <c r="K939" s="4">
        <v>2763.10009765625</v>
      </c>
      <c r="L939" s="4">
        <v>2763.10009765625</v>
      </c>
      <c r="M939" s="3">
        <v>75</v>
      </c>
      <c r="N939" s="3">
        <v>75</v>
      </c>
      <c r="O939" s="54">
        <v>75</v>
      </c>
    </row>
    <row r="940" spans="2:15" x14ac:dyDescent="0.25">
      <c r="B940" s="7">
        <v>45682</v>
      </c>
      <c r="C940" s="13">
        <v>104714.65</v>
      </c>
      <c r="D940" s="8">
        <v>2777.30004882812</v>
      </c>
      <c r="F940" s="7">
        <v>45682</v>
      </c>
      <c r="G940" s="13">
        <v>104714.65</v>
      </c>
      <c r="H940" s="4">
        <v>104714.65</v>
      </c>
      <c r="I940" s="4">
        <v>104714.65</v>
      </c>
      <c r="J940" s="4">
        <v>2777.30004882812</v>
      </c>
      <c r="K940" s="4">
        <v>2777.30004882812</v>
      </c>
      <c r="L940" s="4">
        <v>2777.30004882812</v>
      </c>
      <c r="M940" s="3">
        <v>75</v>
      </c>
      <c r="N940" s="3">
        <v>75</v>
      </c>
      <c r="O940" s="54">
        <v>75</v>
      </c>
    </row>
    <row r="941" spans="2:15" x14ac:dyDescent="0.25">
      <c r="B941" s="7">
        <v>45683</v>
      </c>
      <c r="C941" s="13">
        <v>102682.5</v>
      </c>
      <c r="D941" s="8">
        <v>2763.10009765625</v>
      </c>
      <c r="F941" s="7">
        <v>45683</v>
      </c>
      <c r="G941" s="13">
        <v>102682.5</v>
      </c>
      <c r="H941" s="4">
        <v>102682.5</v>
      </c>
      <c r="I941" s="4">
        <v>102682.5</v>
      </c>
      <c r="J941" s="4">
        <v>2763.10009765625</v>
      </c>
      <c r="K941" s="4">
        <v>2763.10009765625</v>
      </c>
      <c r="L941" s="4">
        <v>2763.10009765625</v>
      </c>
      <c r="M941" s="3">
        <v>73</v>
      </c>
      <c r="N941" s="3">
        <v>73</v>
      </c>
      <c r="O941" s="54">
        <v>73</v>
      </c>
    </row>
    <row r="942" spans="2:15" x14ac:dyDescent="0.25">
      <c r="B942" s="7">
        <v>45684</v>
      </c>
      <c r="C942" s="13">
        <v>102087.69</v>
      </c>
      <c r="D942" s="8">
        <v>2777.30004882812</v>
      </c>
      <c r="F942" s="7">
        <v>45684</v>
      </c>
      <c r="G942" s="13">
        <v>102087.69</v>
      </c>
      <c r="H942" s="4">
        <v>102087.69</v>
      </c>
      <c r="I942" s="4">
        <v>102087.69</v>
      </c>
      <c r="J942" s="4">
        <v>2777.30004882812</v>
      </c>
      <c r="K942" s="4">
        <v>2777.30004882812</v>
      </c>
      <c r="L942" s="4">
        <v>2777.30004882812</v>
      </c>
      <c r="M942" s="3">
        <v>71</v>
      </c>
      <c r="N942" s="3">
        <v>71</v>
      </c>
      <c r="O942" s="54">
        <v>71</v>
      </c>
    </row>
    <row r="943" spans="2:15" x14ac:dyDescent="0.25">
      <c r="B943" s="7">
        <v>45685</v>
      </c>
      <c r="C943" s="13">
        <v>101332.48</v>
      </c>
      <c r="D943" s="8">
        <v>2737.5</v>
      </c>
      <c r="F943" s="7">
        <v>45685</v>
      </c>
      <c r="G943" s="13">
        <v>101332.48</v>
      </c>
      <c r="H943" s="4">
        <v>101332.48</v>
      </c>
      <c r="I943" s="4">
        <v>101332.48</v>
      </c>
      <c r="J943" s="4">
        <v>2737.5</v>
      </c>
      <c r="K943" s="4">
        <v>2737.5</v>
      </c>
      <c r="L943" s="4">
        <v>2737.5</v>
      </c>
      <c r="M943" s="3">
        <v>72</v>
      </c>
      <c r="N943" s="3">
        <v>72</v>
      </c>
      <c r="O943" s="54">
        <v>72</v>
      </c>
    </row>
    <row r="944" spans="2:15" x14ac:dyDescent="0.25">
      <c r="B944" s="7">
        <v>45686</v>
      </c>
      <c r="C944" s="13">
        <v>103703.21</v>
      </c>
      <c r="D944" s="8">
        <v>2766.80004882812</v>
      </c>
      <c r="F944" s="7">
        <v>45686</v>
      </c>
      <c r="G944" s="13">
        <v>103703.21</v>
      </c>
      <c r="H944" s="4">
        <v>103703.21</v>
      </c>
      <c r="I944" s="4">
        <v>103703.21</v>
      </c>
      <c r="J944" s="4">
        <v>2766.80004882812</v>
      </c>
      <c r="K944" s="4">
        <v>2766.80004882812</v>
      </c>
      <c r="L944" s="4">
        <v>2766.80004882812</v>
      </c>
      <c r="M944" s="3">
        <v>72</v>
      </c>
      <c r="N944" s="3">
        <v>72</v>
      </c>
      <c r="O944" s="54">
        <v>72</v>
      </c>
    </row>
    <row r="945" spans="2:15" x14ac:dyDescent="0.25">
      <c r="B945" s="7">
        <v>45687</v>
      </c>
      <c r="C945" s="13">
        <v>104735.3</v>
      </c>
      <c r="D945" s="8">
        <v>2769.10009765625</v>
      </c>
      <c r="F945" s="7">
        <v>45687</v>
      </c>
      <c r="G945" s="13">
        <v>104735.3</v>
      </c>
      <c r="H945" s="4">
        <v>104735.3</v>
      </c>
      <c r="I945" s="4">
        <v>104735.3</v>
      </c>
      <c r="J945" s="4">
        <v>2769.10009765625</v>
      </c>
      <c r="K945" s="4">
        <v>2769.10009765625</v>
      </c>
      <c r="L945" s="4">
        <v>2769.10009765625</v>
      </c>
      <c r="M945" s="3">
        <v>70</v>
      </c>
      <c r="N945" s="3">
        <v>70</v>
      </c>
      <c r="O945" s="54">
        <v>70</v>
      </c>
    </row>
    <row r="946" spans="2:15" x14ac:dyDescent="0.25">
      <c r="B946" s="7">
        <v>45688</v>
      </c>
      <c r="C946" s="13">
        <v>102405.02</v>
      </c>
      <c r="D946" s="8">
        <v>2823</v>
      </c>
      <c r="F946" s="7">
        <v>45688</v>
      </c>
      <c r="G946" s="13">
        <v>102405.02</v>
      </c>
      <c r="H946" s="4">
        <v>102405.02</v>
      </c>
      <c r="I946" s="4">
        <v>102405.02</v>
      </c>
      <c r="J946" s="4">
        <v>2823</v>
      </c>
      <c r="K946" s="4">
        <v>2823</v>
      </c>
      <c r="L946" s="4">
        <v>2823</v>
      </c>
      <c r="M946" s="3">
        <v>76</v>
      </c>
      <c r="N946" s="3">
        <v>76</v>
      </c>
      <c r="O946" s="54">
        <v>76</v>
      </c>
    </row>
    <row r="947" spans="2:15" x14ac:dyDescent="0.25">
      <c r="B947" s="7">
        <v>45689</v>
      </c>
      <c r="C947" s="13">
        <v>100655.91</v>
      </c>
      <c r="D947" s="8">
        <v>2812.5</v>
      </c>
      <c r="F947" s="7">
        <v>45689</v>
      </c>
      <c r="G947" s="13">
        <v>100655.91</v>
      </c>
      <c r="H947" s="4">
        <v>100655.91</v>
      </c>
      <c r="I947" s="4">
        <v>100655.91</v>
      </c>
      <c r="J947" s="4">
        <v>2812.5</v>
      </c>
      <c r="K947" s="4">
        <v>2812.5</v>
      </c>
      <c r="L947" s="4">
        <v>2812.5</v>
      </c>
      <c r="M947" s="3">
        <v>68</v>
      </c>
      <c r="N947" s="3">
        <v>68</v>
      </c>
      <c r="O947" s="54">
        <v>68</v>
      </c>
    </row>
    <row r="948" spans="2:15" x14ac:dyDescent="0.25">
      <c r="B948" s="7">
        <v>45690</v>
      </c>
      <c r="C948" s="13">
        <v>97688.98</v>
      </c>
      <c r="D948" s="8">
        <v>2823</v>
      </c>
      <c r="F948" s="7">
        <v>45690</v>
      </c>
      <c r="G948" s="13">
        <v>97688.98</v>
      </c>
      <c r="H948" s="4">
        <v>97688.98</v>
      </c>
      <c r="I948" s="4">
        <v>97688.98</v>
      </c>
      <c r="J948" s="4">
        <v>2823</v>
      </c>
      <c r="K948" s="4">
        <v>2823</v>
      </c>
      <c r="L948" s="4">
        <v>2823</v>
      </c>
      <c r="M948" s="3">
        <v>60</v>
      </c>
      <c r="N948" s="3">
        <v>60</v>
      </c>
      <c r="O948" s="54">
        <v>60</v>
      </c>
    </row>
    <row r="949" spans="2:15" x14ac:dyDescent="0.25">
      <c r="B949" s="7">
        <v>45691</v>
      </c>
      <c r="C949" s="13">
        <v>101405.42</v>
      </c>
      <c r="D949" s="8">
        <v>2812.5</v>
      </c>
      <c r="F949" s="7">
        <v>45691</v>
      </c>
      <c r="G949" s="13">
        <v>101405.42</v>
      </c>
      <c r="H949" s="4">
        <v>101405.42</v>
      </c>
      <c r="I949" s="4">
        <v>101405.42</v>
      </c>
      <c r="J949" s="4">
        <v>2812.5</v>
      </c>
      <c r="K949" s="4">
        <v>2812.5</v>
      </c>
      <c r="L949" s="4">
        <v>2812.5</v>
      </c>
      <c r="M949" s="3">
        <v>44</v>
      </c>
      <c r="N949" s="3">
        <v>44</v>
      </c>
      <c r="O949" s="54">
        <v>44</v>
      </c>
    </row>
    <row r="950" spans="2:15" x14ac:dyDescent="0.25">
      <c r="B950" s="7">
        <v>45692</v>
      </c>
      <c r="C950" s="13">
        <v>97871.82</v>
      </c>
      <c r="D950" s="8">
        <v>2833.89990234375</v>
      </c>
      <c r="F950" s="7">
        <v>45692</v>
      </c>
      <c r="G950" s="13">
        <v>97871.82</v>
      </c>
      <c r="H950" s="4">
        <v>97871.82</v>
      </c>
      <c r="I950" s="4">
        <v>97871.82</v>
      </c>
      <c r="J950" s="4">
        <v>2833.89990234375</v>
      </c>
      <c r="K950" s="4">
        <v>2833.89990234375</v>
      </c>
      <c r="L950" s="4">
        <v>2833.89990234375</v>
      </c>
      <c r="M950" s="3">
        <v>72</v>
      </c>
      <c r="N950" s="3">
        <v>72</v>
      </c>
      <c r="O950" s="54">
        <v>72</v>
      </c>
    </row>
    <row r="951" spans="2:15" x14ac:dyDescent="0.25">
      <c r="B951" s="7">
        <v>45693</v>
      </c>
      <c r="C951" s="13">
        <v>96615.45</v>
      </c>
      <c r="D951" s="8">
        <v>2853.30004882812</v>
      </c>
      <c r="F951" s="7">
        <v>45693</v>
      </c>
      <c r="G951" s="13">
        <v>96615.45</v>
      </c>
      <c r="H951" s="4">
        <v>96615.45</v>
      </c>
      <c r="I951" s="4">
        <v>96615.45</v>
      </c>
      <c r="J951" s="4">
        <v>2853.30004882812</v>
      </c>
      <c r="K951" s="4">
        <v>2853.30004882812</v>
      </c>
      <c r="L951" s="4">
        <v>2853.30004882812</v>
      </c>
      <c r="M951" s="3">
        <v>54</v>
      </c>
      <c r="N951" s="3">
        <v>54</v>
      </c>
      <c r="O951" s="54">
        <v>54</v>
      </c>
    </row>
    <row r="952" spans="2:15" x14ac:dyDescent="0.25">
      <c r="B952" s="7">
        <v>45694</v>
      </c>
      <c r="C952" s="13">
        <v>96593.3</v>
      </c>
      <c r="D952" s="8">
        <v>2871.60009765625</v>
      </c>
      <c r="F952" s="7">
        <v>45694</v>
      </c>
      <c r="G952" s="13">
        <v>96593.3</v>
      </c>
      <c r="H952" s="4">
        <v>96593.3</v>
      </c>
      <c r="I952" s="4">
        <v>96593.3</v>
      </c>
      <c r="J952" s="4">
        <v>2871.60009765625</v>
      </c>
      <c r="K952" s="4">
        <v>2871.60009765625</v>
      </c>
      <c r="L952" s="4">
        <v>2871.60009765625</v>
      </c>
      <c r="M952" s="3">
        <v>49</v>
      </c>
      <c r="N952" s="3">
        <v>49</v>
      </c>
      <c r="O952" s="54">
        <v>49</v>
      </c>
    </row>
    <row r="953" spans="2:15" x14ac:dyDescent="0.25">
      <c r="B953" s="7">
        <v>45695</v>
      </c>
      <c r="C953" s="13">
        <v>96529.09</v>
      </c>
      <c r="D953" s="8">
        <v>2856</v>
      </c>
      <c r="F953" s="7">
        <v>45695</v>
      </c>
      <c r="G953" s="13">
        <v>96529.09</v>
      </c>
      <c r="H953" s="4">
        <v>96529.09</v>
      </c>
      <c r="I953" s="4">
        <v>96529.09</v>
      </c>
      <c r="J953" s="4">
        <v>2856</v>
      </c>
      <c r="K953" s="4">
        <v>2856</v>
      </c>
      <c r="L953" s="4">
        <v>2856</v>
      </c>
      <c r="M953" s="3">
        <v>44</v>
      </c>
      <c r="N953" s="3">
        <v>44</v>
      </c>
      <c r="O953" s="54">
        <v>44</v>
      </c>
    </row>
    <row r="954" spans="2:15" x14ac:dyDescent="0.25">
      <c r="B954" s="7">
        <v>45696</v>
      </c>
      <c r="C954" s="13">
        <v>96482.45</v>
      </c>
      <c r="D954" s="8">
        <v>2867.30004882812</v>
      </c>
      <c r="F954" s="7">
        <v>45696</v>
      </c>
      <c r="G954" s="13">
        <v>96482.45</v>
      </c>
      <c r="H954" s="4">
        <v>96482.45</v>
      </c>
      <c r="I954" s="4">
        <v>96482.45</v>
      </c>
      <c r="J954" s="4">
        <v>2867.30004882812</v>
      </c>
      <c r="K954" s="4">
        <v>2867.30004882812</v>
      </c>
      <c r="L954" s="4">
        <v>2867.30004882812</v>
      </c>
      <c r="M954" s="3">
        <v>44</v>
      </c>
      <c r="N954" s="3">
        <v>44</v>
      </c>
      <c r="O954" s="54">
        <v>44</v>
      </c>
    </row>
    <row r="955" spans="2:15" x14ac:dyDescent="0.25">
      <c r="B955" s="7">
        <v>45697</v>
      </c>
      <c r="C955" s="13">
        <v>96500.09</v>
      </c>
      <c r="D955" s="8">
        <v>2856</v>
      </c>
      <c r="F955" s="7">
        <v>45697</v>
      </c>
      <c r="G955" s="13">
        <v>96500.09</v>
      </c>
      <c r="H955" s="4">
        <v>96500.09</v>
      </c>
      <c r="I955" s="4">
        <v>96500.09</v>
      </c>
      <c r="J955" s="4">
        <v>2856</v>
      </c>
      <c r="K955" s="4">
        <v>2856</v>
      </c>
      <c r="L955" s="4">
        <v>2856</v>
      </c>
      <c r="M955" s="3">
        <v>46</v>
      </c>
      <c r="N955" s="3">
        <v>46</v>
      </c>
      <c r="O955" s="54">
        <v>46</v>
      </c>
    </row>
    <row r="956" spans="2:15" x14ac:dyDescent="0.25">
      <c r="B956" s="7">
        <v>45698</v>
      </c>
      <c r="C956" s="13">
        <v>97437.55</v>
      </c>
      <c r="D956" s="8">
        <v>2867.30004882812</v>
      </c>
      <c r="F956" s="7">
        <v>45698</v>
      </c>
      <c r="G956" s="13">
        <v>97437.55</v>
      </c>
      <c r="H956" s="4">
        <v>97437.55</v>
      </c>
      <c r="I956" s="4">
        <v>97437.55</v>
      </c>
      <c r="J956" s="4">
        <v>2867.30004882812</v>
      </c>
      <c r="K956" s="4">
        <v>2867.30004882812</v>
      </c>
      <c r="L956" s="4">
        <v>2867.30004882812</v>
      </c>
      <c r="M956" s="3">
        <v>43</v>
      </c>
      <c r="N956" s="3">
        <v>43</v>
      </c>
      <c r="O956" s="54">
        <v>43</v>
      </c>
    </row>
    <row r="957" spans="2:15" x14ac:dyDescent="0.25">
      <c r="B957" s="7">
        <v>45699</v>
      </c>
      <c r="C957" s="13">
        <v>95747.43</v>
      </c>
      <c r="D957" s="8">
        <v>2914.30004882812</v>
      </c>
      <c r="F957" s="7">
        <v>45699</v>
      </c>
      <c r="G957" s="13">
        <v>95747.43</v>
      </c>
      <c r="H957" s="4">
        <v>95747.43</v>
      </c>
      <c r="I957" s="4">
        <v>95747.43</v>
      </c>
      <c r="J957" s="4">
        <v>2914.30004882812</v>
      </c>
      <c r="K957" s="4">
        <v>2914.30004882812</v>
      </c>
      <c r="L957" s="4">
        <v>2914.30004882812</v>
      </c>
      <c r="M957" s="3">
        <v>47</v>
      </c>
      <c r="N957" s="3">
        <v>47</v>
      </c>
      <c r="O957" s="54">
        <v>47</v>
      </c>
    </row>
    <row r="958" spans="2:15" x14ac:dyDescent="0.25">
      <c r="B958" s="7">
        <v>45700</v>
      </c>
      <c r="C958" s="13">
        <v>97885.86</v>
      </c>
      <c r="D958" s="8">
        <v>2912.5</v>
      </c>
      <c r="F958" s="7">
        <v>45700</v>
      </c>
      <c r="G958" s="13">
        <v>97885.86</v>
      </c>
      <c r="H958" s="4">
        <v>97885.86</v>
      </c>
      <c r="I958" s="4">
        <v>97885.86</v>
      </c>
      <c r="J958" s="4">
        <v>2912.5</v>
      </c>
      <c r="K958" s="4">
        <v>2912.5</v>
      </c>
      <c r="L958" s="4">
        <v>2912.5</v>
      </c>
      <c r="M958" s="3">
        <v>46</v>
      </c>
      <c r="N958" s="3">
        <v>46</v>
      </c>
      <c r="O958" s="54">
        <v>46</v>
      </c>
    </row>
    <row r="959" spans="2:15" x14ac:dyDescent="0.25">
      <c r="B959" s="7">
        <v>45701</v>
      </c>
      <c r="C959" s="13">
        <v>96623.87</v>
      </c>
      <c r="D959" s="8">
        <v>2909</v>
      </c>
      <c r="F959" s="7">
        <v>45701</v>
      </c>
      <c r="G959" s="13">
        <v>96623.87</v>
      </c>
      <c r="H959" s="4">
        <v>96623.87</v>
      </c>
      <c r="I959" s="4">
        <v>96623.87</v>
      </c>
      <c r="J959" s="4">
        <v>2909</v>
      </c>
      <c r="K959" s="4">
        <v>2909</v>
      </c>
      <c r="L959" s="4">
        <v>2909</v>
      </c>
      <c r="M959" s="3">
        <v>50</v>
      </c>
      <c r="N959" s="3">
        <v>50</v>
      </c>
      <c r="O959" s="54">
        <v>50</v>
      </c>
    </row>
    <row r="960" spans="2:15" x14ac:dyDescent="0.25">
      <c r="B960" s="7">
        <v>45702</v>
      </c>
      <c r="C960" s="13">
        <v>97508.97</v>
      </c>
      <c r="D960" s="8">
        <v>2925.89990234375</v>
      </c>
      <c r="F960" s="7">
        <v>45702</v>
      </c>
      <c r="G960" s="13">
        <v>97508.97</v>
      </c>
      <c r="H960" s="4">
        <v>97508.97</v>
      </c>
      <c r="I960" s="4">
        <v>97508.97</v>
      </c>
      <c r="J960" s="4">
        <v>2925.89990234375</v>
      </c>
      <c r="K960" s="4">
        <v>2925.89990234375</v>
      </c>
      <c r="L960" s="4">
        <v>2925.89990234375</v>
      </c>
      <c r="M960" s="3">
        <v>48</v>
      </c>
      <c r="N960" s="3">
        <v>48</v>
      </c>
      <c r="O960" s="54">
        <v>48</v>
      </c>
    </row>
    <row r="961" spans="2:15" x14ac:dyDescent="0.25">
      <c r="B961" s="7">
        <v>45703</v>
      </c>
      <c r="C961" s="13">
        <v>97580.35</v>
      </c>
      <c r="D961" s="8">
        <v>2883.60009765625</v>
      </c>
      <c r="F961" s="7">
        <v>45703</v>
      </c>
      <c r="G961" s="13">
        <v>97580.35</v>
      </c>
      <c r="H961" s="4">
        <v>97580.35</v>
      </c>
      <c r="I961" s="4">
        <v>97580.35</v>
      </c>
      <c r="J961" s="4">
        <v>2883.60009765625</v>
      </c>
      <c r="K961" s="4">
        <v>2883.60009765625</v>
      </c>
      <c r="L961" s="4">
        <v>2883.60009765625</v>
      </c>
      <c r="M961" s="3">
        <v>50</v>
      </c>
      <c r="N961" s="3">
        <v>50</v>
      </c>
      <c r="O961" s="54">
        <v>50</v>
      </c>
    </row>
    <row r="962" spans="2:15" x14ac:dyDescent="0.25">
      <c r="B962" s="7">
        <v>45704</v>
      </c>
      <c r="C962" s="13">
        <v>96175.03</v>
      </c>
      <c r="D962" s="8">
        <v>2925.89990234375</v>
      </c>
      <c r="F962" s="7">
        <v>45704</v>
      </c>
      <c r="G962" s="13">
        <v>96175.03</v>
      </c>
      <c r="H962" s="4">
        <v>96175.03</v>
      </c>
      <c r="I962" s="4">
        <v>96175.03</v>
      </c>
      <c r="J962" s="4">
        <v>2925.89990234375</v>
      </c>
      <c r="K962" s="4">
        <v>2925.89990234375</v>
      </c>
      <c r="L962" s="4">
        <v>2925.89990234375</v>
      </c>
      <c r="M962" s="3">
        <v>54</v>
      </c>
      <c r="N962" s="3">
        <v>54</v>
      </c>
      <c r="O962" s="54">
        <v>54</v>
      </c>
    </row>
    <row r="963" spans="2:15" x14ac:dyDescent="0.25">
      <c r="B963" s="7">
        <v>45705</v>
      </c>
      <c r="C963" s="13">
        <v>95773.38</v>
      </c>
      <c r="D963" s="8">
        <v>2883.60009765625</v>
      </c>
      <c r="F963" s="7">
        <v>45705</v>
      </c>
      <c r="G963" s="13">
        <v>95773.38</v>
      </c>
      <c r="H963" s="4">
        <v>95773.38</v>
      </c>
      <c r="I963" s="4">
        <v>95773.38</v>
      </c>
      <c r="J963" s="4">
        <v>2883.60009765625</v>
      </c>
      <c r="K963" s="4">
        <v>2883.60009765625</v>
      </c>
      <c r="L963" s="4">
        <v>2883.60009765625</v>
      </c>
      <c r="M963" s="3">
        <v>51</v>
      </c>
      <c r="N963" s="3">
        <v>51</v>
      </c>
      <c r="O963" s="54">
        <v>51</v>
      </c>
    </row>
    <row r="964" spans="2:15" x14ac:dyDescent="0.25">
      <c r="B964" s="7">
        <v>45706</v>
      </c>
      <c r="C964" s="13">
        <v>95539.55</v>
      </c>
      <c r="D964" s="8">
        <v>2925.89990234375</v>
      </c>
      <c r="F964" s="7">
        <v>45706</v>
      </c>
      <c r="G964" s="13">
        <v>95539.55</v>
      </c>
      <c r="H964" s="4">
        <v>95539.55</v>
      </c>
      <c r="I964" s="4">
        <v>95539.55</v>
      </c>
      <c r="J964" s="4">
        <v>2925.89990234375</v>
      </c>
      <c r="K964" s="4">
        <v>2925.89990234375</v>
      </c>
      <c r="L964" s="4">
        <v>2925.89990234375</v>
      </c>
      <c r="M964" s="3">
        <v>47</v>
      </c>
      <c r="N964" s="3">
        <v>47</v>
      </c>
      <c r="O964" s="54">
        <v>47</v>
      </c>
    </row>
    <row r="965" spans="2:15" x14ac:dyDescent="0.25">
      <c r="B965" s="7">
        <v>45707</v>
      </c>
      <c r="C965" s="13">
        <v>96635.61</v>
      </c>
      <c r="D965" s="8">
        <v>2931.60009765625</v>
      </c>
      <c r="F965" s="7">
        <v>45707</v>
      </c>
      <c r="G965" s="13">
        <v>96635.61</v>
      </c>
      <c r="H965" s="4">
        <v>96635.61</v>
      </c>
      <c r="I965" s="4">
        <v>96635.61</v>
      </c>
      <c r="J965" s="4">
        <v>2931.60009765625</v>
      </c>
      <c r="K965" s="4">
        <v>2931.60009765625</v>
      </c>
      <c r="L965" s="4">
        <v>2931.60009765625</v>
      </c>
      <c r="M965" s="3">
        <v>44</v>
      </c>
      <c r="N965" s="3">
        <v>44</v>
      </c>
      <c r="O965" s="54">
        <v>44</v>
      </c>
    </row>
    <row r="966" spans="2:15" x14ac:dyDescent="0.25">
      <c r="B966" s="7">
        <v>45708</v>
      </c>
      <c r="C966" s="13">
        <v>98333.94</v>
      </c>
      <c r="D966" s="8">
        <v>2919.39990234375</v>
      </c>
      <c r="F966" s="7">
        <v>45708</v>
      </c>
      <c r="G966" s="13">
        <v>98333.94</v>
      </c>
      <c r="H966" s="4">
        <v>98333.94</v>
      </c>
      <c r="I966" s="4">
        <v>98333.94</v>
      </c>
      <c r="J966" s="4">
        <v>2919.39990234375</v>
      </c>
      <c r="K966" s="4">
        <v>2919.39990234375</v>
      </c>
      <c r="L966" s="4">
        <v>2919.39990234375</v>
      </c>
      <c r="M966" s="3">
        <v>49</v>
      </c>
      <c r="N966" s="3">
        <v>49</v>
      </c>
      <c r="O966" s="54">
        <v>49</v>
      </c>
    </row>
    <row r="967" spans="2:15" x14ac:dyDescent="0.25">
      <c r="B967" s="7">
        <v>45709</v>
      </c>
      <c r="C967" s="13">
        <v>96125.55</v>
      </c>
      <c r="D967" s="8">
        <v>2940</v>
      </c>
      <c r="F967" s="7">
        <v>45709</v>
      </c>
      <c r="G967" s="13">
        <v>96125.55</v>
      </c>
      <c r="H967" s="4">
        <v>96125.55</v>
      </c>
      <c r="I967" s="4">
        <v>96125.55</v>
      </c>
      <c r="J967" s="4">
        <v>2940</v>
      </c>
      <c r="K967" s="4">
        <v>2940</v>
      </c>
      <c r="L967" s="4">
        <v>2940</v>
      </c>
      <c r="M967" s="3">
        <v>55</v>
      </c>
      <c r="N967" s="3">
        <v>55</v>
      </c>
      <c r="O967" s="54">
        <v>55</v>
      </c>
    </row>
    <row r="968" spans="2:15" x14ac:dyDescent="0.25">
      <c r="B968" s="7">
        <v>45710</v>
      </c>
      <c r="C968" s="13">
        <v>96577.76</v>
      </c>
      <c r="D968" s="8">
        <v>2937.60009765625</v>
      </c>
      <c r="F968" s="7">
        <v>45710</v>
      </c>
      <c r="G968" s="13">
        <v>96577.76</v>
      </c>
      <c r="H968" s="4">
        <v>96577.76</v>
      </c>
      <c r="I968" s="4">
        <v>96577.76</v>
      </c>
      <c r="J968" s="4">
        <v>2937.60009765625</v>
      </c>
      <c r="K968" s="4">
        <v>2937.60009765625</v>
      </c>
      <c r="L968" s="4">
        <v>2937.60009765625</v>
      </c>
      <c r="M968" s="3">
        <v>49</v>
      </c>
      <c r="N968" s="3">
        <v>49</v>
      </c>
      <c r="O968" s="54">
        <v>49</v>
      </c>
    </row>
    <row r="969" spans="2:15" x14ac:dyDescent="0.25">
      <c r="B969" s="7">
        <v>45711</v>
      </c>
      <c r="C969" s="13">
        <v>96273.919999999998</v>
      </c>
      <c r="D969" s="8">
        <v>2940</v>
      </c>
      <c r="F969" s="7">
        <v>45711</v>
      </c>
      <c r="G969" s="13">
        <v>96273.919999999998</v>
      </c>
      <c r="H969" s="4">
        <v>96273.919999999998</v>
      </c>
      <c r="I969" s="4">
        <v>96273.919999999998</v>
      </c>
      <c r="J969" s="4">
        <v>2940</v>
      </c>
      <c r="K969" s="4">
        <v>2940</v>
      </c>
      <c r="L969" s="4">
        <v>2940</v>
      </c>
      <c r="M969" s="3">
        <v>50</v>
      </c>
      <c r="N969" s="3">
        <v>50</v>
      </c>
      <c r="O969" s="54">
        <v>50</v>
      </c>
    </row>
    <row r="970" spans="2:15" x14ac:dyDescent="0.25">
      <c r="B970" s="7">
        <v>45712</v>
      </c>
      <c r="C970" s="13">
        <v>91418.17</v>
      </c>
      <c r="D970" s="8">
        <v>2937.60009765625</v>
      </c>
      <c r="F970" s="7">
        <v>45712</v>
      </c>
      <c r="G970" s="13">
        <v>91418.17</v>
      </c>
      <c r="H970" s="4">
        <v>91418.17</v>
      </c>
      <c r="I970" s="4">
        <v>91418.17</v>
      </c>
      <c r="J970" s="4">
        <v>2937.60009765625</v>
      </c>
      <c r="K970" s="4">
        <v>2937.60009765625</v>
      </c>
      <c r="L970" s="4">
        <v>2937.60009765625</v>
      </c>
      <c r="M970" s="3">
        <v>49</v>
      </c>
      <c r="N970" s="3">
        <v>49</v>
      </c>
      <c r="O970" s="54">
        <v>49</v>
      </c>
    </row>
    <row r="971" spans="2:15" x14ac:dyDescent="0.25">
      <c r="B971" s="7">
        <v>45713</v>
      </c>
      <c r="C971" s="13">
        <v>88736.17</v>
      </c>
      <c r="D971" s="8">
        <v>2947.89990234375</v>
      </c>
      <c r="F971" s="7">
        <v>45713</v>
      </c>
      <c r="G971" s="13">
        <v>88736.17</v>
      </c>
      <c r="H971" s="4">
        <v>88736.17</v>
      </c>
      <c r="I971" s="4">
        <v>88736.17</v>
      </c>
      <c r="J971" s="4">
        <v>2947.89990234375</v>
      </c>
      <c r="K971" s="4">
        <v>2947.89990234375</v>
      </c>
      <c r="L971" s="4">
        <v>2947.89990234375</v>
      </c>
      <c r="M971" s="3">
        <v>25</v>
      </c>
      <c r="N971" s="3">
        <v>25</v>
      </c>
      <c r="O971" s="54">
        <v>25</v>
      </c>
    </row>
    <row r="972" spans="2:15" x14ac:dyDescent="0.25">
      <c r="B972" s="7">
        <v>45714</v>
      </c>
      <c r="C972" s="13">
        <v>84347.02</v>
      </c>
      <c r="D972" s="8">
        <v>2904.5</v>
      </c>
      <c r="F972" s="7">
        <v>45714</v>
      </c>
      <c r="G972" s="13">
        <v>84347.02</v>
      </c>
      <c r="H972" s="4">
        <v>84347.02</v>
      </c>
      <c r="I972" s="4">
        <v>84347.02</v>
      </c>
      <c r="J972" s="4">
        <v>2904.5</v>
      </c>
      <c r="K972" s="4">
        <v>2904.5</v>
      </c>
      <c r="L972" s="4">
        <v>2904.5</v>
      </c>
      <c r="M972" s="3">
        <v>21</v>
      </c>
      <c r="N972" s="3">
        <v>21</v>
      </c>
      <c r="O972" s="54">
        <v>21</v>
      </c>
    </row>
    <row r="973" spans="2:15" x14ac:dyDescent="0.25">
      <c r="B973" s="7">
        <v>45715</v>
      </c>
      <c r="C973" s="13">
        <v>84704.23</v>
      </c>
      <c r="D973" s="8">
        <v>2916.80004882812</v>
      </c>
      <c r="F973" s="7">
        <v>45715</v>
      </c>
      <c r="G973" s="13">
        <v>84704.23</v>
      </c>
      <c r="H973" s="4">
        <v>84704.23</v>
      </c>
      <c r="I973" s="4">
        <v>84704.23</v>
      </c>
      <c r="J973" s="4">
        <v>2916.80004882812</v>
      </c>
      <c r="K973" s="4">
        <v>2916.80004882812</v>
      </c>
      <c r="L973" s="4">
        <v>2916.80004882812</v>
      </c>
      <c r="M973" s="3">
        <v>10</v>
      </c>
      <c r="N973" s="3">
        <v>10</v>
      </c>
      <c r="O973" s="54">
        <v>10</v>
      </c>
    </row>
    <row r="974" spans="2:15" x14ac:dyDescent="0.25">
      <c r="B974" s="7">
        <v>45716</v>
      </c>
      <c r="C974" s="13">
        <v>84373.01</v>
      </c>
      <c r="D974" s="8">
        <v>2883.19995117187</v>
      </c>
      <c r="F974" s="7">
        <v>45716</v>
      </c>
      <c r="G974" s="13">
        <v>84373.01</v>
      </c>
      <c r="H974" s="4">
        <v>84373.01</v>
      </c>
      <c r="I974" s="4">
        <v>84373.01</v>
      </c>
      <c r="J974" s="4">
        <v>2883.19995117187</v>
      </c>
      <c r="K974" s="4">
        <v>2883.19995117187</v>
      </c>
      <c r="L974" s="4">
        <v>2883.19995117187</v>
      </c>
      <c r="M974" s="3">
        <v>16</v>
      </c>
      <c r="N974" s="3">
        <v>16</v>
      </c>
      <c r="O974" s="54">
        <v>16</v>
      </c>
    </row>
    <row r="975" spans="2:15" x14ac:dyDescent="0.25">
      <c r="B975" s="7">
        <v>45717</v>
      </c>
      <c r="C975" s="13">
        <v>86031.91</v>
      </c>
      <c r="D975" s="8">
        <v>2836.80004882812</v>
      </c>
      <c r="F975" s="7">
        <v>45717</v>
      </c>
      <c r="G975" s="13">
        <v>86031.91</v>
      </c>
      <c r="H975" s="4">
        <v>86031.91</v>
      </c>
      <c r="I975" s="4">
        <v>86031.91</v>
      </c>
      <c r="J975" s="4">
        <v>2836.80004882812</v>
      </c>
      <c r="K975" s="4">
        <v>2836.80004882812</v>
      </c>
      <c r="L975" s="4">
        <v>2836.80004882812</v>
      </c>
      <c r="M975" s="3">
        <v>20</v>
      </c>
      <c r="N975" s="3">
        <v>20</v>
      </c>
      <c r="O975" s="54">
        <v>20</v>
      </c>
    </row>
    <row r="976" spans="2:15" x14ac:dyDescent="0.25">
      <c r="B976" s="7">
        <v>45718</v>
      </c>
      <c r="C976" s="13">
        <v>94248.35</v>
      </c>
      <c r="D976" s="8">
        <v>2883.19995117187</v>
      </c>
      <c r="F976" s="7">
        <v>45718</v>
      </c>
      <c r="G976" s="13">
        <v>94248.35</v>
      </c>
      <c r="H976" s="4">
        <v>94248.35</v>
      </c>
      <c r="I976" s="4">
        <v>94248.35</v>
      </c>
      <c r="J976" s="4">
        <v>2883.19995117187</v>
      </c>
      <c r="K976" s="4">
        <v>2883.19995117187</v>
      </c>
      <c r="L976" s="4">
        <v>2883.19995117187</v>
      </c>
      <c r="M976" s="3">
        <v>26</v>
      </c>
      <c r="N976" s="3">
        <v>26</v>
      </c>
      <c r="O976" s="54">
        <v>26</v>
      </c>
    </row>
    <row r="977" spans="2:15" x14ac:dyDescent="0.25">
      <c r="B977" s="7">
        <v>45719</v>
      </c>
      <c r="C977" s="13">
        <v>86065.67</v>
      </c>
      <c r="D977" s="8">
        <v>2836.80004882812</v>
      </c>
      <c r="F977" s="7">
        <v>45719</v>
      </c>
      <c r="G977" s="13">
        <v>86065.67</v>
      </c>
      <c r="H977" s="4">
        <v>86065.67</v>
      </c>
      <c r="I977" s="4">
        <v>86065.67</v>
      </c>
      <c r="J977" s="4">
        <v>2836.80004882812</v>
      </c>
      <c r="K977" s="4">
        <v>2836.80004882812</v>
      </c>
      <c r="L977" s="4">
        <v>2836.80004882812</v>
      </c>
      <c r="M977" s="3">
        <v>33</v>
      </c>
      <c r="N977" s="3">
        <v>33</v>
      </c>
      <c r="O977" s="54">
        <v>33</v>
      </c>
    </row>
    <row r="978" spans="2:15" x14ac:dyDescent="0.25">
      <c r="B978" s="7">
        <v>45720</v>
      </c>
      <c r="C978" s="13">
        <v>87222.2</v>
      </c>
      <c r="D978" s="8">
        <v>2890.19995117187</v>
      </c>
      <c r="F978" s="7">
        <v>45720</v>
      </c>
      <c r="G978" s="13">
        <v>87222.2</v>
      </c>
      <c r="H978" s="4">
        <v>87222.2</v>
      </c>
      <c r="I978" s="4">
        <v>87222.2</v>
      </c>
      <c r="J978" s="4">
        <v>2890.19995117187</v>
      </c>
      <c r="K978" s="4">
        <v>2890.19995117187</v>
      </c>
      <c r="L978" s="4">
        <v>2890.19995117187</v>
      </c>
      <c r="M978" s="3">
        <v>15</v>
      </c>
      <c r="N978" s="3">
        <v>15</v>
      </c>
      <c r="O978" s="54">
        <v>15</v>
      </c>
    </row>
    <row r="979" spans="2:15" x14ac:dyDescent="0.25">
      <c r="B979" s="7">
        <v>45721</v>
      </c>
      <c r="C979" s="13">
        <v>90623.56</v>
      </c>
      <c r="D979" s="8">
        <v>2909.60009765625</v>
      </c>
      <c r="F979" s="7">
        <v>45721</v>
      </c>
      <c r="G979" s="13">
        <v>90623.56</v>
      </c>
      <c r="H979" s="4">
        <v>90623.56</v>
      </c>
      <c r="I979" s="4">
        <v>90623.56</v>
      </c>
      <c r="J979" s="4">
        <v>2909.60009765625</v>
      </c>
      <c r="K979" s="4">
        <v>2909.60009765625</v>
      </c>
      <c r="L979" s="4">
        <v>2909.60009765625</v>
      </c>
      <c r="M979" s="3">
        <v>20</v>
      </c>
      <c r="N979" s="3">
        <v>20</v>
      </c>
      <c r="O979" s="54">
        <v>20</v>
      </c>
    </row>
    <row r="980" spans="2:15" x14ac:dyDescent="0.25">
      <c r="B980" s="7">
        <v>45722</v>
      </c>
      <c r="C980" s="13">
        <v>89961.73</v>
      </c>
      <c r="D980" s="8">
        <v>2915.30004882812</v>
      </c>
      <c r="F980" s="7">
        <v>45722</v>
      </c>
      <c r="G980" s="13">
        <v>89961.73</v>
      </c>
      <c r="H980" s="4">
        <v>89961.73</v>
      </c>
      <c r="I980" s="4">
        <v>89961.73</v>
      </c>
      <c r="J980" s="4">
        <v>2915.30004882812</v>
      </c>
      <c r="K980" s="4">
        <v>2915.30004882812</v>
      </c>
      <c r="L980" s="4">
        <v>2915.30004882812</v>
      </c>
      <c r="M980" s="3">
        <v>25</v>
      </c>
      <c r="N980" s="3">
        <v>25</v>
      </c>
      <c r="O980" s="54">
        <v>25</v>
      </c>
    </row>
    <row r="981" spans="2:15" x14ac:dyDescent="0.25">
      <c r="B981" s="7">
        <v>45723</v>
      </c>
      <c r="C981" s="13">
        <v>86742.67</v>
      </c>
      <c r="D981" s="8">
        <v>2916.60009765625</v>
      </c>
      <c r="F981" s="7">
        <v>45723</v>
      </c>
      <c r="G981" s="13">
        <v>86742.67</v>
      </c>
      <c r="H981" s="4">
        <v>86742.67</v>
      </c>
      <c r="I981" s="4">
        <v>86742.67</v>
      </c>
      <c r="J981" s="4">
        <v>2916.60009765625</v>
      </c>
      <c r="K981" s="4">
        <v>2916.60009765625</v>
      </c>
      <c r="L981" s="4">
        <v>2916.60009765625</v>
      </c>
      <c r="M981" s="3">
        <v>34</v>
      </c>
      <c r="N981" s="3">
        <v>34</v>
      </c>
      <c r="O981" s="54">
        <v>34</v>
      </c>
    </row>
    <row r="982" spans="2:15" x14ac:dyDescent="0.25">
      <c r="B982" s="7">
        <v>45724</v>
      </c>
      <c r="C982" s="13">
        <v>86154.59</v>
      </c>
      <c r="D982" s="8">
        <v>2904.69995117187</v>
      </c>
      <c r="F982" s="7">
        <v>45724</v>
      </c>
      <c r="G982" s="13">
        <v>86154.59</v>
      </c>
      <c r="H982" s="4">
        <v>86154.59</v>
      </c>
      <c r="I982" s="4">
        <v>86154.59</v>
      </c>
      <c r="J982" s="4">
        <v>2904.69995117187</v>
      </c>
      <c r="K982" s="4">
        <v>2904.69995117187</v>
      </c>
      <c r="L982" s="4">
        <v>2904.69995117187</v>
      </c>
      <c r="M982" s="3">
        <v>28</v>
      </c>
      <c r="N982" s="3">
        <v>28</v>
      </c>
      <c r="O982" s="54">
        <v>28</v>
      </c>
    </row>
    <row r="983" spans="2:15" x14ac:dyDescent="0.25">
      <c r="B983" s="7">
        <v>45725</v>
      </c>
      <c r="C983" s="13">
        <v>80601.039999999994</v>
      </c>
      <c r="D983" s="8">
        <v>2916.60009765625</v>
      </c>
      <c r="F983" s="7">
        <v>45725</v>
      </c>
      <c r="G983" s="13">
        <v>80601.039999999994</v>
      </c>
      <c r="H983" s="4">
        <v>80601.039999999994</v>
      </c>
      <c r="I983" s="4">
        <v>80601.039999999994</v>
      </c>
      <c r="J983" s="4">
        <v>2916.60009765625</v>
      </c>
      <c r="K983" s="4">
        <v>2916.60009765625</v>
      </c>
      <c r="L983" s="4">
        <v>2916.60009765625</v>
      </c>
      <c r="M983" s="3">
        <v>27</v>
      </c>
      <c r="N983" s="3">
        <v>27</v>
      </c>
      <c r="O983" s="54">
        <v>27</v>
      </c>
    </row>
    <row r="984" spans="2:15" x14ac:dyDescent="0.25">
      <c r="B984" s="7">
        <v>45726</v>
      </c>
      <c r="C984" s="13">
        <v>78532</v>
      </c>
      <c r="D984" s="8">
        <v>2904.69995117187</v>
      </c>
      <c r="F984" s="7">
        <v>45726</v>
      </c>
      <c r="G984" s="13">
        <v>78532</v>
      </c>
      <c r="H984" s="4">
        <v>78532</v>
      </c>
      <c r="I984" s="4">
        <v>78532</v>
      </c>
      <c r="J984" s="4">
        <v>2904.69995117187</v>
      </c>
      <c r="K984" s="4">
        <v>2904.69995117187</v>
      </c>
      <c r="L984" s="4">
        <v>2904.69995117187</v>
      </c>
      <c r="M984" s="3">
        <v>20</v>
      </c>
      <c r="N984" s="3">
        <v>20</v>
      </c>
      <c r="O984" s="54">
        <v>20</v>
      </c>
    </row>
    <row r="985" spans="2:15" x14ac:dyDescent="0.25">
      <c r="B985" s="7">
        <v>45727</v>
      </c>
      <c r="C985" s="13">
        <v>82862.210000000006</v>
      </c>
      <c r="D985" s="8">
        <v>2891</v>
      </c>
      <c r="F985" s="7">
        <v>45727</v>
      </c>
      <c r="G985" s="13">
        <v>82862.210000000006</v>
      </c>
      <c r="H985" s="4">
        <v>82862.210000000006</v>
      </c>
      <c r="I985" s="4">
        <v>82862.210000000006</v>
      </c>
      <c r="J985" s="4">
        <v>2891</v>
      </c>
      <c r="K985" s="4">
        <v>2891</v>
      </c>
      <c r="L985" s="4">
        <v>2891</v>
      </c>
      <c r="M985" s="3">
        <v>24</v>
      </c>
      <c r="N985" s="3">
        <v>24</v>
      </c>
      <c r="O985" s="54">
        <v>24</v>
      </c>
    </row>
    <row r="986" spans="2:15" x14ac:dyDescent="0.25">
      <c r="B986" s="7">
        <v>45728</v>
      </c>
      <c r="C986" s="13">
        <v>83722.36</v>
      </c>
      <c r="D986" s="8">
        <v>2912.89990234375</v>
      </c>
      <c r="F986" s="7">
        <v>45728</v>
      </c>
      <c r="G986" s="13">
        <v>83722.36</v>
      </c>
      <c r="H986" s="4">
        <v>83722.36</v>
      </c>
      <c r="I986" s="4">
        <v>83722.36</v>
      </c>
      <c r="J986" s="4">
        <v>2912.89990234375</v>
      </c>
      <c r="K986" s="4">
        <v>2912.89990234375</v>
      </c>
      <c r="L986" s="4">
        <v>2912.89990234375</v>
      </c>
      <c r="M986" s="3">
        <v>34</v>
      </c>
      <c r="N986" s="3">
        <v>34</v>
      </c>
      <c r="O986" s="54">
        <v>34</v>
      </c>
    </row>
    <row r="987" spans="2:15" x14ac:dyDescent="0.25">
      <c r="B987" s="7">
        <v>45729</v>
      </c>
      <c r="C987" s="13">
        <v>81066.7</v>
      </c>
      <c r="D987" s="8">
        <v>2939.10009765625</v>
      </c>
      <c r="F987" s="7">
        <v>45729</v>
      </c>
      <c r="G987" s="13">
        <v>81066.7</v>
      </c>
      <c r="H987" s="4">
        <v>81066.7</v>
      </c>
      <c r="I987" s="4">
        <v>81066.7</v>
      </c>
      <c r="J987" s="4">
        <v>2939.10009765625</v>
      </c>
      <c r="K987" s="4">
        <v>2939.10009765625</v>
      </c>
      <c r="L987" s="4">
        <v>2939.10009765625</v>
      </c>
      <c r="M987" s="3">
        <v>45</v>
      </c>
      <c r="N987" s="3">
        <v>45</v>
      </c>
      <c r="O987" s="54">
        <v>45</v>
      </c>
    </row>
    <row r="988" spans="2:15" x14ac:dyDescent="0.25">
      <c r="B988" s="7">
        <v>45730</v>
      </c>
      <c r="C988" s="13">
        <v>83969.1</v>
      </c>
      <c r="D988" s="8">
        <v>2984.30004882812</v>
      </c>
      <c r="F988" s="7">
        <v>45730</v>
      </c>
      <c r="G988" s="13">
        <v>83969.1</v>
      </c>
      <c r="H988" s="4">
        <v>83969.1</v>
      </c>
      <c r="I988" s="4">
        <v>83969.1</v>
      </c>
      <c r="J988" s="4">
        <v>2984.30004882812</v>
      </c>
      <c r="K988" s="4">
        <v>2984.30004882812</v>
      </c>
      <c r="L988" s="4">
        <v>2984.30004882812</v>
      </c>
      <c r="M988" s="3">
        <v>27</v>
      </c>
      <c r="N988" s="3">
        <v>27</v>
      </c>
      <c r="O988" s="54">
        <v>27</v>
      </c>
    </row>
    <row r="989" spans="2:15" x14ac:dyDescent="0.25">
      <c r="B989" s="7">
        <v>45731</v>
      </c>
      <c r="C989" s="13">
        <v>84343.11</v>
      </c>
      <c r="D989" s="8">
        <v>2994.5</v>
      </c>
      <c r="F989" s="7">
        <v>45731</v>
      </c>
      <c r="G989" s="13">
        <v>84343.11</v>
      </c>
      <c r="H989" s="4">
        <v>84343.11</v>
      </c>
      <c r="I989" s="4">
        <v>84343.11</v>
      </c>
      <c r="J989" s="4">
        <v>2994.5</v>
      </c>
      <c r="K989" s="4">
        <v>2994.5</v>
      </c>
      <c r="L989" s="4">
        <v>2994.5</v>
      </c>
      <c r="M989" s="3">
        <v>46</v>
      </c>
      <c r="N989" s="3">
        <v>46</v>
      </c>
      <c r="O989" s="54">
        <v>46</v>
      </c>
    </row>
    <row r="990" spans="2:15" x14ac:dyDescent="0.25">
      <c r="B990" s="7">
        <v>45732</v>
      </c>
      <c r="C990" s="13">
        <v>82579.69</v>
      </c>
      <c r="D990" s="8">
        <v>2984.30004882812</v>
      </c>
      <c r="F990" s="7">
        <v>45732</v>
      </c>
      <c r="G990" s="13">
        <v>82579.69</v>
      </c>
      <c r="H990" s="4">
        <v>82579.69</v>
      </c>
      <c r="I990" s="4">
        <v>82579.69</v>
      </c>
      <c r="J990" s="4">
        <v>2984.30004882812</v>
      </c>
      <c r="K990" s="4">
        <v>2984.30004882812</v>
      </c>
      <c r="L990" s="4">
        <v>2984.30004882812</v>
      </c>
      <c r="M990" s="3">
        <v>30</v>
      </c>
      <c r="N990" s="3">
        <v>30</v>
      </c>
      <c r="O990" s="54">
        <v>30</v>
      </c>
    </row>
    <row r="991" spans="2:15" x14ac:dyDescent="0.25">
      <c r="B991" s="7">
        <v>45733</v>
      </c>
      <c r="C991" s="13">
        <v>84075.69</v>
      </c>
      <c r="D991" s="8">
        <v>2994.5</v>
      </c>
      <c r="F991" s="7">
        <v>45733</v>
      </c>
      <c r="G991" s="13">
        <v>84075.69</v>
      </c>
      <c r="H991" s="4">
        <v>84075.69</v>
      </c>
      <c r="I991" s="4">
        <v>84075.69</v>
      </c>
      <c r="J991" s="4">
        <v>2994.5</v>
      </c>
      <c r="K991" s="4">
        <v>2994.5</v>
      </c>
      <c r="L991" s="4">
        <v>2994.5</v>
      </c>
      <c r="M991" s="3">
        <v>32</v>
      </c>
      <c r="N991" s="3">
        <v>32</v>
      </c>
      <c r="O991" s="54">
        <v>32</v>
      </c>
    </row>
    <row r="992" spans="2:15" x14ac:dyDescent="0.25">
      <c r="B992" s="7">
        <v>45734</v>
      </c>
      <c r="C992" s="13">
        <v>82718.5</v>
      </c>
      <c r="D992" s="8">
        <v>3000</v>
      </c>
      <c r="F992" s="7">
        <v>45734</v>
      </c>
      <c r="G992" s="13">
        <v>82718.5</v>
      </c>
      <c r="H992" s="4">
        <v>82718.5</v>
      </c>
      <c r="I992" s="4">
        <v>82718.5</v>
      </c>
      <c r="J992" s="4">
        <v>3000</v>
      </c>
      <c r="K992" s="4">
        <v>3000</v>
      </c>
      <c r="L992" s="4">
        <v>3000</v>
      </c>
      <c r="M992" s="3">
        <v>34</v>
      </c>
      <c r="N992" s="3">
        <v>34</v>
      </c>
      <c r="O992" s="54">
        <v>34</v>
      </c>
    </row>
    <row r="993" spans="2:15" x14ac:dyDescent="0.25">
      <c r="B993" s="7">
        <v>45735</v>
      </c>
      <c r="C993" s="13">
        <v>86854.23</v>
      </c>
      <c r="D993" s="8">
        <v>3035.10009765625</v>
      </c>
      <c r="F993" s="7">
        <v>45735</v>
      </c>
      <c r="G993" s="13">
        <v>86854.23</v>
      </c>
      <c r="H993" s="4">
        <v>86854.23</v>
      </c>
      <c r="I993" s="4">
        <v>86854.23</v>
      </c>
      <c r="J993" s="4">
        <v>3035.10009765625</v>
      </c>
      <c r="K993" s="4">
        <v>3035.10009765625</v>
      </c>
      <c r="L993" s="4">
        <v>3035.10009765625</v>
      </c>
      <c r="M993" s="3">
        <v>32</v>
      </c>
      <c r="N993" s="3">
        <v>32</v>
      </c>
      <c r="O993" s="54">
        <v>32</v>
      </c>
    </row>
    <row r="994" spans="2:15" x14ac:dyDescent="0.25">
      <c r="B994" s="7">
        <v>45736</v>
      </c>
      <c r="C994" s="13">
        <v>84167.2</v>
      </c>
      <c r="D994" s="8">
        <v>3035.89990234375</v>
      </c>
      <c r="F994" s="7">
        <v>45736</v>
      </c>
      <c r="G994" s="13">
        <v>84167.2</v>
      </c>
      <c r="H994" s="4">
        <v>84167.2</v>
      </c>
      <c r="I994" s="4">
        <v>84167.2</v>
      </c>
      <c r="J994" s="4">
        <v>3035.89990234375</v>
      </c>
      <c r="K994" s="4">
        <v>3035.89990234375</v>
      </c>
      <c r="L994" s="4">
        <v>3035.89990234375</v>
      </c>
      <c r="M994" s="3">
        <v>49</v>
      </c>
      <c r="N994" s="3">
        <v>49</v>
      </c>
      <c r="O994" s="54">
        <v>49</v>
      </c>
    </row>
    <row r="995" spans="2:15" x14ac:dyDescent="0.25">
      <c r="B995" s="7">
        <v>45737</v>
      </c>
      <c r="C995" s="13">
        <v>84043.24</v>
      </c>
      <c r="D995" s="8">
        <v>3040</v>
      </c>
      <c r="F995" s="7">
        <v>45737</v>
      </c>
      <c r="G995" s="13">
        <v>84043.24</v>
      </c>
      <c r="H995" s="4">
        <v>84043.24</v>
      </c>
      <c r="I995" s="4">
        <v>84043.24</v>
      </c>
      <c r="J995" s="4">
        <v>3040</v>
      </c>
      <c r="K995" s="4">
        <v>3040</v>
      </c>
      <c r="L995" s="4">
        <v>3040</v>
      </c>
      <c r="M995" s="3">
        <v>31</v>
      </c>
      <c r="N995" s="3">
        <v>31</v>
      </c>
      <c r="O995" s="54">
        <v>31</v>
      </c>
    </row>
    <row r="996" spans="2:15" x14ac:dyDescent="0.25">
      <c r="B996" s="7">
        <v>45738</v>
      </c>
      <c r="C996" s="13">
        <v>83832.479999999996</v>
      </c>
      <c r="D996" s="8">
        <v>3018.19995117187</v>
      </c>
      <c r="F996" s="7">
        <v>45738</v>
      </c>
      <c r="G996" s="13">
        <v>83832.479999999996</v>
      </c>
      <c r="H996" s="4">
        <v>83832.479999999996</v>
      </c>
      <c r="I996" s="4">
        <v>83832.479999999996</v>
      </c>
      <c r="J996" s="4">
        <v>3018.19995117187</v>
      </c>
      <c r="K996" s="4">
        <v>3018.19995117187</v>
      </c>
      <c r="L996" s="4">
        <v>3018.19995117187</v>
      </c>
      <c r="M996" s="3">
        <v>32</v>
      </c>
      <c r="N996" s="3">
        <v>32</v>
      </c>
      <c r="O996" s="54">
        <v>32</v>
      </c>
    </row>
    <row r="997" spans="2:15" x14ac:dyDescent="0.25">
      <c r="B997" s="7">
        <v>45739</v>
      </c>
      <c r="C997" s="13">
        <v>86054.38</v>
      </c>
      <c r="D997" s="8">
        <v>3040</v>
      </c>
      <c r="F997" s="7">
        <v>45739</v>
      </c>
      <c r="G997" s="13">
        <v>86054.38</v>
      </c>
      <c r="H997" s="4">
        <v>86054.38</v>
      </c>
      <c r="I997" s="4">
        <v>86054.38</v>
      </c>
      <c r="J997" s="4">
        <v>3040</v>
      </c>
      <c r="K997" s="4">
        <v>3040</v>
      </c>
      <c r="L997" s="4">
        <v>3040</v>
      </c>
      <c r="M997" s="3">
        <v>30</v>
      </c>
      <c r="N997" s="3">
        <v>30</v>
      </c>
      <c r="O997" s="54">
        <v>30</v>
      </c>
    </row>
    <row r="998" spans="2:15" x14ac:dyDescent="0.25">
      <c r="B998" s="7">
        <v>45740</v>
      </c>
      <c r="C998" s="13">
        <v>87498.91</v>
      </c>
      <c r="D998" s="8">
        <v>3018.19995117187</v>
      </c>
      <c r="F998" s="7">
        <v>45740</v>
      </c>
      <c r="G998" s="13">
        <v>87498.91</v>
      </c>
      <c r="H998" s="4">
        <v>87498.91</v>
      </c>
      <c r="I998" s="4">
        <v>87498.91</v>
      </c>
      <c r="J998" s="4">
        <v>3018.19995117187</v>
      </c>
      <c r="K998" s="4">
        <v>3018.19995117187</v>
      </c>
      <c r="L998" s="4">
        <v>3018.19995117187</v>
      </c>
      <c r="M998" s="3">
        <v>45</v>
      </c>
      <c r="N998" s="3">
        <v>45</v>
      </c>
      <c r="O998" s="54">
        <v>45</v>
      </c>
    </row>
    <row r="999" spans="2:15" x14ac:dyDescent="0.25">
      <c r="B999" s="7">
        <v>45741</v>
      </c>
      <c r="C999" s="13">
        <v>87471.7</v>
      </c>
      <c r="D999" s="8">
        <v>3013.10009765625</v>
      </c>
      <c r="F999" s="7">
        <v>45741</v>
      </c>
      <c r="G999" s="13">
        <v>87471.7</v>
      </c>
      <c r="H999" s="4">
        <v>87471.7</v>
      </c>
      <c r="I999" s="4">
        <v>87471.7</v>
      </c>
      <c r="J999" s="4">
        <v>3013.10009765625</v>
      </c>
      <c r="K999" s="4">
        <v>3013.10009765625</v>
      </c>
      <c r="L999" s="4">
        <v>3013.10009765625</v>
      </c>
      <c r="M999" s="3">
        <v>46</v>
      </c>
      <c r="N999" s="3">
        <v>46</v>
      </c>
      <c r="O999" s="54">
        <v>46</v>
      </c>
    </row>
    <row r="1000" spans="2:15" x14ac:dyDescent="0.25">
      <c r="B1000" s="7">
        <v>45742</v>
      </c>
      <c r="C1000" s="13">
        <v>86900.88</v>
      </c>
      <c r="D1000" s="8">
        <v>3023.69995117187</v>
      </c>
      <c r="F1000" s="7">
        <v>45742</v>
      </c>
      <c r="G1000" s="13">
        <v>86900.88</v>
      </c>
      <c r="H1000" s="4">
        <v>86900.88</v>
      </c>
      <c r="I1000" s="4">
        <v>86900.88</v>
      </c>
      <c r="J1000" s="4">
        <v>3023.69995117187</v>
      </c>
      <c r="K1000" s="4">
        <v>3023.69995117187</v>
      </c>
      <c r="L1000" s="4">
        <v>3023.69995117187</v>
      </c>
      <c r="M1000" s="3">
        <v>47</v>
      </c>
      <c r="N1000" s="3">
        <v>47</v>
      </c>
      <c r="O1000" s="54">
        <v>47</v>
      </c>
    </row>
    <row r="1001" spans="2:15" x14ac:dyDescent="0.25">
      <c r="B1001" s="7">
        <v>45743</v>
      </c>
      <c r="C1001" s="13">
        <v>87177.1</v>
      </c>
      <c r="D1001" s="8">
        <v>3020.89990234375</v>
      </c>
      <c r="F1001" s="7">
        <v>45743</v>
      </c>
      <c r="G1001" s="13">
        <v>87177.1</v>
      </c>
      <c r="H1001" s="4">
        <v>87177.1</v>
      </c>
      <c r="I1001" s="4">
        <v>87177.1</v>
      </c>
      <c r="J1001" s="4">
        <v>3020.89990234375</v>
      </c>
      <c r="K1001" s="4">
        <v>3020.89990234375</v>
      </c>
      <c r="L1001" s="4">
        <v>3020.89990234375</v>
      </c>
      <c r="M1001" s="3">
        <v>40</v>
      </c>
      <c r="N1001" s="3">
        <v>40</v>
      </c>
      <c r="O1001" s="54">
        <v>40</v>
      </c>
    </row>
    <row r="1002" spans="2:15" x14ac:dyDescent="0.25">
      <c r="B1002" s="7">
        <v>45744</v>
      </c>
      <c r="C1002" s="13">
        <v>84353.15</v>
      </c>
      <c r="D1002" s="8">
        <v>3060.19995117187</v>
      </c>
      <c r="F1002" s="7">
        <v>45744</v>
      </c>
      <c r="G1002" s="13">
        <v>84353.15</v>
      </c>
      <c r="H1002" s="4">
        <v>84353.15</v>
      </c>
      <c r="I1002" s="4">
        <v>84353.15</v>
      </c>
      <c r="J1002" s="4">
        <v>3060.19995117187</v>
      </c>
      <c r="K1002" s="4">
        <v>3060.19995117187</v>
      </c>
      <c r="L1002" s="4">
        <v>3060.19995117187</v>
      </c>
      <c r="M1002" s="3">
        <v>44</v>
      </c>
      <c r="N1002" s="3">
        <v>44</v>
      </c>
      <c r="O1002" s="54">
        <v>44</v>
      </c>
    </row>
    <row r="1003" spans="2:15" x14ac:dyDescent="0.25">
      <c r="B1003" s="7">
        <v>45745</v>
      </c>
      <c r="C1003" s="13">
        <v>82597.59</v>
      </c>
      <c r="D1003" s="8">
        <v>3086.5</v>
      </c>
      <c r="F1003" s="7">
        <v>45745</v>
      </c>
      <c r="G1003" s="13">
        <v>82597.59</v>
      </c>
      <c r="H1003" s="4">
        <v>82597.59</v>
      </c>
      <c r="I1003" s="4">
        <v>82597.59</v>
      </c>
      <c r="J1003" s="4">
        <v>3086.5</v>
      </c>
      <c r="K1003" s="4">
        <v>3086.5</v>
      </c>
      <c r="L1003" s="4">
        <v>3086.5</v>
      </c>
      <c r="M1003" s="3">
        <v>26</v>
      </c>
      <c r="N1003" s="3">
        <v>26</v>
      </c>
      <c r="O1003" s="54">
        <v>26</v>
      </c>
    </row>
    <row r="1004" spans="2:15" ht="15.75" thickBot="1" x14ac:dyDescent="0.3">
      <c r="B1004" s="7">
        <v>45746</v>
      </c>
      <c r="C1004" s="13">
        <v>81817.41</v>
      </c>
      <c r="D1004" s="8">
        <v>3060.19995117187</v>
      </c>
      <c r="F1004" s="7">
        <v>45746</v>
      </c>
      <c r="G1004" s="13">
        <v>81817.41</v>
      </c>
      <c r="H1004" s="4">
        <v>81817.41</v>
      </c>
      <c r="I1004" s="4">
        <v>81817.41</v>
      </c>
      <c r="J1004" s="4">
        <v>3060.19995117187</v>
      </c>
      <c r="K1004" s="4">
        <v>3060.19995117187</v>
      </c>
      <c r="L1004" s="4">
        <v>3060.19995117187</v>
      </c>
      <c r="M1004" s="3">
        <v>32</v>
      </c>
      <c r="N1004" s="3">
        <v>32</v>
      </c>
      <c r="O1004" s="54">
        <v>32</v>
      </c>
    </row>
    <row r="1005" spans="2:15" ht="15.75" thickBot="1" x14ac:dyDescent="0.3">
      <c r="B1005" s="19" t="s">
        <v>61</v>
      </c>
      <c r="C1005" s="14">
        <v>46512.294425574415</v>
      </c>
      <c r="D1005" s="10">
        <v>2146.6109867915284</v>
      </c>
      <c r="F1005" s="19" t="s">
        <v>61</v>
      </c>
      <c r="G1005" s="14">
        <v>15787.28</v>
      </c>
      <c r="H1005" s="9">
        <v>46512.294425574415</v>
      </c>
      <c r="I1005" s="9">
        <v>106146.27</v>
      </c>
      <c r="J1005" s="9">
        <v>1623.30004882812</v>
      </c>
      <c r="K1005" s="9">
        <v>2146.6109867915284</v>
      </c>
      <c r="L1005" s="9">
        <v>3086.5</v>
      </c>
      <c r="M1005" s="55">
        <v>10</v>
      </c>
      <c r="N1005" s="55">
        <v>52.378621378621382</v>
      </c>
      <c r="O1005" s="56">
        <v>94</v>
      </c>
    </row>
  </sheetData>
  <mergeCells count="2">
    <mergeCell ref="B2:D2"/>
    <mergeCell ref="F2:O2"/>
  </mergeCells>
  <conditionalFormatting pivot="1" sqref="C4:C1004">
    <cfRule type="colorScale" priority="3">
      <colorScale>
        <cfvo type="min"/>
        <cfvo type="percentile" val="50"/>
        <cfvo type="max"/>
        <color rgb="FF63BE7B"/>
        <color rgb="FFFFEB84"/>
        <color rgb="FFF8696B"/>
      </colorScale>
    </cfRule>
  </conditionalFormatting>
  <conditionalFormatting pivot="1" sqref="D4:D1004">
    <cfRule type="colorScale" priority="2">
      <colorScale>
        <cfvo type="min"/>
        <cfvo type="percentile" val="50"/>
        <cfvo type="max"/>
        <color rgb="FF63BE7B"/>
        <color rgb="FFFFEB84"/>
        <color rgb="FFF8696B"/>
      </colorScale>
    </cfRule>
  </conditionalFormatting>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Dashboard</vt:lpstr>
      <vt:lpstr>LEAME</vt:lpstr>
      <vt:lpstr>Preguntas Importantes</vt:lpstr>
      <vt:lpstr>Operaciones en BTC (Macro)</vt:lpstr>
      <vt:lpstr>Tabla Base</vt:lpstr>
      <vt:lpstr>Grafico IRX-index</vt:lpstr>
      <vt:lpstr>Grafico BTC-GOLD</vt:lpstr>
      <vt:lpstr>Grafico BTC-index</vt:lpstr>
      <vt:lpstr>IRX-index</vt:lpstr>
      <vt:lpstr>BTC-index sentimiento</vt:lpstr>
      <vt:lpstr>BTC-GOLD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Fabián Ferreira</dc:creator>
  <cp:lastModifiedBy>Fabián Ferreira</cp:lastModifiedBy>
  <dcterms:created xsi:type="dcterms:W3CDTF">2025-04-26T15:01:53Z</dcterms:created>
  <dcterms:modified xsi:type="dcterms:W3CDTF">2025-06-07T11:56:53Z</dcterms:modified>
</cp:coreProperties>
</file>